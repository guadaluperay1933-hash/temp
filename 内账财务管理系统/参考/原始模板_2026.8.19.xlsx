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889"/>
  </bookViews>
  <sheets>
    <sheet name="首页" sheetId="1" r:id="rId1"/>
    <sheet name="基础资料" sheetId="2" r:id="rId2"/>
    <sheet name="期初数据" sheetId="3" r:id="rId3"/>
    <sheet name="资金流水" sheetId="4" r:id="rId4"/>
    <sheet name="销售录入" sheetId="5" r:id="rId5"/>
    <sheet name="采购录入" sheetId="6" r:id="rId6"/>
    <sheet name="库存收发存" sheetId="7" r:id="rId7"/>
    <sheet name="应收跟进" sheetId="8" r:id="rId8"/>
    <sheet name="应收明细账龄" sheetId="9" r:id="rId9"/>
    <sheet name="应付跟进" sheetId="10" r:id="rId10"/>
    <sheet name="应付明细账龄" sheetId="11" r:id="rId11"/>
    <sheet name="账户余额" sheetId="12" r:id="rId12"/>
    <sheet name="记账凭证" sheetId="13" r:id="rId13"/>
    <sheet name="凭证计算" sheetId="14" r:id="rId14"/>
    <sheet name="科目余额表" sheetId="15" r:id="rId15"/>
    <sheet name="利润表" sheetId="16" r:id="rId16"/>
    <sheet name="资产负债表" sheetId="17" r:id="rId17"/>
    <sheet name="经营分析" sheetId="18" r:id="rId18"/>
    <sheet name="辅助核算" sheetId="19" r:id="rId19"/>
    <sheet name="财务勾稽核查" sheetId="20" r:id="rId20"/>
    <sheet name="操作说明" sheetId="21" r:id="rId21"/>
    <sheet name="客户往来对账单" sheetId="22" r:id="rId22"/>
    <sheet name="供应商往来对账单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<sst xmlns="http://schemas.openxmlformats.org/spreadsheetml/2006/main" count="3879" uniqueCount="729">
  <si>
    <t>内帐财务管理系统 · 稳定重构版</t>
  </si>
  <si>
    <t>日常只录：资金流水 + 销售录入 + 采购录入；其他报表自动生成。</t>
  </si>
  <si>
    <t>查询月份</t>
  </si>
  <si>
    <t>本月销售额</t>
  </si>
  <si>
    <t>客户回款</t>
  </si>
  <si>
    <t>本月毛利</t>
  </si>
  <si>
    <t>本月净利润</t>
  </si>
  <si>
    <t>当前资金</t>
  </si>
  <si>
    <t>应收余额</t>
  </si>
  <si>
    <t>逾期应收</t>
  </si>
  <si>
    <t>应付余额</t>
  </si>
  <si>
    <t>未来30天应付</t>
  </si>
  <si>
    <t>库存金额</t>
  </si>
  <si>
    <t>资金安全余量</t>
  </si>
  <si>
    <t>勾稽状态</t>
  </si>
  <si>
    <t>日常入口：资金流水 ｜ 销售录入 ｜ 采购录入     月末检查：财务勾稽核查 ｜ 利润表 ｜ 资产负债表</t>
  </si>
  <si>
    <t>基础资料（统一维护）</t>
  </si>
  <si>
    <t>各模块横向并列维护；新增资料直接在对应模块下方继续录入。</t>
  </si>
  <si>
    <t>资金账户</t>
  </si>
  <si>
    <t>部门</t>
  </si>
  <si>
    <t>员工</t>
  </si>
  <si>
    <t>商品档案</t>
  </si>
  <si>
    <t>客户档案</t>
  </si>
  <si>
    <t>供应商档案</t>
  </si>
  <si>
    <t>资金流水分类</t>
  </si>
  <si>
    <t>会计科目及报表映射</t>
  </si>
  <si>
    <t>账户名称</t>
  </si>
  <si>
    <t>账户类型</t>
  </si>
  <si>
    <t>资金科目</t>
  </si>
  <si>
    <t>状态</t>
  </si>
  <si>
    <t>部门名称</t>
  </si>
  <si>
    <t>备注</t>
  </si>
  <si>
    <t>员工姓名</t>
  </si>
  <si>
    <t>岗位</t>
  </si>
  <si>
    <t>商品编号</t>
  </si>
  <si>
    <t>商品名称</t>
  </si>
  <si>
    <t>规格型号</t>
  </si>
  <si>
    <t>单位</t>
  </si>
  <si>
    <t>参考成本</t>
  </si>
  <si>
    <t>参考售价</t>
  </si>
  <si>
    <t>库存显示</t>
  </si>
  <si>
    <t>客户编号</t>
  </si>
  <si>
    <t>客户名称</t>
  </si>
  <si>
    <t>业务员</t>
  </si>
  <si>
    <t>账期(天)</t>
  </si>
  <si>
    <t>供应商编号</t>
  </si>
  <si>
    <t>供应商名称</t>
  </si>
  <si>
    <t>采购员</t>
  </si>
  <si>
    <t>收支类型</t>
  </si>
  <si>
    <t>收支科目</t>
  </si>
  <si>
    <t>建议借方科目</t>
  </si>
  <si>
    <t>建议贷方科目</t>
  </si>
  <si>
    <t>科目编码</t>
  </si>
  <si>
    <t>科目名称</t>
  </si>
  <si>
    <t>科目类别</t>
  </si>
  <si>
    <t>余额方向</t>
  </si>
  <si>
    <t>启用状态</t>
  </si>
  <si>
    <t>资产负债表项目</t>
  </si>
  <si>
    <t>利润表项目</t>
  </si>
  <si>
    <t>现金流性质</t>
  </si>
  <si>
    <t>辅助核算</t>
  </si>
  <si>
    <t>现金</t>
  </si>
  <si>
    <t>现金类</t>
  </si>
  <si>
    <t>1001</t>
  </si>
  <si>
    <t>正常</t>
  </si>
  <si>
    <t>销售部</t>
  </si>
  <si>
    <t>张伟</t>
  </si>
  <si>
    <t>销售</t>
  </si>
  <si>
    <t>P001</t>
  </si>
  <si>
    <t>A配件</t>
  </si>
  <si>
    <t>A-01</t>
  </si>
  <si>
    <t>个</t>
  </si>
  <si>
    <t>C001</t>
  </si>
  <si>
    <t>客户A</t>
  </si>
  <si>
    <t>S001</t>
  </si>
  <si>
    <t>供应商A</t>
  </si>
  <si>
    <t>王强</t>
  </si>
  <si>
    <t>收入</t>
  </si>
  <si>
    <t>1002</t>
  </si>
  <si>
    <t>1122</t>
  </si>
  <si>
    <t>库存现金</t>
  </si>
  <si>
    <t>资产</t>
  </si>
  <si>
    <t>借</t>
  </si>
  <si>
    <t>启用</t>
  </si>
  <si>
    <t>货币资金</t>
  </si>
  <si>
    <t>非现金/资产负债</t>
  </si>
  <si>
    <t>无</t>
  </si>
  <si>
    <t>工商银行</t>
  </si>
  <si>
    <t>银行类</t>
  </si>
  <si>
    <t>财务部</t>
  </si>
  <si>
    <t>李娜</t>
  </si>
  <si>
    <t>P002</t>
  </si>
  <si>
    <t>B配件</t>
  </si>
  <si>
    <t>B-02</t>
  </si>
  <si>
    <t>C002</t>
  </si>
  <si>
    <t>客户B</t>
  </si>
  <si>
    <t>S002</t>
  </si>
  <si>
    <t>供应商B</t>
  </si>
  <si>
    <t>服务收入</t>
  </si>
  <si>
    <t>6051</t>
  </si>
  <si>
    <t>银行存款</t>
  </si>
  <si>
    <t>农业银行</t>
  </si>
  <si>
    <t>行政部</t>
  </si>
  <si>
    <t>采购部</t>
  </si>
  <si>
    <t>采购</t>
  </si>
  <si>
    <t>P003</t>
  </si>
  <si>
    <t>C配件</t>
  </si>
  <si>
    <t>C-03</t>
  </si>
  <si>
    <t>C003</t>
  </si>
  <si>
    <t>客户C</t>
  </si>
  <si>
    <t>S003</t>
  </si>
  <si>
    <t>供应商C</t>
  </si>
  <si>
    <t>其他业务收入</t>
  </si>
  <si>
    <t>1012</t>
  </si>
  <si>
    <t>其他货币资金</t>
  </si>
  <si>
    <t>建设银行</t>
  </si>
  <si>
    <t>陈敏</t>
  </si>
  <si>
    <t>行政</t>
  </si>
  <si>
    <t>P004</t>
  </si>
  <si>
    <t>D配件</t>
  </si>
  <si>
    <t>D-04</t>
  </si>
  <si>
    <t>C004</t>
  </si>
  <si>
    <t>客户D</t>
  </si>
  <si>
    <t>S004</t>
  </si>
  <si>
    <t>供应商D</t>
  </si>
  <si>
    <t>利息收入</t>
  </si>
  <si>
    <t>1101</t>
  </si>
  <si>
    <t>交易性金融资产</t>
  </si>
  <si>
    <t>招商银行</t>
  </si>
  <si>
    <t>生产一部</t>
  </si>
  <si>
    <t>赵静</t>
  </si>
  <si>
    <t>财务</t>
  </si>
  <si>
    <t>P005</t>
  </si>
  <si>
    <t>E配件</t>
  </si>
  <si>
    <t>E-05</t>
  </si>
  <si>
    <t>C005</t>
  </si>
  <si>
    <t>客户E</t>
  </si>
  <si>
    <t>S005</t>
  </si>
  <si>
    <t>供应商E</t>
  </si>
  <si>
    <t>租赁收入</t>
  </si>
  <si>
    <t>1121</t>
  </si>
  <si>
    <t>应收票据</t>
  </si>
  <si>
    <t>中国银行</t>
  </si>
  <si>
    <t>生产二部</t>
  </si>
  <si>
    <t>刘洋</t>
  </si>
  <si>
    <t>仓储部</t>
  </si>
  <si>
    <t>仓储</t>
  </si>
  <si>
    <t>P006</t>
  </si>
  <si>
    <t>F配件</t>
  </si>
  <si>
    <t>F-06</t>
  </si>
  <si>
    <t>C006</t>
  </si>
  <si>
    <t>客户F</t>
  </si>
  <si>
    <t>S006</t>
  </si>
  <si>
    <t>供应商F</t>
  </si>
  <si>
    <t>废料收入</t>
  </si>
  <si>
    <t>应收账款</t>
  </si>
  <si>
    <t>客户</t>
  </si>
  <si>
    <t>微信</t>
  </si>
  <si>
    <t>电子账户</t>
  </si>
  <si>
    <t>周磊</t>
  </si>
  <si>
    <t>生产</t>
  </si>
  <si>
    <t>P007</t>
  </si>
  <si>
    <t>G配件</t>
  </si>
  <si>
    <t>G-07</t>
  </si>
  <si>
    <t>C007</t>
  </si>
  <si>
    <t>客户G</t>
  </si>
  <si>
    <t>S007</t>
  </si>
  <si>
    <t>供应商G</t>
  </si>
  <si>
    <t>补贴收入</t>
  </si>
  <si>
    <t>1123</t>
  </si>
  <si>
    <t>预付账款</t>
  </si>
  <si>
    <t>预付款项</t>
  </si>
  <si>
    <t>供应商</t>
  </si>
  <si>
    <t>支付宝</t>
  </si>
  <si>
    <t>电商部</t>
  </si>
  <si>
    <t>孙悦</t>
  </si>
  <si>
    <t>电商</t>
  </si>
  <si>
    <t>P008</t>
  </si>
  <si>
    <t>H配件</t>
  </si>
  <si>
    <t>H-08</t>
  </si>
  <si>
    <t>C008</t>
  </si>
  <si>
    <t>客户H</t>
  </si>
  <si>
    <t>S008</t>
  </si>
  <si>
    <t>供应商H</t>
  </si>
  <si>
    <t>返点收入</t>
  </si>
  <si>
    <t>1131</t>
  </si>
  <si>
    <t>应收股利</t>
  </si>
  <si>
    <t>备用金</t>
  </si>
  <si>
    <t>售后部</t>
  </si>
  <si>
    <t>吴刚</t>
  </si>
  <si>
    <t>售后</t>
  </si>
  <si>
    <t>P009</t>
  </si>
  <si>
    <t>I配件</t>
  </si>
  <si>
    <t>I-09</t>
  </si>
  <si>
    <t>C009</t>
  </si>
  <si>
    <t>客户I</t>
  </si>
  <si>
    <t>S009</t>
  </si>
  <si>
    <t>供应商I</t>
  </si>
  <si>
    <t>手续费返还</t>
  </si>
  <si>
    <t>1132</t>
  </si>
  <si>
    <t>应收利息</t>
  </si>
  <si>
    <t>其他账户</t>
  </si>
  <si>
    <t>管理层</t>
  </si>
  <si>
    <t>郑欣</t>
  </si>
  <si>
    <t>管理</t>
  </si>
  <si>
    <t>P010</t>
  </si>
  <si>
    <t>J配件</t>
  </si>
  <si>
    <t>J-10</t>
  </si>
  <si>
    <t>C010</t>
  </si>
  <si>
    <t>客户J</t>
  </si>
  <si>
    <t>S010</t>
  </si>
  <si>
    <t>供应商J</t>
  </si>
  <si>
    <t>其他收入</t>
  </si>
  <si>
    <t>1221</t>
  </si>
  <si>
    <t>其他应收款</t>
  </si>
  <si>
    <t>员工/其他</t>
  </si>
  <si>
    <t>支出</t>
  </si>
  <si>
    <t>供应商付款</t>
  </si>
  <si>
    <t>2202</t>
  </si>
  <si>
    <t>1231</t>
  </si>
  <si>
    <t>坏账准备</t>
  </si>
  <si>
    <t>贷</t>
  </si>
  <si>
    <t>办公费</t>
  </si>
  <si>
    <t>6602</t>
  </si>
  <si>
    <t>1401</t>
  </si>
  <si>
    <t>材料采购</t>
  </si>
  <si>
    <t>存货</t>
  </si>
  <si>
    <t>房租</t>
  </si>
  <si>
    <t>1402</t>
  </si>
  <si>
    <t>在途物资</t>
  </si>
  <si>
    <t>水电费</t>
  </si>
  <si>
    <t>1403</t>
  </si>
  <si>
    <t>原材料</t>
  </si>
  <si>
    <t>维修费</t>
  </si>
  <si>
    <t>1404</t>
  </si>
  <si>
    <t>材料成本差异</t>
  </si>
  <si>
    <t>工资</t>
  </si>
  <si>
    <t>1405</t>
  </si>
  <si>
    <t>库存商品</t>
  </si>
  <si>
    <t>差旅费</t>
  </si>
  <si>
    <t>1406</t>
  </si>
  <si>
    <t>发出商品</t>
  </si>
  <si>
    <t>其他费用</t>
  </si>
  <si>
    <t>1407</t>
  </si>
  <si>
    <t>商品进销差价</t>
  </si>
  <si>
    <t>广告费</t>
  </si>
  <si>
    <t>6601</t>
  </si>
  <si>
    <t>1408</t>
  </si>
  <si>
    <t>委托加工物资</t>
  </si>
  <si>
    <t>物流费</t>
  </si>
  <si>
    <t>1411</t>
  </si>
  <si>
    <t>周转材料</t>
  </si>
  <si>
    <t>财务手续费</t>
  </si>
  <si>
    <t>6603</t>
  </si>
  <si>
    <t>1471</t>
  </si>
  <si>
    <t>存货跌价准备</t>
  </si>
  <si>
    <t>转账</t>
  </si>
  <si>
    <t>账户转账</t>
  </si>
  <si>
    <t>1501</t>
  </si>
  <si>
    <t>债权投资</t>
  </si>
  <si>
    <t>投资活动</t>
  </si>
  <si>
    <t>1511</t>
  </si>
  <si>
    <t>长期股权投资</t>
  </si>
  <si>
    <t>1521</t>
  </si>
  <si>
    <t>投资性房地产</t>
  </si>
  <si>
    <t>1601</t>
  </si>
  <si>
    <t>固定资产</t>
  </si>
  <si>
    <t>1602</t>
  </si>
  <si>
    <t>累计折旧</t>
  </si>
  <si>
    <t>1604</t>
  </si>
  <si>
    <t>在建工程</t>
  </si>
  <si>
    <t>1605</t>
  </si>
  <si>
    <t>工程物资</t>
  </si>
  <si>
    <t>1606</t>
  </si>
  <si>
    <t>固定资产清理</t>
  </si>
  <si>
    <t>1701</t>
  </si>
  <si>
    <t>无形资产</t>
  </si>
  <si>
    <t>1702</t>
  </si>
  <si>
    <t>累计摊销</t>
  </si>
  <si>
    <t>1801</t>
  </si>
  <si>
    <t>长期待摊费用</t>
  </si>
  <si>
    <t>1811</t>
  </si>
  <si>
    <t>递延所得税资产</t>
  </si>
  <si>
    <t>1901</t>
  </si>
  <si>
    <t>待处理财产损溢</t>
  </si>
  <si>
    <t>其他流动资产</t>
  </si>
  <si>
    <t>1905</t>
  </si>
  <si>
    <t>1906</t>
  </si>
  <si>
    <t>其他非流动资产</t>
  </si>
  <si>
    <t>2001</t>
  </si>
  <si>
    <t>短期借款</t>
  </si>
  <si>
    <t>负债</t>
  </si>
  <si>
    <t>筹资活动</t>
  </si>
  <si>
    <t>2201</t>
  </si>
  <si>
    <t>应付票据</t>
  </si>
  <si>
    <t>应付账款</t>
  </si>
  <si>
    <t>2203</t>
  </si>
  <si>
    <t>预收账款</t>
  </si>
  <si>
    <t>预收款项</t>
  </si>
  <si>
    <t>2206</t>
  </si>
  <si>
    <t>合同负债</t>
  </si>
  <si>
    <t>2211</t>
  </si>
  <si>
    <t>应付职工薪酬</t>
  </si>
  <si>
    <t>2221</t>
  </si>
  <si>
    <t>应交税费</t>
  </si>
  <si>
    <t>2231</t>
  </si>
  <si>
    <t>应付利息</t>
  </si>
  <si>
    <t>2232</t>
  </si>
  <si>
    <t>应付股利</t>
  </si>
  <si>
    <t>2241</t>
  </si>
  <si>
    <t>其他应付款</t>
  </si>
  <si>
    <t>供应商/员工</t>
  </si>
  <si>
    <t>2301</t>
  </si>
  <si>
    <t>一年内到期的非流动负债</t>
  </si>
  <si>
    <t>2401</t>
  </si>
  <si>
    <t>递延收益</t>
  </si>
  <si>
    <t>2491</t>
  </si>
  <si>
    <t>其他流动负债</t>
  </si>
  <si>
    <t>2501</t>
  </si>
  <si>
    <t>长期借款</t>
  </si>
  <si>
    <t>2701</t>
  </si>
  <si>
    <t>长期应付款</t>
  </si>
  <si>
    <t>2901</t>
  </si>
  <si>
    <t>递延所得税负债</t>
  </si>
  <si>
    <t>2902</t>
  </si>
  <si>
    <t>其他非流动负债</t>
  </si>
  <si>
    <t>4001</t>
  </si>
  <si>
    <t>实收资本</t>
  </si>
  <si>
    <t>权益</t>
  </si>
  <si>
    <t>4002</t>
  </si>
  <si>
    <t>资本公积</t>
  </si>
  <si>
    <t>4101</t>
  </si>
  <si>
    <t>盈余公积</t>
  </si>
  <si>
    <t>4103</t>
  </si>
  <si>
    <t>本年利润</t>
  </si>
  <si>
    <t>4104</t>
  </si>
  <si>
    <t>利润分配</t>
  </si>
  <si>
    <t>未分配利润</t>
  </si>
  <si>
    <t>5001</t>
  </si>
  <si>
    <t>生产成本</t>
  </si>
  <si>
    <t>成本</t>
  </si>
  <si>
    <t>5101</t>
  </si>
  <si>
    <t>制造费用</t>
  </si>
  <si>
    <t>5201</t>
  </si>
  <si>
    <t>劳务成本</t>
  </si>
  <si>
    <t>5301</t>
  </si>
  <si>
    <t>研发支出</t>
  </si>
  <si>
    <t>开发支出</t>
  </si>
  <si>
    <t>6001</t>
  </si>
  <si>
    <t>主营业务收入</t>
  </si>
  <si>
    <t>经营活动流入</t>
  </si>
  <si>
    <t>客户/部门</t>
  </si>
  <si>
    <t>6101</t>
  </si>
  <si>
    <t>公允价值变动损益</t>
  </si>
  <si>
    <t>公允价值变动收益</t>
  </si>
  <si>
    <t>6111</t>
  </si>
  <si>
    <t>投资收益</t>
  </si>
  <si>
    <t>6115</t>
  </si>
  <si>
    <t>资产处置收益</t>
  </si>
  <si>
    <t>6117</t>
  </si>
  <si>
    <t>其他收益</t>
  </si>
  <si>
    <t>6301</t>
  </si>
  <si>
    <t>营业外收入</t>
  </si>
  <si>
    <t>6401</t>
  </si>
  <si>
    <t>主营业务成本</t>
  </si>
  <si>
    <t>费用</t>
  </si>
  <si>
    <t>经营活动流出</t>
  </si>
  <si>
    <t>商品/部门</t>
  </si>
  <si>
    <t>6402</t>
  </si>
  <si>
    <t>其他业务成本</t>
  </si>
  <si>
    <t>6403</t>
  </si>
  <si>
    <t>税金及附加</t>
  </si>
  <si>
    <t>销售费用</t>
  </si>
  <si>
    <t>部门/员工</t>
  </si>
  <si>
    <t>管理费用</t>
  </si>
  <si>
    <t>财务费用</t>
  </si>
  <si>
    <t>6604</t>
  </si>
  <si>
    <t>研发费用</t>
  </si>
  <si>
    <t>6701</t>
  </si>
  <si>
    <t>资产减值损失</t>
  </si>
  <si>
    <t>6702</t>
  </si>
  <si>
    <t>信用减值损失</t>
  </si>
  <si>
    <t>6711</t>
  </si>
  <si>
    <t>营业外支出</t>
  </si>
  <si>
    <t>6801</t>
  </si>
  <si>
    <t>所得税费用</t>
  </si>
  <si>
    <t>期初数据（年初只录一次）</t>
  </si>
  <si>
    <t>资金期初</t>
  </si>
  <si>
    <t>应收期初</t>
  </si>
  <si>
    <t>应付期初</t>
  </si>
  <si>
    <t>库存期初</t>
  </si>
  <si>
    <t>会计科目期初</t>
  </si>
  <si>
    <t>账户</t>
  </si>
  <si>
    <t>类型</t>
  </si>
  <si>
    <t>期初余额</t>
  </si>
  <si>
    <t>原业务日期</t>
  </si>
  <si>
    <t>期初应收</t>
  </si>
  <si>
    <t>期初应付</t>
  </si>
  <si>
    <t>商品</t>
  </si>
  <si>
    <t>规格</t>
  </si>
  <si>
    <t>期初数量</t>
  </si>
  <si>
    <t>期初单位成本</t>
  </si>
  <si>
    <t>期初金额</t>
  </si>
  <si>
    <t>方向</t>
  </si>
  <si>
    <t>期初借方</t>
  </si>
  <si>
    <t>期初贷方</t>
  </si>
  <si>
    <t>演示</t>
  </si>
  <si>
    <t>资金流水（唯一实际收付款录入口）</t>
  </si>
  <si>
    <t>所有实际到账、付款、费用、工资、账户转账只在这里登记；销售、采购不要重复登记收入/成本。</t>
  </si>
  <si>
    <t>日期</t>
  </si>
  <si>
    <t>月份</t>
  </si>
  <si>
    <t>往来单位/转入账户</t>
  </si>
  <si>
    <t>摘要</t>
  </si>
  <si>
    <t>收入金额</t>
  </si>
  <si>
    <t>支出金额</t>
  </si>
  <si>
    <t>账户余额</t>
  </si>
  <si>
    <t>转入资金科目</t>
  </si>
  <si>
    <t>借方科目</t>
  </si>
  <si>
    <t>贷方科目</t>
  </si>
  <si>
    <t>发生金额</t>
  </si>
  <si>
    <t>月结检查</t>
  </si>
  <si>
    <t>收到客户A货款</t>
  </si>
  <si>
    <t>支付供应商A货款</t>
  </si>
  <si>
    <t>购买办公用品</t>
  </si>
  <si>
    <t>支付6月房租</t>
  </si>
  <si>
    <t>支付水电费</t>
  </si>
  <si>
    <t>广告投放</t>
  </si>
  <si>
    <t>支付工资</t>
  </si>
  <si>
    <t>收到客户B货款</t>
  </si>
  <si>
    <t>销售录入（销售业务唯一入口）</t>
  </si>
  <si>
    <t>客户销售只在这里登记；回款只在资金流水登记。销售单价每笔手工填写。</t>
  </si>
  <si>
    <t>数量</t>
  </si>
  <si>
    <t>销售单价（手工）</t>
  </si>
  <si>
    <t>销售金额</t>
  </si>
  <si>
    <t>成本单价</t>
  </si>
  <si>
    <t>销售成本</t>
  </si>
  <si>
    <t>到期日</t>
  </si>
  <si>
    <t>毛利金额</t>
  </si>
  <si>
    <t>演示销售</t>
  </si>
  <si>
    <t>采购录入（采购业务唯一入口）</t>
  </si>
  <si>
    <t>采购只在这里登记；供应商付款只在资金流水登记。采购单价每笔手工填写。</t>
  </si>
  <si>
    <t>采购单价（手工）</t>
  </si>
  <si>
    <t>采购金额</t>
  </si>
  <si>
    <t>演示采购</t>
  </si>
  <si>
    <t>库存收发存 + 成本/异常预警</t>
  </si>
  <si>
    <t>只显示月末有库存或本月有购销发生的商品；合计固定在第3行。</t>
  </si>
  <si>
    <t>合计</t>
  </si>
  <si>
    <t>月初数量</t>
  </si>
  <si>
    <t>本月采购数量</t>
  </si>
  <si>
    <t>本月采购金额</t>
  </si>
  <si>
    <t>本月销售数量</t>
  </si>
  <si>
    <t>本月销售成本</t>
  </si>
  <si>
    <t>月末数量</t>
  </si>
  <si>
    <t>月末金额</t>
  </si>
  <si>
    <t>月末单位成本</t>
  </si>
  <si>
    <t>采购均价偏差</t>
  </si>
  <si>
    <t>毛利率</t>
  </si>
  <si>
    <t>库存状态</t>
  </si>
  <si>
    <t>综合预警</t>
  </si>
  <si>
    <t>应收跟进 · 账期/账龄/催收管理</t>
  </si>
  <si>
    <t>截止日</t>
  </si>
  <si>
    <t>月初应收</t>
  </si>
  <si>
    <t>本月销售</t>
  </si>
  <si>
    <t>本月回款</t>
  </si>
  <si>
    <t>月末应收</t>
  </si>
  <si>
    <t>未到期</t>
  </si>
  <si>
    <t>逾期1-30天</t>
  </si>
  <si>
    <t>逾期31-60天</t>
  </si>
  <si>
    <t>逾期61-90天</t>
  </si>
  <si>
    <t>逾期90天以上</t>
  </si>
  <si>
    <t>逾期合计</t>
  </si>
  <si>
    <t>最长逾期区间</t>
  </si>
  <si>
    <t>风险等级</t>
  </si>
  <si>
    <t>跟进状态</t>
  </si>
  <si>
    <t>下次跟进日</t>
  </si>
  <si>
    <t>催收备注</t>
  </si>
  <si>
    <t>已联系</t>
  </si>
  <si>
    <t>已沟通，等待付款</t>
  </si>
  <si>
    <t>承诺付款</t>
  </si>
  <si>
    <t>客户承诺本周支付</t>
  </si>
  <si>
    <t>重点催收</t>
  </si>
  <si>
    <t>历史欠款较久，重点跟进</t>
  </si>
  <si>
    <t>未跟进</t>
  </si>
  <si>
    <t>待首次联系</t>
  </si>
  <si>
    <t>正常催收</t>
  </si>
  <si>
    <t>待联系</t>
  </si>
  <si>
    <t>已确认付款计划</t>
  </si>
  <si>
    <t>按账期跟进</t>
  </si>
  <si>
    <t>待确认付款时间</t>
  </si>
  <si>
    <t>应收明细账龄（FIFO自动核销 + 可人工指定核销）</t>
  </si>
  <si>
    <t>默认按最早应收优先核销；人工指定核销仅在特殊情况下填写。</t>
  </si>
  <si>
    <t>来源</t>
  </si>
  <si>
    <t>业务日期</t>
  </si>
  <si>
    <t>摘要/商品</t>
  </si>
  <si>
    <t>原应收</t>
  </si>
  <si>
    <t>客户累计回款</t>
  </si>
  <si>
    <t>前序应收累计</t>
  </si>
  <si>
    <t>人工指定核销</t>
  </si>
  <si>
    <t>FIFO自动核销</t>
  </si>
  <si>
    <t>本笔已核销</t>
  </si>
  <si>
    <t>剩余应收</t>
  </si>
  <si>
    <t>逾期天数</t>
  </si>
  <si>
    <t>账龄区间</t>
  </si>
  <si>
    <t>应付跟进 · 账期/付款计划分析</t>
  </si>
  <si>
    <t>月初应付</t>
  </si>
  <si>
    <t>本月采购</t>
  </si>
  <si>
    <t>本月付款</t>
  </si>
  <si>
    <t>月末应付</t>
  </si>
  <si>
    <t>未来30天到期</t>
  </si>
  <si>
    <t>付款优先级</t>
  </si>
  <si>
    <t>应付明细账龄（FIFO自动核销）</t>
  </si>
  <si>
    <t>付款按最早应付优先抵减；自动区分未来30天到期、逾期及付款优先级。</t>
  </si>
  <si>
    <t>原应付</t>
  </si>
  <si>
    <t>累计付款</t>
  </si>
  <si>
    <t>前序应付累计</t>
  </si>
  <si>
    <t>FIFO核销</t>
  </si>
  <si>
    <t>已付款</t>
  </si>
  <si>
    <t>剩余应付</t>
  </si>
  <si>
    <t>距到期/逾期天数</t>
  </si>
  <si>
    <t>账龄/到期区间</t>
  </si>
  <si>
    <t>账户余额汇总</t>
  </si>
  <si>
    <t>本月收入合计</t>
  </si>
  <si>
    <t>本月支出合计</t>
  </si>
  <si>
    <t>本月净额</t>
  </si>
  <si>
    <t>月末余额合计</t>
  </si>
  <si>
    <t>本月收入/转入</t>
  </si>
  <si>
    <t>本月支出</t>
  </si>
  <si>
    <t>本年收入/转入</t>
  </si>
  <si>
    <t>本年支出</t>
  </si>
  <si>
    <t>期末余额</t>
  </si>
  <si>
    <t>记账凭证（仅显示有金额的凭证）</t>
  </si>
  <si>
    <t>序号</t>
  </si>
  <si>
    <t>凭证号</t>
  </si>
  <si>
    <t>借方金额</t>
  </si>
  <si>
    <t>贷方金额</t>
  </si>
  <si>
    <t>凭证计算（系统后台）</t>
  </si>
  <si>
    <t>期初、资金流水、销售、采购自动生成月度凭证；月末特殊事项可在底部手工调整。</t>
  </si>
  <si>
    <t>2026-01</t>
  </si>
  <si>
    <t>期初</t>
  </si>
  <si>
    <t>年初期初余额</t>
  </si>
  <si>
    <t>AUTO-202601</t>
  </si>
  <si>
    <t>现金收付款业务汇总</t>
  </si>
  <si>
    <t>银行及电子账户收付款业务汇总</t>
  </si>
  <si>
    <t>销售应收及客户回款业务</t>
  </si>
  <si>
    <t>采购入库及销售成本结转业务</t>
  </si>
  <si>
    <t>采购应付及供应商付款业务</t>
  </si>
  <si>
    <t>主营销售收入确认</t>
  </si>
  <si>
    <t>其他业务收入确认</t>
  </si>
  <si>
    <t>主营业务成本结转</t>
  </si>
  <si>
    <t>销售费用发生汇总</t>
  </si>
  <si>
    <t>管理费用发生汇总</t>
  </si>
  <si>
    <t>财务费用发生汇总</t>
  </si>
  <si>
    <t>2026-02</t>
  </si>
  <si>
    <t>AUTO-202602</t>
  </si>
  <si>
    <t>2026-03</t>
  </si>
  <si>
    <t>AUTO-202603</t>
  </si>
  <si>
    <t>2026-04</t>
  </si>
  <si>
    <t>AUTO-202604</t>
  </si>
  <si>
    <t>2026-05</t>
  </si>
  <si>
    <t>AUTO-202605</t>
  </si>
  <si>
    <t>2026-06</t>
  </si>
  <si>
    <t>AUTO-202606</t>
  </si>
  <si>
    <t>2026-07</t>
  </si>
  <si>
    <t>AUTO-202607</t>
  </si>
  <si>
    <t>2026-08</t>
  </si>
  <si>
    <t>AUTO-202608</t>
  </si>
  <si>
    <t>2026-09</t>
  </si>
  <si>
    <t>AUTO-202609</t>
  </si>
  <si>
    <t>2026-10</t>
  </si>
  <si>
    <t>AUTO-202610</t>
  </si>
  <si>
    <t>2026-11</t>
  </si>
  <si>
    <t>AUTO-202611</t>
  </si>
  <si>
    <t>2026-12</t>
  </si>
  <si>
    <t>AUTO-202612</t>
  </si>
  <si>
    <t>月末调整区</t>
  </si>
  <si>
    <t>科目余额表</t>
  </si>
  <si>
    <t>类别</t>
  </si>
  <si>
    <t>本月借方</t>
  </si>
  <si>
    <t>本月贷方</t>
  </si>
  <si>
    <t>本年累计借方</t>
  </si>
  <si>
    <t>本年累计贷方</t>
  </si>
  <si>
    <t>期末借方</t>
  </si>
  <si>
    <t>期末贷方</t>
  </si>
  <si>
    <t>利润表</t>
  </si>
  <si>
    <t>项目</t>
  </si>
  <si>
    <t>行次</t>
  </si>
  <si>
    <t>本月金额</t>
  </si>
  <si>
    <t>本年累计</t>
  </si>
  <si>
    <t>营业收入</t>
  </si>
  <si>
    <t>营业成本</t>
  </si>
  <si>
    <t>营业利润</t>
  </si>
  <si>
    <t>利润总额</t>
  </si>
  <si>
    <t>净利润</t>
  </si>
  <si>
    <t>资产负债表</t>
  </si>
  <si>
    <t>年初余额</t>
  </si>
  <si>
    <t>负债和所有者权益</t>
  </si>
  <si>
    <t>流动资产合计</t>
  </si>
  <si>
    <t>流动负债合计</t>
  </si>
  <si>
    <t>非流动负债合计</t>
  </si>
  <si>
    <t>负债合计</t>
  </si>
  <si>
    <t>非流动资产合计</t>
  </si>
  <si>
    <t>资产总计</t>
  </si>
  <si>
    <t>所有者权益合计</t>
  </si>
  <si>
    <t>负债和所有者权益总计</t>
  </si>
  <si>
    <t>经营分析（管理口径）</t>
  </si>
  <si>
    <t>按月查看销售、毛利、费用、利润和经营现金净额。</t>
  </si>
  <si>
    <t>销售额</t>
  </si>
  <si>
    <t>毛利</t>
  </si>
  <si>
    <t>资金净增加额（不含内部转账）</t>
  </si>
  <si>
    <t>辅助核算汇总（横向分区）</t>
  </si>
  <si>
    <t>期末应收</t>
  </si>
  <si>
    <t>期末应付</t>
  </si>
  <si>
    <t>逾期应付</t>
  </si>
  <si>
    <t>资金收入</t>
  </si>
  <si>
    <t>费用付款</t>
  </si>
  <si>
    <t>资金净额</t>
  </si>
  <si>
    <t>经办收入</t>
  </si>
  <si>
    <t>经办支出</t>
  </si>
  <si>
    <t>采购额</t>
  </si>
  <si>
    <t>财务勾稽核查</t>
  </si>
  <si>
    <t>月结前建议所有检查项目均为“正常”。</t>
  </si>
  <si>
    <t>核查项目</t>
  </si>
  <si>
    <t>业务明细/管理数</t>
  </si>
  <si>
    <t>总账/报表数</t>
  </si>
  <si>
    <t>差额</t>
  </si>
  <si>
    <t>说明</t>
  </si>
  <si>
    <t>优先级</t>
  </si>
  <si>
    <t>未结账</t>
  </si>
  <si>
    <t>凭证借贷平衡</t>
  </si>
  <si>
    <t>本月凭证借方=贷方</t>
  </si>
  <si>
    <t>高</t>
  </si>
  <si>
    <t>销售与主营收入</t>
  </si>
  <si>
    <t>销售录入=主营业务收入</t>
  </si>
  <si>
    <t>销售成本与主营成本</t>
  </si>
  <si>
    <t>销售成本=主营业务成本</t>
  </si>
  <si>
    <t>应收总账与业务明细</t>
  </si>
  <si>
    <t>期末应收：期初应收+销售-回款，对比1122应收账款期末余额</t>
  </si>
  <si>
    <t>应付总账与业务明细</t>
  </si>
  <si>
    <t>期末应付：期初应付+采购-付款，对比2202应付账款期末余额</t>
  </si>
  <si>
    <t>库存总账与业务明细</t>
  </si>
  <si>
    <t>期末库存：期初库存+采购-销售成本，对比1405库存商品期末余额</t>
  </si>
  <si>
    <t>资金总账与账户余额</t>
  </si>
  <si>
    <t>期末资金：期初资金+实际流入-实际流出，对比现金/银行总账期末余额</t>
  </si>
  <si>
    <t>资产负债表平衡</t>
  </si>
  <si>
    <t>资产=负债+权益</t>
  </si>
  <si>
    <t>净利润复核</t>
  </si>
  <si>
    <t>经营口径=利润表净利润</t>
  </si>
  <si>
    <t>中</t>
  </si>
  <si>
    <t>会计科目映射完整性</t>
  </si>
  <si>
    <t>启用科目必须完成资产负债表/利润表映射；本年利润除外</t>
  </si>
  <si>
    <t>异常项目数</t>
  </si>
  <si>
    <t>简易操作说明</t>
  </si>
  <si>
    <t>顺序</t>
  </si>
  <si>
    <t>日常操作</t>
  </si>
  <si>
    <t>在哪里录</t>
  </si>
  <si>
    <t>1</t>
  </si>
  <si>
    <t>维护基础资料</t>
  </si>
  <si>
    <t>基础资料</t>
  </si>
  <si>
    <t>各模块横向维护，新增资料向下继续</t>
  </si>
  <si>
    <t>2</t>
  </si>
  <si>
    <t>登记实际收付款</t>
  </si>
  <si>
    <t>资金流水</t>
  </si>
  <si>
    <t>客户回款、供应商付款、费用、工资、转账只录这里</t>
  </si>
  <si>
    <t>3</t>
  </si>
  <si>
    <t>登记销售</t>
  </si>
  <si>
    <t>销售录入</t>
  </si>
  <si>
    <t>销售单价手工填写，金额/成本/毛利自动计算</t>
  </si>
  <si>
    <t>4</t>
  </si>
  <si>
    <t>登记采购</t>
  </si>
  <si>
    <t>采购录入</t>
  </si>
  <si>
    <t>采购单价手工填写，采购金额/到期日自动计算</t>
  </si>
  <si>
    <t>5</t>
  </si>
  <si>
    <t>催收及付款计划</t>
  </si>
  <si>
    <t>应收跟进/应付跟进</t>
  </si>
  <si>
    <t>账龄自动计算，黄色栏可填写跟进信息</t>
  </si>
  <si>
    <t>6</t>
  </si>
  <si>
    <t>月末检查</t>
  </si>
  <si>
    <t>全部正常后再把月份设为已结账</t>
  </si>
  <si>
    <t>7</t>
  </si>
  <si>
    <t>查看经营结果</t>
  </si>
  <si>
    <t>首页/经营分析/利润表/资产负债表</t>
  </si>
  <si>
    <t>首页看关键数，经营分析看12个月</t>
  </si>
  <si>
    <t>性能优化</t>
  </si>
  <si>
    <t>预留范围</t>
  </si>
  <si>
    <t>日常录入</t>
  </si>
  <si>
    <t>各100笔</t>
  </si>
  <si>
    <t>优先保证手机/WPS速度和公式稳定</t>
  </si>
  <si>
    <t>100个</t>
  </si>
  <si>
    <t>库存只显示有库存或本月发生购销的品种</t>
  </si>
  <si>
    <t>往来跟进</t>
  </si>
  <si>
    <t>前50个客户/供应商</t>
  </si>
  <si>
    <t>超过可复制公式区域继续扩展</t>
  </si>
  <si>
    <t>客户往来对账单</t>
  </si>
  <si>
    <t>起始日期</t>
  </si>
  <si>
    <t>结束日期</t>
  </si>
  <si>
    <t>对账状态</t>
  </si>
  <si>
    <t>待确认</t>
  </si>
  <si>
    <t>本期销售</t>
  </si>
  <si>
    <t>本期收款</t>
  </si>
  <si>
    <t>对账期间</t>
  </si>
  <si>
    <t>对账说明</t>
  </si>
  <si>
    <t>请核对下方购销及收付款明细；如有差异，请标注业务日期及金额后反馈。</t>
  </si>
  <si>
    <t>本对账单根据双方往来记录生成，仅用于往来核对。确认无误后，请在下方“对账确认”区域签字或盖章回传。</t>
  </si>
  <si>
    <t>客户销售明细</t>
  </si>
  <si>
    <t>客户收款明细</t>
  </si>
  <si>
    <t>销售日期</t>
  </si>
  <si>
    <t>销售单价</t>
  </si>
  <si>
    <t>收款日期</t>
  </si>
  <si>
    <t>收款账户</t>
  </si>
  <si>
    <t>收款金额</t>
  </si>
  <si>
    <t>经办人</t>
  </si>
  <si>
    <t>对账确认</t>
  </si>
  <si>
    <t>客户确认（签字/盖章）：</t>
  </si>
  <si>
    <t>我方经办人：</t>
  </si>
  <si>
    <t>客户确认日期：</t>
  </si>
  <si>
    <t>我方复核：</t>
  </si>
  <si>
    <t>如有差异，请将差异明细随本对账单一并反馈，以便双方及时核对调整。</t>
  </si>
  <si>
    <t>供应商往来对账单</t>
  </si>
  <si>
    <t>本期采购</t>
  </si>
  <si>
    <t>本期付款</t>
  </si>
  <si>
    <t>供应商采购明细</t>
  </si>
  <si>
    <t>供应商付款明细</t>
  </si>
  <si>
    <t>采购日期</t>
  </si>
  <si>
    <t>采购单价</t>
  </si>
  <si>
    <t>付款日期</t>
  </si>
  <si>
    <t>付款账户</t>
  </si>
  <si>
    <t>付款金额</t>
  </si>
  <si>
    <t>供应商确认（签字/盖章）：</t>
  </si>
  <si>
    <t>供应商确认日期：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</si>
</sst>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%"/>
    <numFmt numFmtId="178" formatCode="yyyy\-mm"/>
  </numFmts>
  <fonts count="35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1F4E78"/>
      <name val="Carlito"/>
      <charset val="134"/>
    </font>
    <font>
      <b/>
      <sz val="11"/>
      <name val="Carlito"/>
      <charset val="134"/>
    </font>
    <font>
      <b/>
      <sz val="12"/>
      <name val="Carlito"/>
      <charset val="134"/>
    </font>
    <font>
      <sz val="11"/>
      <color rgb="FF595959"/>
      <name val="Carlito"/>
      <charset val="134"/>
    </font>
    <font>
      <i/>
      <sz val="11"/>
      <color rgb="FF666666"/>
      <name val="Carlito"/>
      <charset val="134"/>
    </font>
    <font>
      <b/>
      <sz val="12"/>
      <color rgb="FFFFFFFF"/>
      <name val="Carlito"/>
      <charset val="134"/>
    </font>
    <font>
      <b/>
      <sz val="11"/>
      <color rgb="FF1F1F1F"/>
      <name val="Carlito"/>
      <charset val="134"/>
    </font>
    <font>
      <b/>
      <sz val="11"/>
      <color rgb="FFFFFFFF"/>
      <name val="Carlito"/>
      <charset val="134"/>
    </font>
    <font>
      <b/>
      <sz val="13"/>
      <color rgb="FFFFFFFF"/>
      <name val="Carlito"/>
      <charset val="134"/>
    </font>
    <font>
      <b/>
      <sz val="16"/>
      <color rgb="FFFFFFFF"/>
      <name val="Carlito"/>
      <charset val="134"/>
    </font>
    <font>
      <b/>
      <sz val="17"/>
      <color rgb="FFFFFFFF"/>
      <name val="Carlito"/>
      <charset val="134"/>
    </font>
    <font>
      <sz val="11"/>
      <color rgb="FF1F4E78"/>
      <name val="Carlito"/>
      <charset val="134"/>
    </font>
    <font>
      <b/>
      <sz val="11"/>
      <color rgb="FF203864"/>
      <name val="Carlito"/>
      <charset val="134"/>
    </font>
    <font>
      <b/>
      <sz val="15"/>
      <color rgb="FF203864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6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6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7" borderId="4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7" fillId="6" borderId="4" applyNumberFormat="0" applyAlignment="0" applyProtection="0">
      <alignment vertical="center"/>
    </xf>
    <xf numFmtId="0" fontId="28" fillId="18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0" fillId="0" borderId="0"/>
  </cellStyleXfs>
  <cellXfs count="7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3" fillId="4" borderId="0" xfId="49" applyNumberFormat="1" applyFont="1" applyFill="1" applyBorder="1" applyAlignment="1">
      <alignment horizontal="center" vertical="center"/>
    </xf>
    <xf numFmtId="176" fontId="3" fillId="4" borderId="0" xfId="49" applyNumberFormat="1" applyFont="1" applyFill="1" applyBorder="1" applyAlignment="1">
      <alignment horizontal="center" vertical="center"/>
    </xf>
    <xf numFmtId="176" fontId="0" fillId="0" borderId="0" xfId="49" applyNumberFormat="1" applyFont="1" applyFill="1" applyBorder="1"/>
    <xf numFmtId="176" fontId="2" fillId="3" borderId="0" xfId="49" applyNumberFormat="1" applyFont="1" applyFill="1" applyBorder="1" applyAlignment="1">
      <alignment horizontal="center" vertical="center"/>
    </xf>
    <xf numFmtId="4" fontId="4" fillId="5" borderId="0" xfId="49" applyNumberFormat="1" applyFont="1" applyFill="1" applyBorder="1" applyAlignment="1">
      <alignment horizontal="center"/>
    </xf>
    <xf numFmtId="0" fontId="5" fillId="6" borderId="0" xfId="49" applyNumberFormat="1" applyFont="1" applyFill="1" applyBorder="1" applyAlignment="1">
      <alignment wrapText="1"/>
    </xf>
    <xf numFmtId="0" fontId="6" fillId="7" borderId="0" xfId="49" applyNumberFormat="1" applyFont="1" applyFill="1" applyBorder="1" applyAlignment="1">
      <alignment wrapText="1"/>
    </xf>
    <xf numFmtId="0" fontId="7" fillId="8" borderId="0" xfId="49" applyNumberFormat="1" applyFont="1" applyFill="1" applyBorder="1" applyAlignment="1">
      <alignment horizontal="center" vertical="center"/>
    </xf>
    <xf numFmtId="0" fontId="0" fillId="6" borderId="0" xfId="49" applyNumberFormat="1" applyFont="1" applyFill="1" applyBorder="1"/>
    <xf numFmtId="0" fontId="7" fillId="9" borderId="0" xfId="49" applyNumberFormat="1" applyFont="1" applyFill="1" applyBorder="1" applyAlignment="1">
      <alignment horizontal="center" vertical="center"/>
    </xf>
    <xf numFmtId="176" fontId="8" fillId="3" borderId="0" xfId="49" applyNumberFormat="1" applyFont="1" applyFill="1" applyBorder="1" applyAlignment="1">
      <alignment horizontal="center" wrapText="1"/>
    </xf>
    <xf numFmtId="0" fontId="8" fillId="3" borderId="0" xfId="49" applyNumberFormat="1" applyFont="1" applyFill="1" applyBorder="1" applyAlignment="1">
      <alignment horizontal="center" wrapText="1"/>
    </xf>
    <xf numFmtId="4" fontId="8" fillId="3" borderId="0" xfId="49" applyNumberFormat="1" applyFont="1" applyFill="1" applyBorder="1" applyAlignment="1">
      <alignment horizontal="center" wrapText="1"/>
    </xf>
    <xf numFmtId="0" fontId="8" fillId="10" borderId="0" xfId="49" applyNumberFormat="1" applyFont="1" applyFill="1" applyBorder="1" applyAlignment="1">
      <alignment horizontal="center" wrapText="1"/>
    </xf>
    <xf numFmtId="4" fontId="0" fillId="0" borderId="0" xfId="49" applyNumberFormat="1" applyFont="1" applyFill="1" applyBorder="1"/>
    <xf numFmtId="176" fontId="9" fillId="9" borderId="0" xfId="49" applyNumberFormat="1" applyFont="1" applyFill="1" applyBorder="1" applyAlignment="1">
      <alignment horizontal="center"/>
    </xf>
    <xf numFmtId="0" fontId="9" fillId="9" borderId="0" xfId="49" applyNumberFormat="1" applyFont="1" applyFill="1" applyBorder="1" applyAlignment="1">
      <alignment horizontal="center"/>
    </xf>
    <xf numFmtId="4" fontId="9" fillId="9" borderId="0" xfId="49" applyNumberFormat="1" applyFont="1" applyFill="1" applyBorder="1" applyAlignment="1">
      <alignment horizontal="center"/>
    </xf>
    <xf numFmtId="176" fontId="9" fillId="2" borderId="0" xfId="49" applyNumberFormat="1" applyFont="1" applyFill="1" applyBorder="1" applyAlignment="1">
      <alignment horizontal="center"/>
    </xf>
    <xf numFmtId="0" fontId="9" fillId="2" borderId="0" xfId="49" applyNumberFormat="1" applyFont="1" applyFill="1" applyBorder="1" applyAlignment="1">
      <alignment horizontal="center"/>
    </xf>
    <xf numFmtId="4" fontId="9" fillId="2" borderId="0" xfId="49" applyNumberFormat="1" applyFont="1" applyFill="1" applyBorder="1" applyAlignment="1">
      <alignment horizontal="center"/>
    </xf>
    <xf numFmtId="176" fontId="9" fillId="9" borderId="0" xfId="49" applyNumberFormat="1" applyFont="1" applyFill="1" applyBorder="1" applyAlignment="1">
      <alignment horizontal="center" wrapText="1"/>
    </xf>
    <xf numFmtId="0" fontId="9" fillId="9" borderId="0" xfId="49" applyNumberFormat="1" applyFont="1" applyFill="1" applyBorder="1" applyAlignment="1">
      <alignment horizontal="center" wrapText="1"/>
    </xf>
    <xf numFmtId="4" fontId="9" fillId="9" borderId="0" xfId="49" applyNumberFormat="1" applyFont="1" applyFill="1" applyBorder="1" applyAlignment="1">
      <alignment horizontal="center" wrapText="1"/>
    </xf>
    <xf numFmtId="176" fontId="10" fillId="2" borderId="0" xfId="49" applyNumberFormat="1" applyFont="1" applyFill="1" applyBorder="1" applyAlignment="1">
      <alignment horizontal="center"/>
    </xf>
    <xf numFmtId="0" fontId="10" fillId="2" borderId="0" xfId="49" applyNumberFormat="1" applyFont="1" applyFill="1" applyBorder="1" applyAlignment="1">
      <alignment horizontal="center"/>
    </xf>
    <xf numFmtId="4" fontId="10" fillId="2" borderId="0" xfId="49" applyNumberFormat="1" applyFont="1" applyFill="1" applyBorder="1" applyAlignment="1">
      <alignment horizontal="center"/>
    </xf>
    <xf numFmtId="176" fontId="3" fillId="4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wrapText="1"/>
    </xf>
    <xf numFmtId="4" fontId="3" fillId="4" borderId="0" xfId="49" applyNumberFormat="1" applyFont="1" applyFill="1" applyBorder="1" applyAlignment="1">
      <alignment wrapText="1"/>
    </xf>
    <xf numFmtId="176" fontId="3" fillId="6" borderId="0" xfId="49" applyNumberFormat="1" applyFont="1" applyFill="1" applyBorder="1"/>
    <xf numFmtId="0" fontId="3" fillId="6" borderId="0" xfId="49" applyNumberFormat="1" applyFont="1" applyFill="1" applyBorder="1"/>
    <xf numFmtId="4" fontId="3" fillId="6" borderId="0" xfId="49" applyNumberFormat="1" applyFont="1" applyFill="1" applyBorder="1"/>
    <xf numFmtId="0" fontId="6" fillId="0" borderId="0" xfId="49" applyNumberFormat="1" applyFont="1" applyFill="1" applyBorder="1" applyAlignment="1">
      <alignment wrapText="1"/>
    </xf>
    <xf numFmtId="0" fontId="7" fillId="11" borderId="0" xfId="49" applyNumberFormat="1" applyFont="1" applyFill="1" applyBorder="1" applyAlignment="1">
      <alignment horizontal="center" vertical="center"/>
    </xf>
    <xf numFmtId="0" fontId="8" fillId="5" borderId="0" xfId="49" applyNumberFormat="1" applyFont="1" applyFill="1" applyBorder="1" applyAlignment="1">
      <alignment horizontal="center" wrapText="1"/>
    </xf>
    <xf numFmtId="176" fontId="9" fillId="8" borderId="0" xfId="49" applyNumberFormat="1" applyFont="1" applyFill="1" applyBorder="1" applyAlignment="1">
      <alignment horizontal="center"/>
    </xf>
    <xf numFmtId="0" fontId="9" fillId="8" borderId="0" xfId="49" applyNumberFormat="1" applyFont="1" applyFill="1" applyBorder="1" applyAlignment="1">
      <alignment horizontal="center"/>
    </xf>
    <xf numFmtId="4" fontId="9" fillId="8" borderId="0" xfId="49" applyNumberFormat="1" applyFont="1" applyFill="1" applyBorder="1" applyAlignment="1">
      <alignment horizontal="center"/>
    </xf>
    <xf numFmtId="176" fontId="9" fillId="8" borderId="0" xfId="49" applyNumberFormat="1" applyFont="1" applyFill="1" applyBorder="1" applyAlignment="1">
      <alignment horizontal="center" wrapText="1"/>
    </xf>
    <xf numFmtId="0" fontId="9" fillId="8" borderId="0" xfId="49" applyNumberFormat="1" applyFont="1" applyFill="1" applyBorder="1" applyAlignment="1">
      <alignment horizontal="center" wrapText="1"/>
    </xf>
    <xf numFmtId="4" fontId="9" fillId="8" borderId="0" xfId="49" applyNumberFormat="1" applyFont="1" applyFill="1" applyBorder="1" applyAlignment="1">
      <alignment horizontal="center" wrapText="1"/>
    </xf>
    <xf numFmtId="0" fontId="11" fillId="2" borderId="0" xfId="49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9" fillId="12" borderId="0" xfId="49" applyNumberFormat="1" applyFont="1" applyFill="1" applyBorder="1" applyAlignment="1">
      <alignment horizontal="center" wrapText="1"/>
    </xf>
    <xf numFmtId="0" fontId="9" fillId="11" borderId="0" xfId="49" applyNumberFormat="1" applyFont="1" applyFill="1" applyBorder="1" applyAlignment="1">
      <alignment horizontal="center" wrapText="1"/>
    </xf>
    <xf numFmtId="0" fontId="9" fillId="13" borderId="0" xfId="49" applyNumberFormat="1" applyFont="1" applyFill="1" applyBorder="1" applyAlignment="1">
      <alignment horizontal="center" wrapText="1"/>
    </xf>
    <xf numFmtId="177" fontId="9" fillId="8" borderId="0" xfId="49" applyNumberFormat="1" applyFont="1" applyFill="1" applyBorder="1" applyAlignment="1">
      <alignment horizontal="center" wrapText="1"/>
    </xf>
    <xf numFmtId="177" fontId="0" fillId="0" borderId="0" xfId="49" applyNumberFormat="1" applyFont="1" applyFill="1" applyBorder="1"/>
    <xf numFmtId="178" fontId="0" fillId="0" borderId="0" xfId="49" applyNumberFormat="1" applyFont="1" applyFill="1" applyBorder="1"/>
    <xf numFmtId="0" fontId="0" fillId="4" borderId="0" xfId="49" applyNumberFormat="1" applyFont="1" applyFill="1" applyBorder="1"/>
    <xf numFmtId="4" fontId="0" fillId="4" borderId="0" xfId="49" applyNumberFormat="1" applyFont="1" applyFill="1" applyBorder="1"/>
    <xf numFmtId="0" fontId="12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4" fontId="3" fillId="4" borderId="0" xfId="49" applyNumberFormat="1" applyFont="1" applyFill="1" applyBorder="1" applyAlignment="1">
      <alignment horizontal="center"/>
    </xf>
    <xf numFmtId="1" fontId="0" fillId="0" borderId="0" xfId="49" applyNumberFormat="1" applyFont="1" applyFill="1" applyBorder="1"/>
    <xf numFmtId="176" fontId="0" fillId="4" borderId="0" xfId="49" applyNumberFormat="1" applyFont="1" applyFill="1" applyBorder="1"/>
    <xf numFmtId="0" fontId="13" fillId="3" borderId="0" xfId="49" applyNumberFormat="1" applyFont="1" applyFill="1" applyBorder="1"/>
    <xf numFmtId="4" fontId="0" fillId="6" borderId="0" xfId="49" applyNumberFormat="1" applyFont="1" applyFill="1" applyBorder="1"/>
    <xf numFmtId="176" fontId="0" fillId="6" borderId="0" xfId="49" applyNumberFormat="1" applyFont="1" applyFill="1" applyBorder="1"/>
    <xf numFmtId="0" fontId="9" fillId="12" borderId="0" xfId="49" applyNumberFormat="1" applyFont="1" applyFill="1" applyBorder="1" applyAlignment="1">
      <alignment horizontal="center"/>
    </xf>
    <xf numFmtId="0" fontId="9" fillId="11" borderId="0" xfId="49" applyNumberFormat="1" applyFont="1" applyFill="1" applyBorder="1" applyAlignment="1">
      <alignment horizontal="center"/>
    </xf>
    <xf numFmtId="0" fontId="14" fillId="3" borderId="0" xfId="49" applyNumberFormat="1" applyFont="1" applyFill="1" applyBorder="1" applyAlignment="1">
      <alignment horizontal="center" wrapText="1"/>
    </xf>
    <xf numFmtId="0" fontId="12" fillId="2" borderId="0" xfId="49" applyNumberFormat="1" applyFont="1" applyFill="1" applyBorder="1" applyAlignment="1">
      <alignment horizontal="left"/>
    </xf>
    <xf numFmtId="0" fontId="9" fillId="13" borderId="0" xfId="49" applyNumberFormat="1" applyFont="1" applyFill="1" applyBorder="1" applyAlignment="1">
      <alignment horizontal="center"/>
    </xf>
    <xf numFmtId="178" fontId="0" fillId="14" borderId="0" xfId="49" applyNumberFormat="1" applyFont="1" applyFill="1" applyBorder="1"/>
    <xf numFmtId="0" fontId="15" fillId="15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9C0006"/>
      </font>
      <fill>
        <patternFill patternType="solid">
          <bgColor rgb="FFF4CC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eetMetadata" Target="metadata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G14" sqref="G14:I15"/>
    </sheetView>
  </sheetViews>
  <sheetFormatPr defaultColWidth="9" defaultRowHeight="14.25"/>
  <cols>
    <col min="1" max="12" width="12" customWidth="1"/>
  </cols>
  <sheetData>
    <row r="1" ht="20.25" spans="1:12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>
      <c r="A2" t="s">
        <v>1</v>
      </c>
    </row>
    <row r="4" spans="1:12">
      <c r="A4" t="s">
        <v>2</v>
      </c>
      <c r="B4" s="69">
        <v>46174</v>
      </c>
    </row>
    <row r="5" ht="15" spans="1:12">
      <c r="A5" s="40" t="s">
        <v>3</v>
      </c>
      <c r="B5" s="40"/>
      <c r="C5" s="40"/>
      <c r="D5" s="40" t="s">
        <v>4</v>
      </c>
      <c r="E5" s="40"/>
      <c r="F5" s="40"/>
      <c r="G5" s="40" t="s">
        <v>5</v>
      </c>
      <c r="H5" s="40"/>
      <c r="I5" s="40"/>
      <c r="J5" s="40" t="s">
        <v>6</v>
      </c>
      <c r="K5" s="40"/>
      <c r="L5" s="40"/>
    </row>
    <row r="6" spans="1:12">
      <c r="A6" s="70">
        <f>SUMIFS(销售录入!$I$4:$I$203,销售录入!$B$4:$B$203,TEXT($B$4,"yyyy-mm"))</f>
        <v>26080</v>
      </c>
      <c r="B6" s="70"/>
      <c r="C6" s="70"/>
      <c r="D6" s="70">
        <f>SUMIFS(资金流水!$J$4:$J$203,资金流水!$D$4:$D$203,"客户回款",资金流水!$B$4:$B$203,TEXT($B$4,"yyyy-mm"))</f>
        <v>20000</v>
      </c>
      <c r="E6" s="70"/>
      <c r="F6" s="70"/>
      <c r="G6" s="70">
        <f>库存收发存!M3</f>
        <v>13040</v>
      </c>
      <c r="H6" s="70"/>
      <c r="I6" s="70"/>
      <c r="J6" s="70">
        <f>利润表!C27</f>
        <v>-8360</v>
      </c>
      <c r="K6" s="70"/>
      <c r="L6" s="70"/>
    </row>
    <row r="7" spans="1:12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</row>
    <row r="9" ht="15" spans="1:12">
      <c r="A9" s="40" t="s">
        <v>7</v>
      </c>
      <c r="B9" s="40"/>
      <c r="C9" s="40"/>
      <c r="D9" s="40" t="s">
        <v>8</v>
      </c>
      <c r="E9" s="40"/>
      <c r="F9" s="40"/>
      <c r="G9" s="40" t="s">
        <v>9</v>
      </c>
      <c r="H9" s="40"/>
      <c r="I9" s="40"/>
      <c r="J9" s="40" t="s">
        <v>10</v>
      </c>
      <c r="K9" s="40"/>
      <c r="L9" s="40"/>
    </row>
    <row r="10" spans="1:12">
      <c r="A10" s="70">
        <f>账户余额!H55</f>
        <v>848600</v>
      </c>
      <c r="B10" s="70"/>
      <c r="C10" s="70"/>
      <c r="D10" s="70">
        <f>应收跟进!F3</f>
        <v>164080</v>
      </c>
      <c r="E10" s="70"/>
      <c r="F10" s="70"/>
      <c r="G10" s="70">
        <f>应收跟进!L3</f>
        <v>138000</v>
      </c>
      <c r="H10" s="70"/>
      <c r="I10" s="70"/>
      <c r="J10" s="70">
        <f>应付跟进!F3</f>
        <v>220300</v>
      </c>
      <c r="K10" s="70"/>
      <c r="L10" s="70"/>
    </row>
    <row r="11" spans="1:12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</row>
    <row r="13" ht="15" spans="1:12">
      <c r="A13" s="40" t="s">
        <v>11</v>
      </c>
      <c r="B13" s="40"/>
      <c r="C13" s="40"/>
      <c r="D13" s="40" t="s">
        <v>12</v>
      </c>
      <c r="E13" s="40"/>
      <c r="F13" s="40"/>
      <c r="G13" s="40" t="s">
        <v>13</v>
      </c>
      <c r="H13" s="40"/>
      <c r="I13" s="40"/>
      <c r="J13" s="40" t="s">
        <v>14</v>
      </c>
      <c r="K13" s="40"/>
      <c r="L13" s="40"/>
    </row>
    <row r="14" spans="1:12">
      <c r="A14" s="70">
        <f>应付跟进!G3</f>
        <v>16500</v>
      </c>
      <c r="B14" s="70"/>
      <c r="C14" s="70"/>
      <c r="D14" s="70">
        <f>库存收发存!J3</f>
        <v>107260</v>
      </c>
      <c r="E14" s="70"/>
      <c r="F14" s="70"/>
      <c r="G14" s="70">
        <f>账户余额!H55-应付跟进!G3</f>
        <v>832100</v>
      </c>
      <c r="H14" s="70"/>
      <c r="I14" s="70"/>
      <c r="J14" s="70" t="str">
        <f>财务勾稽核查!E15</f>
        <v>全部正常，可月结</v>
      </c>
      <c r="K14" s="70"/>
      <c r="L14" s="70"/>
    </row>
    <row r="15" spans="1:12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</row>
    <row r="18" spans="1:1">
      <c r="A18" t="s">
        <v>15</v>
      </c>
    </row>
  </sheetData>
  <mergeCells count="27">
    <mergeCell ref="A1:L1"/>
    <mergeCell ref="A2:L2"/>
    <mergeCell ref="A5:C5"/>
    <mergeCell ref="D5:F5"/>
    <mergeCell ref="G5:I5"/>
    <mergeCell ref="J5:L5"/>
    <mergeCell ref="A9:C9"/>
    <mergeCell ref="D9:F9"/>
    <mergeCell ref="G9:I9"/>
    <mergeCell ref="J9:L9"/>
    <mergeCell ref="A13:C13"/>
    <mergeCell ref="D13:F13"/>
    <mergeCell ref="G13:I13"/>
    <mergeCell ref="J13:L13"/>
    <mergeCell ref="A18:L18"/>
    <mergeCell ref="A6:C7"/>
    <mergeCell ref="D6:F7"/>
    <mergeCell ref="G6:I7"/>
    <mergeCell ref="J6:L7"/>
    <mergeCell ref="A10:C11"/>
    <mergeCell ref="D10:F11"/>
    <mergeCell ref="G10:I11"/>
    <mergeCell ref="J10:L11"/>
    <mergeCell ref="A14:C15"/>
    <mergeCell ref="D14:F15"/>
    <mergeCell ref="G14:I15"/>
    <mergeCell ref="J14:L1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04"/>
  <sheetViews>
    <sheetView workbookViewId="0">
      <selection activeCell="A1" sqref="A1"/>
    </sheetView>
  </sheetViews>
  <sheetFormatPr defaultColWidth="9" defaultRowHeight="14.25"/>
  <sheetData>
    <row r="1" ht="21.75" spans="1:49">
      <c r="A1" s="67" t="s">
        <v>16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</row>
    <row r="2" spans="1:49">
      <c r="A2" s="61" t="s">
        <v>17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ht="15" spans="1:49">
      <c r="A3" s="64" t="s">
        <v>18</v>
      </c>
      <c r="B3" s="64"/>
      <c r="C3" s="64"/>
      <c r="D3" s="64"/>
      <c r="F3" s="65" t="s">
        <v>19</v>
      </c>
      <c r="G3" s="65"/>
      <c r="H3" s="65"/>
      <c r="J3" s="68" t="s">
        <v>20</v>
      </c>
      <c r="K3" s="68"/>
      <c r="L3" s="68"/>
      <c r="M3" s="68"/>
      <c r="O3" s="19" t="s">
        <v>21</v>
      </c>
      <c r="P3" s="19"/>
      <c r="Q3" s="19"/>
      <c r="R3" s="19"/>
      <c r="S3" s="19"/>
      <c r="T3" s="19"/>
      <c r="U3" s="19"/>
      <c r="V3" s="19"/>
      <c r="W3" s="19"/>
      <c r="X3" s="64" t="s">
        <v>22</v>
      </c>
      <c r="Y3" s="64"/>
      <c r="Z3" s="64"/>
      <c r="AA3" s="64"/>
      <c r="AB3" s="64"/>
      <c r="AD3" s="19" t="s">
        <v>23</v>
      </c>
      <c r="AE3" s="19"/>
      <c r="AF3" s="19"/>
      <c r="AG3" s="19"/>
      <c r="AH3" s="19"/>
      <c r="AJ3" s="65" t="s">
        <v>24</v>
      </c>
      <c r="AK3" s="65"/>
      <c r="AL3" s="65"/>
      <c r="AM3" s="65"/>
      <c r="AO3" s="40" t="s">
        <v>25</v>
      </c>
      <c r="AP3" s="40"/>
      <c r="AQ3" s="40"/>
      <c r="AR3" s="40"/>
      <c r="AS3" s="40"/>
      <c r="AT3" s="40"/>
      <c r="AU3" s="40"/>
      <c r="AV3" s="40"/>
      <c r="AW3" s="40"/>
    </row>
    <row r="4" ht="27" spans="1:49">
      <c r="A4" s="66" t="s">
        <v>26</v>
      </c>
      <c r="B4" s="66" t="s">
        <v>27</v>
      </c>
      <c r="C4" s="66" t="s">
        <v>28</v>
      </c>
      <c r="D4" s="66" t="s">
        <v>29</v>
      </c>
      <c r="F4" s="66" t="s">
        <v>30</v>
      </c>
      <c r="G4" s="66" t="s">
        <v>29</v>
      </c>
      <c r="H4" s="66" t="s">
        <v>31</v>
      </c>
      <c r="J4" s="66" t="s">
        <v>32</v>
      </c>
      <c r="K4" s="66" t="s">
        <v>19</v>
      </c>
      <c r="L4" s="66" t="s">
        <v>33</v>
      </c>
      <c r="M4" s="66" t="s">
        <v>29</v>
      </c>
      <c r="O4" s="66" t="s">
        <v>34</v>
      </c>
      <c r="P4" s="66" t="s">
        <v>35</v>
      </c>
      <c r="Q4" s="66" t="s">
        <v>36</v>
      </c>
      <c r="R4" s="66" t="s">
        <v>37</v>
      </c>
      <c r="S4" s="66" t="s">
        <v>29</v>
      </c>
      <c r="T4" s="66" t="s">
        <v>38</v>
      </c>
      <c r="U4" s="66" t="s">
        <v>39</v>
      </c>
      <c r="V4" s="66" t="s">
        <v>31</v>
      </c>
      <c r="W4" s="66" t="s">
        <v>40</v>
      </c>
      <c r="X4" s="66" t="s">
        <v>41</v>
      </c>
      <c r="Y4" s="66" t="s">
        <v>42</v>
      </c>
      <c r="Z4" s="66" t="s">
        <v>43</v>
      </c>
      <c r="AA4" s="66" t="s">
        <v>44</v>
      </c>
      <c r="AB4" s="66" t="s">
        <v>29</v>
      </c>
      <c r="AD4" s="66" t="s">
        <v>45</v>
      </c>
      <c r="AE4" s="66" t="s">
        <v>46</v>
      </c>
      <c r="AF4" s="66" t="s">
        <v>47</v>
      </c>
      <c r="AG4" s="66" t="s">
        <v>44</v>
      </c>
      <c r="AH4" s="66" t="s">
        <v>29</v>
      </c>
      <c r="AJ4" s="66" t="s">
        <v>48</v>
      </c>
      <c r="AK4" s="66" t="s">
        <v>49</v>
      </c>
      <c r="AL4" s="66" t="s">
        <v>50</v>
      </c>
      <c r="AM4" s="66" t="s">
        <v>51</v>
      </c>
      <c r="AO4" s="66" t="s">
        <v>52</v>
      </c>
      <c r="AP4" s="66" t="s">
        <v>53</v>
      </c>
      <c r="AQ4" s="66" t="s">
        <v>54</v>
      </c>
      <c r="AR4" s="66" t="s">
        <v>55</v>
      </c>
      <c r="AS4" s="66" t="s">
        <v>56</v>
      </c>
      <c r="AT4" s="66" t="s">
        <v>57</v>
      </c>
      <c r="AU4" s="66" t="s">
        <v>58</v>
      </c>
      <c r="AV4" s="66" t="s">
        <v>59</v>
      </c>
      <c r="AW4" s="66" t="s">
        <v>60</v>
      </c>
    </row>
    <row r="5" spans="1:49">
      <c r="A5" s="54" t="s">
        <v>61</v>
      </c>
      <c r="B5" s="54" t="s">
        <v>62</v>
      </c>
      <c r="C5" s="54" t="s">
        <v>63</v>
      </c>
      <c r="D5" s="54" t="s">
        <v>64</v>
      </c>
      <c r="F5" s="54" t="s">
        <v>65</v>
      </c>
      <c r="G5" s="54" t="s">
        <v>64</v>
      </c>
      <c r="H5" s="54"/>
      <c r="J5" s="54" t="s">
        <v>66</v>
      </c>
      <c r="K5" s="54" t="s">
        <v>65</v>
      </c>
      <c r="L5" s="54" t="s">
        <v>67</v>
      </c>
      <c r="M5" s="54" t="s">
        <v>64</v>
      </c>
      <c r="O5" s="54" t="s">
        <v>68</v>
      </c>
      <c r="P5" s="54" t="s">
        <v>69</v>
      </c>
      <c r="Q5" s="54" t="s">
        <v>70</v>
      </c>
      <c r="R5" s="54" t="s">
        <v>71</v>
      </c>
      <c r="S5" s="54" t="s">
        <v>64</v>
      </c>
      <c r="T5" s="54">
        <v>100</v>
      </c>
      <c r="U5" s="54">
        <v>200</v>
      </c>
      <c r="V5" s="54"/>
      <c r="W5" s="11" t="str">
        <f>IF(P5="","",IF(SUMIFS(期初数据!$S$5:$S$14,期初数据!$P$5:$P$14,P5)+SUMIFS(采购录入!$G$4:$G$203,采购录入!$D$4:$D$203,P5,采购录入!$A$4:$A$203,"&lt;="&amp;EOMONTH(首页!$B$4,0))-SUMIFS(销售录入!$G$4:$G$203,销售录入!$D$4:$D$203,P5,销售录入!$A$4:$A$203,"&lt;="&amp;EOMONTH(首页!$B$4,0))&lt;&gt;0,"显示",IF(COUNTIFS(采购录入!$D$4:$D$203,P5,采购录入!$B$4:$B$203,TEXT(首页!$B$4,"yyyy-mm"))+COUNTIFS(销售录入!$D$4:$D$203,P5,销售录入!$B$4:$B$203,TEXT(首页!$B$4,"yyyy-mm"))&gt;0,"显示","")))</f>
        <v>显示</v>
      </c>
      <c r="X5" s="54" t="s">
        <v>72</v>
      </c>
      <c r="Y5" s="54" t="s">
        <v>73</v>
      </c>
      <c r="Z5" s="54" t="s">
        <v>66</v>
      </c>
      <c r="AA5" s="54">
        <v>30</v>
      </c>
      <c r="AB5" s="54" t="s">
        <v>64</v>
      </c>
      <c r="AD5" s="54" t="s">
        <v>74</v>
      </c>
      <c r="AE5" s="54" t="s">
        <v>75</v>
      </c>
      <c r="AF5" s="54" t="s">
        <v>76</v>
      </c>
      <c r="AG5" s="54">
        <v>30</v>
      </c>
      <c r="AH5" s="54" t="s">
        <v>64</v>
      </c>
      <c r="AJ5" s="54" t="s">
        <v>77</v>
      </c>
      <c r="AK5" s="54" t="s">
        <v>4</v>
      </c>
      <c r="AL5" s="54" t="s">
        <v>78</v>
      </c>
      <c r="AM5" s="54" t="s">
        <v>79</v>
      </c>
      <c r="AO5" s="54" t="s">
        <v>63</v>
      </c>
      <c r="AP5" s="54" t="s">
        <v>80</v>
      </c>
      <c r="AQ5" s="54" t="s">
        <v>81</v>
      </c>
      <c r="AR5" s="54" t="s">
        <v>82</v>
      </c>
      <c r="AS5" s="54" t="s">
        <v>83</v>
      </c>
      <c r="AT5" s="54" t="s">
        <v>84</v>
      </c>
      <c r="AU5" s="54"/>
      <c r="AV5" s="54" t="s">
        <v>85</v>
      </c>
      <c r="AW5" s="54" t="s">
        <v>86</v>
      </c>
    </row>
    <row r="6" spans="1:49">
      <c r="A6" s="54" t="s">
        <v>87</v>
      </c>
      <c r="B6" s="54" t="s">
        <v>88</v>
      </c>
      <c r="C6" s="54" t="s">
        <v>78</v>
      </c>
      <c r="D6" s="54" t="s">
        <v>64</v>
      </c>
      <c r="F6" s="54" t="s">
        <v>89</v>
      </c>
      <c r="G6" s="54" t="s">
        <v>64</v>
      </c>
      <c r="H6" s="54"/>
      <c r="J6" s="54" t="s">
        <v>90</v>
      </c>
      <c r="K6" s="54" t="s">
        <v>65</v>
      </c>
      <c r="L6" s="54" t="s">
        <v>67</v>
      </c>
      <c r="M6" s="54" t="s">
        <v>64</v>
      </c>
      <c r="O6" s="54" t="s">
        <v>91</v>
      </c>
      <c r="P6" s="54" t="s">
        <v>92</v>
      </c>
      <c r="Q6" s="54" t="s">
        <v>93</v>
      </c>
      <c r="R6" s="54" t="s">
        <v>71</v>
      </c>
      <c r="S6" s="54" t="s">
        <v>64</v>
      </c>
      <c r="T6" s="54">
        <v>125</v>
      </c>
      <c r="U6" s="54">
        <v>250</v>
      </c>
      <c r="V6" s="54"/>
      <c r="W6" s="11" t="str">
        <f>IF(P6="","",IF(SUMIFS(期初数据!$S$5:$S$14,期初数据!$P$5:$P$14,P6)+SUMIFS(采购录入!$G$4:$G$203,采购录入!$D$4:$D$203,P6,采购录入!$A$4:$A$203,"&lt;="&amp;EOMONTH(首页!$B$4,0))-SUMIFS(销售录入!$G$4:$G$203,销售录入!$D$4:$D$203,P6,销售录入!$A$4:$A$203,"&lt;="&amp;EOMONTH(首页!$B$4,0))&lt;&gt;0,"显示",IF(COUNTIFS(采购录入!$D$4:$D$203,P6,采购录入!$B$4:$B$203,TEXT(首页!$B$4,"yyyy-mm"))+COUNTIFS(销售录入!$D$4:$D$203,P6,销售录入!$B$4:$B$203,TEXT(首页!$B$4,"yyyy-mm"))&gt;0,"显示","")))</f>
        <v>显示</v>
      </c>
      <c r="X6" s="54" t="s">
        <v>94</v>
      </c>
      <c r="Y6" s="54" t="s">
        <v>95</v>
      </c>
      <c r="Z6" s="54" t="s">
        <v>90</v>
      </c>
      <c r="AA6" s="54">
        <v>30</v>
      </c>
      <c r="AB6" s="54" t="s">
        <v>64</v>
      </c>
      <c r="AD6" s="54" t="s">
        <v>96</v>
      </c>
      <c r="AE6" s="54" t="s">
        <v>97</v>
      </c>
      <c r="AF6" s="54" t="s">
        <v>76</v>
      </c>
      <c r="AG6" s="54">
        <v>30</v>
      </c>
      <c r="AH6" s="54" t="s">
        <v>64</v>
      </c>
      <c r="AJ6" s="54" t="s">
        <v>77</v>
      </c>
      <c r="AK6" s="54" t="s">
        <v>98</v>
      </c>
      <c r="AL6" s="54" t="s">
        <v>78</v>
      </c>
      <c r="AM6" s="54" t="s">
        <v>99</v>
      </c>
      <c r="AO6" s="54" t="s">
        <v>78</v>
      </c>
      <c r="AP6" s="54" t="s">
        <v>100</v>
      </c>
      <c r="AQ6" s="54" t="s">
        <v>81</v>
      </c>
      <c r="AR6" s="54" t="s">
        <v>82</v>
      </c>
      <c r="AS6" s="54" t="s">
        <v>83</v>
      </c>
      <c r="AT6" s="54" t="s">
        <v>84</v>
      </c>
      <c r="AU6" s="54"/>
      <c r="AV6" s="54" t="s">
        <v>85</v>
      </c>
      <c r="AW6" s="54" t="s">
        <v>86</v>
      </c>
    </row>
    <row r="7" spans="1:49">
      <c r="A7" s="54" t="s">
        <v>101</v>
      </c>
      <c r="B7" s="54" t="s">
        <v>88</v>
      </c>
      <c r="C7" s="54" t="s">
        <v>78</v>
      </c>
      <c r="D7" s="54" t="s">
        <v>64</v>
      </c>
      <c r="F7" s="54" t="s">
        <v>102</v>
      </c>
      <c r="G7" s="54" t="s">
        <v>64</v>
      </c>
      <c r="H7" s="54"/>
      <c r="J7" s="54" t="s">
        <v>76</v>
      </c>
      <c r="K7" s="54" t="s">
        <v>103</v>
      </c>
      <c r="L7" s="54" t="s">
        <v>104</v>
      </c>
      <c r="M7" s="54" t="s">
        <v>64</v>
      </c>
      <c r="O7" s="54" t="s">
        <v>105</v>
      </c>
      <c r="P7" s="54" t="s">
        <v>106</v>
      </c>
      <c r="Q7" s="54" t="s">
        <v>107</v>
      </c>
      <c r="R7" s="54" t="s">
        <v>71</v>
      </c>
      <c r="S7" s="54" t="s">
        <v>64</v>
      </c>
      <c r="T7" s="54">
        <v>50</v>
      </c>
      <c r="U7" s="54">
        <v>100</v>
      </c>
      <c r="V7" s="54"/>
      <c r="W7" s="11" t="str">
        <f>IF(P7="","",IF(SUMIFS(期初数据!$S$5:$S$14,期初数据!$P$5:$P$14,P7)+SUMIFS(采购录入!$G$4:$G$203,采购录入!$D$4:$D$203,P7,采购录入!$A$4:$A$203,"&lt;="&amp;EOMONTH(首页!$B$4,0))-SUMIFS(销售录入!$G$4:$G$203,销售录入!$D$4:$D$203,P7,销售录入!$A$4:$A$203,"&lt;="&amp;EOMONTH(首页!$B$4,0))&lt;&gt;0,"显示",IF(COUNTIFS(采购录入!$D$4:$D$203,P7,采购录入!$B$4:$B$203,TEXT(首页!$B$4,"yyyy-mm"))+COUNTIFS(销售录入!$D$4:$D$203,P7,销售录入!$B$4:$B$203,TEXT(首页!$B$4,"yyyy-mm"))&gt;0,"显示","")))</f>
        <v>显示</v>
      </c>
      <c r="X7" s="54" t="s">
        <v>108</v>
      </c>
      <c r="Y7" s="54" t="s">
        <v>109</v>
      </c>
      <c r="Z7" s="54" t="s">
        <v>66</v>
      </c>
      <c r="AA7" s="54">
        <v>45</v>
      </c>
      <c r="AB7" s="54" t="s">
        <v>64</v>
      </c>
      <c r="AD7" s="54" t="s">
        <v>110</v>
      </c>
      <c r="AE7" s="54" t="s">
        <v>111</v>
      </c>
      <c r="AF7" s="54" t="s">
        <v>76</v>
      </c>
      <c r="AG7" s="54">
        <v>45</v>
      </c>
      <c r="AH7" s="54" t="s">
        <v>64</v>
      </c>
      <c r="AJ7" s="54" t="s">
        <v>77</v>
      </c>
      <c r="AK7" s="54" t="s">
        <v>112</v>
      </c>
      <c r="AL7" s="54" t="s">
        <v>78</v>
      </c>
      <c r="AM7" s="54" t="s">
        <v>99</v>
      </c>
      <c r="AO7" s="54" t="s">
        <v>113</v>
      </c>
      <c r="AP7" s="54" t="s">
        <v>114</v>
      </c>
      <c r="AQ7" s="54" t="s">
        <v>81</v>
      </c>
      <c r="AR7" s="54" t="s">
        <v>82</v>
      </c>
      <c r="AS7" s="54" t="s">
        <v>83</v>
      </c>
      <c r="AT7" s="54" t="s">
        <v>84</v>
      </c>
      <c r="AU7" s="54"/>
      <c r="AV7" s="54" t="s">
        <v>85</v>
      </c>
      <c r="AW7" s="54" t="s">
        <v>86</v>
      </c>
    </row>
    <row r="8" spans="1:49">
      <c r="A8" s="54" t="s">
        <v>115</v>
      </c>
      <c r="B8" s="54" t="s">
        <v>88</v>
      </c>
      <c r="C8" s="54" t="s">
        <v>78</v>
      </c>
      <c r="D8" s="54" t="s">
        <v>64</v>
      </c>
      <c r="F8" s="54" t="s">
        <v>103</v>
      </c>
      <c r="G8" s="54" t="s">
        <v>64</v>
      </c>
      <c r="H8" s="54"/>
      <c r="J8" s="54" t="s">
        <v>116</v>
      </c>
      <c r="K8" s="54" t="s">
        <v>102</v>
      </c>
      <c r="L8" s="54" t="s">
        <v>117</v>
      </c>
      <c r="M8" s="54" t="s">
        <v>64</v>
      </c>
      <c r="O8" s="54" t="s">
        <v>118</v>
      </c>
      <c r="P8" s="54" t="s">
        <v>119</v>
      </c>
      <c r="Q8" s="54" t="s">
        <v>120</v>
      </c>
      <c r="R8" s="54" t="s">
        <v>71</v>
      </c>
      <c r="S8" s="54" t="s">
        <v>64</v>
      </c>
      <c r="T8" s="54">
        <v>200</v>
      </c>
      <c r="U8" s="54">
        <v>400</v>
      </c>
      <c r="V8" s="54"/>
      <c r="W8" s="11" t="str">
        <f>IF(P8="","",IF(SUMIFS(期初数据!$S$5:$S$14,期初数据!$P$5:$P$14,P8)+SUMIFS(采购录入!$G$4:$G$203,采购录入!$D$4:$D$203,P8,采购录入!$A$4:$A$203,"&lt;="&amp;EOMONTH(首页!$B$4,0))-SUMIFS(销售录入!$G$4:$G$203,销售录入!$D$4:$D$203,P8,销售录入!$A$4:$A$203,"&lt;="&amp;EOMONTH(首页!$B$4,0))&lt;&gt;0,"显示",IF(COUNTIFS(采购录入!$D$4:$D$203,P8,采购录入!$B$4:$B$203,TEXT(首页!$B$4,"yyyy-mm"))+COUNTIFS(销售录入!$D$4:$D$203,P8,销售录入!$B$4:$B$203,TEXT(首页!$B$4,"yyyy-mm"))&gt;0,"显示","")))</f>
        <v>显示</v>
      </c>
      <c r="X8" s="54" t="s">
        <v>121</v>
      </c>
      <c r="Y8" s="54" t="s">
        <v>122</v>
      </c>
      <c r="Z8" s="54" t="s">
        <v>90</v>
      </c>
      <c r="AA8" s="54">
        <v>30</v>
      </c>
      <c r="AB8" s="54" t="s">
        <v>64</v>
      </c>
      <c r="AD8" s="54" t="s">
        <v>123</v>
      </c>
      <c r="AE8" s="54" t="s">
        <v>124</v>
      </c>
      <c r="AF8" s="54" t="s">
        <v>76</v>
      </c>
      <c r="AG8" s="54">
        <v>30</v>
      </c>
      <c r="AH8" s="54" t="s">
        <v>64</v>
      </c>
      <c r="AJ8" s="54" t="s">
        <v>77</v>
      </c>
      <c r="AK8" s="54" t="s">
        <v>125</v>
      </c>
      <c r="AL8" s="54" t="s">
        <v>78</v>
      </c>
      <c r="AM8" s="54" t="s">
        <v>99</v>
      </c>
      <c r="AO8" s="54" t="s">
        <v>126</v>
      </c>
      <c r="AP8" s="54" t="s">
        <v>127</v>
      </c>
      <c r="AQ8" s="54" t="s">
        <v>81</v>
      </c>
      <c r="AR8" s="54" t="s">
        <v>82</v>
      </c>
      <c r="AS8" s="54" t="s">
        <v>83</v>
      </c>
      <c r="AT8" s="54" t="s">
        <v>127</v>
      </c>
      <c r="AU8" s="54"/>
      <c r="AV8" s="54" t="s">
        <v>85</v>
      </c>
      <c r="AW8" s="54" t="s">
        <v>86</v>
      </c>
    </row>
    <row r="9" spans="1:49">
      <c r="A9" s="54" t="s">
        <v>128</v>
      </c>
      <c r="B9" s="54" t="s">
        <v>88</v>
      </c>
      <c r="C9" s="54" t="s">
        <v>78</v>
      </c>
      <c r="D9" s="54" t="s">
        <v>64</v>
      </c>
      <c r="F9" s="54" t="s">
        <v>129</v>
      </c>
      <c r="G9" s="54" t="s">
        <v>64</v>
      </c>
      <c r="H9" s="54"/>
      <c r="J9" s="54" t="s">
        <v>130</v>
      </c>
      <c r="K9" s="54" t="s">
        <v>89</v>
      </c>
      <c r="L9" s="54" t="s">
        <v>131</v>
      </c>
      <c r="M9" s="54" t="s">
        <v>64</v>
      </c>
      <c r="O9" s="54" t="s">
        <v>132</v>
      </c>
      <c r="P9" s="54" t="s">
        <v>133</v>
      </c>
      <c r="Q9" s="54" t="s">
        <v>134</v>
      </c>
      <c r="R9" s="54" t="s">
        <v>71</v>
      </c>
      <c r="S9" s="54" t="s">
        <v>64</v>
      </c>
      <c r="T9" s="54">
        <v>25</v>
      </c>
      <c r="U9" s="54">
        <v>50</v>
      </c>
      <c r="V9" s="54"/>
      <c r="W9" s="11" t="str">
        <f>IF(P9="","",IF(SUMIFS(期初数据!$S$5:$S$14,期初数据!$P$5:$P$14,P9)+SUMIFS(采购录入!$G$4:$G$203,采购录入!$D$4:$D$203,P9,采购录入!$A$4:$A$203,"&lt;="&amp;EOMONTH(首页!$B$4,0))-SUMIFS(销售录入!$G$4:$G$203,销售录入!$D$4:$D$203,P9,销售录入!$A$4:$A$203,"&lt;="&amp;EOMONTH(首页!$B$4,0))&lt;&gt;0,"显示",IF(COUNTIFS(采购录入!$D$4:$D$203,P9,采购录入!$B$4:$B$203,TEXT(首页!$B$4,"yyyy-mm"))+COUNTIFS(销售录入!$D$4:$D$203,P9,销售录入!$B$4:$B$203,TEXT(首页!$B$4,"yyyy-mm"))&gt;0,"显示","")))</f>
        <v>显示</v>
      </c>
      <c r="X9" s="54" t="s">
        <v>135</v>
      </c>
      <c r="Y9" s="54" t="s">
        <v>136</v>
      </c>
      <c r="Z9" s="54" t="s">
        <v>66</v>
      </c>
      <c r="AA9" s="54">
        <v>60</v>
      </c>
      <c r="AB9" s="54" t="s">
        <v>64</v>
      </c>
      <c r="AD9" s="54" t="s">
        <v>137</v>
      </c>
      <c r="AE9" s="54" t="s">
        <v>138</v>
      </c>
      <c r="AF9" s="54" t="s">
        <v>76</v>
      </c>
      <c r="AG9" s="54">
        <v>60</v>
      </c>
      <c r="AH9" s="54" t="s">
        <v>64</v>
      </c>
      <c r="AJ9" s="54" t="s">
        <v>77</v>
      </c>
      <c r="AK9" s="54" t="s">
        <v>139</v>
      </c>
      <c r="AL9" s="54" t="s">
        <v>78</v>
      </c>
      <c r="AM9" s="54" t="s">
        <v>99</v>
      </c>
      <c r="AO9" s="54" t="s">
        <v>140</v>
      </c>
      <c r="AP9" s="54" t="s">
        <v>141</v>
      </c>
      <c r="AQ9" s="54" t="s">
        <v>81</v>
      </c>
      <c r="AR9" s="54" t="s">
        <v>82</v>
      </c>
      <c r="AS9" s="54" t="s">
        <v>83</v>
      </c>
      <c r="AT9" s="54" t="s">
        <v>141</v>
      </c>
      <c r="AU9" s="54"/>
      <c r="AV9" s="54" t="s">
        <v>85</v>
      </c>
      <c r="AW9" s="54" t="s">
        <v>86</v>
      </c>
    </row>
    <row r="10" spans="1:49">
      <c r="A10" s="54" t="s">
        <v>142</v>
      </c>
      <c r="B10" s="54" t="s">
        <v>88</v>
      </c>
      <c r="C10" s="54" t="s">
        <v>78</v>
      </c>
      <c r="D10" s="54" t="s">
        <v>64</v>
      </c>
      <c r="F10" s="54" t="s">
        <v>143</v>
      </c>
      <c r="G10" s="54" t="s">
        <v>64</v>
      </c>
      <c r="H10" s="54"/>
      <c r="J10" s="54" t="s">
        <v>144</v>
      </c>
      <c r="K10" s="54" t="s">
        <v>145</v>
      </c>
      <c r="L10" s="54" t="s">
        <v>146</v>
      </c>
      <c r="M10" s="54" t="s">
        <v>64</v>
      </c>
      <c r="O10" s="54" t="s">
        <v>147</v>
      </c>
      <c r="P10" s="54" t="s">
        <v>148</v>
      </c>
      <c r="Q10" s="54" t="s">
        <v>149</v>
      </c>
      <c r="R10" s="54" t="s">
        <v>71</v>
      </c>
      <c r="S10" s="54" t="s">
        <v>64</v>
      </c>
      <c r="T10" s="54">
        <v>80</v>
      </c>
      <c r="U10" s="54">
        <v>160</v>
      </c>
      <c r="V10" s="54"/>
      <c r="W10" s="11" t="str">
        <f>IF(P10="","",IF(SUMIFS(期初数据!$S$5:$S$14,期初数据!$P$5:$P$14,P10)+SUMIFS(采购录入!$G$4:$G$203,采购录入!$D$4:$D$203,P10,采购录入!$A$4:$A$203,"&lt;="&amp;EOMONTH(首页!$B$4,0))-SUMIFS(销售录入!$G$4:$G$203,销售录入!$D$4:$D$203,P10,销售录入!$A$4:$A$203,"&lt;="&amp;EOMONTH(首页!$B$4,0))&lt;&gt;0,"显示",IF(COUNTIFS(采购录入!$D$4:$D$203,P10,采购录入!$B$4:$B$203,TEXT(首页!$B$4,"yyyy-mm"))+COUNTIFS(销售录入!$D$4:$D$203,P10,销售录入!$B$4:$B$203,TEXT(首页!$B$4,"yyyy-mm"))&gt;0,"显示","")))</f>
        <v>显示</v>
      </c>
      <c r="X10" s="54" t="s">
        <v>150</v>
      </c>
      <c r="Y10" s="54" t="s">
        <v>151</v>
      </c>
      <c r="Z10" s="54" t="s">
        <v>90</v>
      </c>
      <c r="AA10" s="54">
        <v>30</v>
      </c>
      <c r="AB10" s="54" t="s">
        <v>64</v>
      </c>
      <c r="AD10" s="54" t="s">
        <v>152</v>
      </c>
      <c r="AE10" s="54" t="s">
        <v>153</v>
      </c>
      <c r="AF10" s="54" t="s">
        <v>76</v>
      </c>
      <c r="AG10" s="54">
        <v>30</v>
      </c>
      <c r="AH10" s="54" t="s">
        <v>64</v>
      </c>
      <c r="AJ10" s="54" t="s">
        <v>77</v>
      </c>
      <c r="AK10" s="54" t="s">
        <v>154</v>
      </c>
      <c r="AL10" s="54" t="s">
        <v>78</v>
      </c>
      <c r="AM10" s="54" t="s">
        <v>99</v>
      </c>
      <c r="AO10" s="54" t="s">
        <v>79</v>
      </c>
      <c r="AP10" s="54" t="s">
        <v>155</v>
      </c>
      <c r="AQ10" s="54" t="s">
        <v>81</v>
      </c>
      <c r="AR10" s="54" t="s">
        <v>82</v>
      </c>
      <c r="AS10" s="54" t="s">
        <v>83</v>
      </c>
      <c r="AT10" s="54" t="s">
        <v>155</v>
      </c>
      <c r="AU10" s="54"/>
      <c r="AV10" s="54" t="s">
        <v>85</v>
      </c>
      <c r="AW10" s="54" t="s">
        <v>156</v>
      </c>
    </row>
    <row r="11" spans="1:49">
      <c r="A11" s="54" t="s">
        <v>157</v>
      </c>
      <c r="B11" s="54" t="s">
        <v>158</v>
      </c>
      <c r="C11" s="54" t="s">
        <v>78</v>
      </c>
      <c r="D11" s="54" t="s">
        <v>64</v>
      </c>
      <c r="F11" s="54" t="s">
        <v>145</v>
      </c>
      <c r="G11" s="54" t="s">
        <v>64</v>
      </c>
      <c r="H11" s="54"/>
      <c r="J11" s="54" t="s">
        <v>159</v>
      </c>
      <c r="K11" s="54" t="s">
        <v>129</v>
      </c>
      <c r="L11" s="54" t="s">
        <v>160</v>
      </c>
      <c r="M11" s="54" t="s">
        <v>64</v>
      </c>
      <c r="O11" s="54" t="s">
        <v>161</v>
      </c>
      <c r="P11" s="54" t="s">
        <v>162</v>
      </c>
      <c r="Q11" s="54" t="s">
        <v>163</v>
      </c>
      <c r="R11" s="54" t="s">
        <v>71</v>
      </c>
      <c r="S11" s="54" t="s">
        <v>64</v>
      </c>
      <c r="T11" s="54">
        <v>75</v>
      </c>
      <c r="U11" s="54">
        <v>150</v>
      </c>
      <c r="V11" s="54"/>
      <c r="W11" s="11" t="str">
        <f>IF(P11="","",IF(SUMIFS(期初数据!$S$5:$S$14,期初数据!$P$5:$P$14,P11)+SUMIFS(采购录入!$G$4:$G$203,采购录入!$D$4:$D$203,P11,采购录入!$A$4:$A$203,"&lt;="&amp;EOMONTH(首页!$B$4,0))-SUMIFS(销售录入!$G$4:$G$203,销售录入!$D$4:$D$203,P11,销售录入!$A$4:$A$203,"&lt;="&amp;EOMONTH(首页!$B$4,0))&lt;&gt;0,"显示",IF(COUNTIFS(采购录入!$D$4:$D$203,P11,采购录入!$B$4:$B$203,TEXT(首页!$B$4,"yyyy-mm"))+COUNTIFS(销售录入!$D$4:$D$203,P11,销售录入!$B$4:$B$203,TEXT(首页!$B$4,"yyyy-mm"))&gt;0,"显示","")))</f>
        <v>显示</v>
      </c>
      <c r="X11" s="54" t="s">
        <v>164</v>
      </c>
      <c r="Y11" s="54" t="s">
        <v>165</v>
      </c>
      <c r="Z11" s="54" t="s">
        <v>66</v>
      </c>
      <c r="AA11" s="54">
        <v>45</v>
      </c>
      <c r="AB11" s="54" t="s">
        <v>64</v>
      </c>
      <c r="AD11" s="54" t="s">
        <v>166</v>
      </c>
      <c r="AE11" s="54" t="s">
        <v>167</v>
      </c>
      <c r="AF11" s="54" t="s">
        <v>76</v>
      </c>
      <c r="AG11" s="54">
        <v>45</v>
      </c>
      <c r="AH11" s="54" t="s">
        <v>64</v>
      </c>
      <c r="AJ11" s="54" t="s">
        <v>77</v>
      </c>
      <c r="AK11" s="54" t="s">
        <v>168</v>
      </c>
      <c r="AL11" s="54" t="s">
        <v>78</v>
      </c>
      <c r="AM11" s="54" t="s">
        <v>99</v>
      </c>
      <c r="AO11" s="54" t="s">
        <v>169</v>
      </c>
      <c r="AP11" s="54" t="s">
        <v>170</v>
      </c>
      <c r="AQ11" s="54" t="s">
        <v>81</v>
      </c>
      <c r="AR11" s="54" t="s">
        <v>82</v>
      </c>
      <c r="AS11" s="54" t="s">
        <v>83</v>
      </c>
      <c r="AT11" s="54" t="s">
        <v>171</v>
      </c>
      <c r="AU11" s="54"/>
      <c r="AV11" s="54" t="s">
        <v>85</v>
      </c>
      <c r="AW11" s="54" t="s">
        <v>172</v>
      </c>
    </row>
    <row r="12" spans="1:49">
      <c r="A12" s="54" t="s">
        <v>173</v>
      </c>
      <c r="B12" s="54" t="s">
        <v>158</v>
      </c>
      <c r="C12" s="54" t="s">
        <v>78</v>
      </c>
      <c r="D12" s="54" t="s">
        <v>64</v>
      </c>
      <c r="F12" s="54" t="s">
        <v>174</v>
      </c>
      <c r="G12" s="54" t="s">
        <v>64</v>
      </c>
      <c r="H12" s="54"/>
      <c r="J12" s="54" t="s">
        <v>175</v>
      </c>
      <c r="K12" s="54" t="s">
        <v>174</v>
      </c>
      <c r="L12" s="54" t="s">
        <v>176</v>
      </c>
      <c r="M12" s="54" t="s">
        <v>64</v>
      </c>
      <c r="O12" s="54" t="s">
        <v>177</v>
      </c>
      <c r="P12" s="54" t="s">
        <v>178</v>
      </c>
      <c r="Q12" s="54" t="s">
        <v>179</v>
      </c>
      <c r="R12" s="54" t="s">
        <v>71</v>
      </c>
      <c r="S12" s="54" t="s">
        <v>64</v>
      </c>
      <c r="T12" s="54">
        <v>150</v>
      </c>
      <c r="U12" s="54">
        <v>300</v>
      </c>
      <c r="V12" s="54"/>
      <c r="W12" s="11" t="str">
        <f>IF(P12="","",IF(SUMIFS(期初数据!$S$5:$S$14,期初数据!$P$5:$P$14,P12)+SUMIFS(采购录入!$G$4:$G$203,采购录入!$D$4:$D$203,P12,采购录入!$A$4:$A$203,"&lt;="&amp;EOMONTH(首页!$B$4,0))-SUMIFS(销售录入!$G$4:$G$203,销售录入!$D$4:$D$203,P12,销售录入!$A$4:$A$203,"&lt;="&amp;EOMONTH(首页!$B$4,0))&lt;&gt;0,"显示",IF(COUNTIFS(采购录入!$D$4:$D$203,P12,采购录入!$B$4:$B$203,TEXT(首页!$B$4,"yyyy-mm"))+COUNTIFS(销售录入!$D$4:$D$203,P12,销售录入!$B$4:$B$203,TEXT(首页!$B$4,"yyyy-mm"))&gt;0,"显示","")))</f>
        <v>显示</v>
      </c>
      <c r="X12" s="54" t="s">
        <v>180</v>
      </c>
      <c r="Y12" s="54" t="s">
        <v>181</v>
      </c>
      <c r="Z12" s="54" t="s">
        <v>90</v>
      </c>
      <c r="AA12" s="54">
        <v>30</v>
      </c>
      <c r="AB12" s="54" t="s">
        <v>64</v>
      </c>
      <c r="AD12" s="54" t="s">
        <v>182</v>
      </c>
      <c r="AE12" s="54" t="s">
        <v>183</v>
      </c>
      <c r="AF12" s="54" t="s">
        <v>76</v>
      </c>
      <c r="AG12" s="54">
        <v>30</v>
      </c>
      <c r="AH12" s="54" t="s">
        <v>64</v>
      </c>
      <c r="AJ12" s="54" t="s">
        <v>77</v>
      </c>
      <c r="AK12" s="54" t="s">
        <v>184</v>
      </c>
      <c r="AL12" s="54" t="s">
        <v>78</v>
      </c>
      <c r="AM12" s="54" t="s">
        <v>99</v>
      </c>
      <c r="AO12" s="54" t="s">
        <v>185</v>
      </c>
      <c r="AP12" s="54" t="s">
        <v>186</v>
      </c>
      <c r="AQ12" s="54" t="s">
        <v>81</v>
      </c>
      <c r="AR12" s="54" t="s">
        <v>82</v>
      </c>
      <c r="AS12" s="54" t="s">
        <v>83</v>
      </c>
      <c r="AT12" s="54" t="s">
        <v>186</v>
      </c>
      <c r="AU12" s="54"/>
      <c r="AV12" s="54" t="s">
        <v>85</v>
      </c>
      <c r="AW12" s="54" t="s">
        <v>86</v>
      </c>
    </row>
    <row r="13" spans="1:49">
      <c r="A13" s="54" t="s">
        <v>187</v>
      </c>
      <c r="B13" s="54" t="s">
        <v>62</v>
      </c>
      <c r="C13" s="54" t="s">
        <v>63</v>
      </c>
      <c r="D13" s="54" t="s">
        <v>64</v>
      </c>
      <c r="F13" s="54" t="s">
        <v>188</v>
      </c>
      <c r="G13" s="54" t="s">
        <v>64</v>
      </c>
      <c r="H13" s="54"/>
      <c r="J13" s="54" t="s">
        <v>189</v>
      </c>
      <c r="K13" s="54" t="s">
        <v>188</v>
      </c>
      <c r="L13" s="54" t="s">
        <v>190</v>
      </c>
      <c r="M13" s="54" t="s">
        <v>64</v>
      </c>
      <c r="O13" s="54" t="s">
        <v>191</v>
      </c>
      <c r="P13" s="54" t="s">
        <v>192</v>
      </c>
      <c r="Q13" s="54" t="s">
        <v>193</v>
      </c>
      <c r="R13" s="54" t="s">
        <v>71</v>
      </c>
      <c r="S13" s="54" t="s">
        <v>64</v>
      </c>
      <c r="T13" s="54">
        <v>30</v>
      </c>
      <c r="U13" s="54">
        <v>60</v>
      </c>
      <c r="V13" s="54"/>
      <c r="W13" s="11" t="str">
        <f>IF(P13="","",IF(SUMIFS(期初数据!$S$5:$S$14,期初数据!$P$5:$P$14,P13)+SUMIFS(采购录入!$G$4:$G$203,采购录入!$D$4:$D$203,P13,采购录入!$A$4:$A$203,"&lt;="&amp;EOMONTH(首页!$B$4,0))-SUMIFS(销售录入!$G$4:$G$203,销售录入!$D$4:$D$203,P13,销售录入!$A$4:$A$203,"&lt;="&amp;EOMONTH(首页!$B$4,0))&lt;&gt;0,"显示",IF(COUNTIFS(采购录入!$D$4:$D$203,P13,采购录入!$B$4:$B$203,TEXT(首页!$B$4,"yyyy-mm"))+COUNTIFS(销售录入!$D$4:$D$203,P13,销售录入!$B$4:$B$203,TEXT(首页!$B$4,"yyyy-mm"))&gt;0,"显示","")))</f>
        <v>显示</v>
      </c>
      <c r="X13" s="54" t="s">
        <v>194</v>
      </c>
      <c r="Y13" s="54" t="s">
        <v>195</v>
      </c>
      <c r="Z13" s="54" t="s">
        <v>66</v>
      </c>
      <c r="AA13" s="54">
        <v>30</v>
      </c>
      <c r="AB13" s="54" t="s">
        <v>64</v>
      </c>
      <c r="AD13" s="54" t="s">
        <v>196</v>
      </c>
      <c r="AE13" s="54" t="s">
        <v>197</v>
      </c>
      <c r="AF13" s="54" t="s">
        <v>76</v>
      </c>
      <c r="AG13" s="54">
        <v>30</v>
      </c>
      <c r="AH13" s="54" t="s">
        <v>64</v>
      </c>
      <c r="AJ13" s="54" t="s">
        <v>77</v>
      </c>
      <c r="AK13" s="54" t="s">
        <v>198</v>
      </c>
      <c r="AL13" s="54" t="s">
        <v>78</v>
      </c>
      <c r="AM13" s="54" t="s">
        <v>99</v>
      </c>
      <c r="AO13" s="54" t="s">
        <v>199</v>
      </c>
      <c r="AP13" s="54" t="s">
        <v>200</v>
      </c>
      <c r="AQ13" s="54" t="s">
        <v>81</v>
      </c>
      <c r="AR13" s="54" t="s">
        <v>82</v>
      </c>
      <c r="AS13" s="54" t="s">
        <v>83</v>
      </c>
      <c r="AT13" s="54" t="s">
        <v>200</v>
      </c>
      <c r="AU13" s="54"/>
      <c r="AV13" s="54" t="s">
        <v>85</v>
      </c>
      <c r="AW13" s="54" t="s">
        <v>86</v>
      </c>
    </row>
    <row r="14" spans="1:49">
      <c r="A14" s="54" t="s">
        <v>201</v>
      </c>
      <c r="B14" s="54" t="s">
        <v>88</v>
      </c>
      <c r="C14" s="54" t="s">
        <v>78</v>
      </c>
      <c r="D14" s="54" t="s">
        <v>64</v>
      </c>
      <c r="F14" s="54" t="s">
        <v>202</v>
      </c>
      <c r="G14" s="54" t="s">
        <v>64</v>
      </c>
      <c r="H14" s="54"/>
      <c r="J14" s="54" t="s">
        <v>203</v>
      </c>
      <c r="K14" s="54" t="s">
        <v>202</v>
      </c>
      <c r="L14" s="54" t="s">
        <v>204</v>
      </c>
      <c r="M14" s="54" t="s">
        <v>64</v>
      </c>
      <c r="O14" s="54" t="s">
        <v>205</v>
      </c>
      <c r="P14" s="54" t="s">
        <v>206</v>
      </c>
      <c r="Q14" s="54" t="s">
        <v>207</v>
      </c>
      <c r="R14" s="54" t="s">
        <v>71</v>
      </c>
      <c r="S14" s="54" t="s">
        <v>64</v>
      </c>
      <c r="T14" s="54">
        <v>60</v>
      </c>
      <c r="U14" s="54">
        <v>120</v>
      </c>
      <c r="V14" s="54"/>
      <c r="W14" s="11" t="str">
        <f>IF(P14="","",IF(SUMIFS(期初数据!$S$5:$S$14,期初数据!$P$5:$P$14,P14)+SUMIFS(采购录入!$G$4:$G$203,采购录入!$D$4:$D$203,P14,采购录入!$A$4:$A$203,"&lt;="&amp;EOMONTH(首页!$B$4,0))-SUMIFS(销售录入!$G$4:$G$203,销售录入!$D$4:$D$203,P14,销售录入!$A$4:$A$203,"&lt;="&amp;EOMONTH(首页!$B$4,0))&lt;&gt;0,"显示",IF(COUNTIFS(采购录入!$D$4:$D$203,P14,采购录入!$B$4:$B$203,TEXT(首页!$B$4,"yyyy-mm"))+COUNTIFS(销售录入!$D$4:$D$203,P14,销售录入!$B$4:$B$203,TEXT(首页!$B$4,"yyyy-mm"))&gt;0,"显示","")))</f>
        <v>显示</v>
      </c>
      <c r="X14" s="54" t="s">
        <v>208</v>
      </c>
      <c r="Y14" s="54" t="s">
        <v>209</v>
      </c>
      <c r="Z14" s="54" t="s">
        <v>90</v>
      </c>
      <c r="AA14" s="54">
        <v>60</v>
      </c>
      <c r="AB14" s="54" t="s">
        <v>64</v>
      </c>
      <c r="AD14" s="54" t="s">
        <v>210</v>
      </c>
      <c r="AE14" s="54" t="s">
        <v>211</v>
      </c>
      <c r="AF14" s="54" t="s">
        <v>76</v>
      </c>
      <c r="AG14" s="54">
        <v>60</v>
      </c>
      <c r="AH14" s="54" t="s">
        <v>64</v>
      </c>
      <c r="AJ14" s="54" t="s">
        <v>77</v>
      </c>
      <c r="AK14" s="54" t="s">
        <v>212</v>
      </c>
      <c r="AL14" s="54" t="s">
        <v>78</v>
      </c>
      <c r="AM14" s="54" t="s">
        <v>99</v>
      </c>
      <c r="AO14" s="54" t="s">
        <v>213</v>
      </c>
      <c r="AP14" s="54" t="s">
        <v>214</v>
      </c>
      <c r="AQ14" s="54" t="s">
        <v>81</v>
      </c>
      <c r="AR14" s="54" t="s">
        <v>82</v>
      </c>
      <c r="AS14" s="54" t="s">
        <v>83</v>
      </c>
      <c r="AT14" s="54" t="s">
        <v>214</v>
      </c>
      <c r="AU14" s="54"/>
      <c r="AV14" s="54" t="s">
        <v>85</v>
      </c>
      <c r="AW14" s="54" t="s">
        <v>215</v>
      </c>
    </row>
    <row r="15" spans="1:49">
      <c r="A15" s="54"/>
      <c r="B15" s="54"/>
      <c r="C15" s="54"/>
      <c r="D15" s="54"/>
      <c r="F15" s="54"/>
      <c r="G15" s="54"/>
      <c r="H15" s="54"/>
      <c r="J15" s="54"/>
      <c r="K15" s="54"/>
      <c r="L15" s="54"/>
      <c r="M15" s="54"/>
      <c r="O15" s="54"/>
      <c r="P15" s="54"/>
      <c r="Q15" s="54"/>
      <c r="R15" s="54"/>
      <c r="S15" s="54"/>
      <c r="T15" s="54"/>
      <c r="U15" s="54"/>
      <c r="V15" s="54"/>
      <c r="W15" s="11" t="str">
        <f>IF(P15="","",IF(SUMIFS(期初数据!$S$5:$S$14,期初数据!$P$5:$P$14,P15)+SUMIFS(采购录入!$G$4:$G$203,采购录入!$D$4:$D$203,P15,采购录入!$A$4:$A$203,"&lt;="&amp;EOMONTH(首页!$B$4,0))-SUMIFS(销售录入!$G$4:$G$203,销售录入!$D$4:$D$203,P15,销售录入!$A$4:$A$203,"&lt;="&amp;EOMONTH(首页!$B$4,0))&lt;&gt;0,"显示",IF(COUNTIFS(采购录入!$D$4:$D$203,P15,采购录入!$B$4:$B$203,TEXT(首页!$B$4,"yyyy-mm"))+COUNTIFS(销售录入!$D$4:$D$203,P15,销售录入!$B$4:$B$203,TEXT(首页!$B$4,"yyyy-mm"))&gt;0,"显示","")))</f>
        <v/>
      </c>
      <c r="X15" s="54"/>
      <c r="Y15" s="54"/>
      <c r="Z15" s="54"/>
      <c r="AA15" s="54"/>
      <c r="AB15" s="54"/>
      <c r="AD15" s="54"/>
      <c r="AE15" s="54"/>
      <c r="AF15" s="54"/>
      <c r="AG15" s="54"/>
      <c r="AH15" s="54"/>
      <c r="AJ15" s="54" t="s">
        <v>216</v>
      </c>
      <c r="AK15" s="54" t="s">
        <v>217</v>
      </c>
      <c r="AL15" s="54" t="s">
        <v>218</v>
      </c>
      <c r="AM15" s="54" t="s">
        <v>78</v>
      </c>
      <c r="AO15" s="54" t="s">
        <v>219</v>
      </c>
      <c r="AP15" s="54" t="s">
        <v>220</v>
      </c>
      <c r="AQ15" s="54" t="s">
        <v>81</v>
      </c>
      <c r="AR15" s="54" t="s">
        <v>221</v>
      </c>
      <c r="AS15" s="54" t="s">
        <v>83</v>
      </c>
      <c r="AT15" s="54" t="s">
        <v>155</v>
      </c>
      <c r="AU15" s="54"/>
      <c r="AV15" s="54" t="s">
        <v>85</v>
      </c>
      <c r="AW15" s="54" t="s">
        <v>86</v>
      </c>
    </row>
    <row r="16" spans="1:49">
      <c r="A16" s="54"/>
      <c r="B16" s="54"/>
      <c r="C16" s="54"/>
      <c r="D16" s="54"/>
      <c r="F16" s="54"/>
      <c r="G16" s="54"/>
      <c r="H16" s="54"/>
      <c r="J16" s="54"/>
      <c r="K16" s="54"/>
      <c r="L16" s="54"/>
      <c r="M16" s="54"/>
      <c r="O16" s="54"/>
      <c r="P16" s="54"/>
      <c r="Q16" s="54"/>
      <c r="R16" s="54"/>
      <c r="S16" s="54"/>
      <c r="T16" s="54"/>
      <c r="U16" s="54"/>
      <c r="V16" s="54"/>
      <c r="W16" s="11" t="str">
        <f>IF(P16="","",IF(SUMIFS(期初数据!$S$5:$S$14,期初数据!$P$5:$P$14,P16)+SUMIFS(采购录入!$G$4:$G$203,采购录入!$D$4:$D$203,P16,采购录入!$A$4:$A$203,"&lt;="&amp;EOMONTH(首页!$B$4,0))-SUMIFS(销售录入!$G$4:$G$203,销售录入!$D$4:$D$203,P16,销售录入!$A$4:$A$203,"&lt;="&amp;EOMONTH(首页!$B$4,0))&lt;&gt;0,"显示",IF(COUNTIFS(采购录入!$D$4:$D$203,P16,采购录入!$B$4:$B$203,TEXT(首页!$B$4,"yyyy-mm"))+COUNTIFS(销售录入!$D$4:$D$203,P16,销售录入!$B$4:$B$203,TEXT(首页!$B$4,"yyyy-mm"))&gt;0,"显示","")))</f>
        <v/>
      </c>
      <c r="X16" s="54"/>
      <c r="Y16" s="54"/>
      <c r="Z16" s="54"/>
      <c r="AA16" s="54"/>
      <c r="AB16" s="54"/>
      <c r="AD16" s="54"/>
      <c r="AE16" s="54"/>
      <c r="AF16" s="54"/>
      <c r="AG16" s="54"/>
      <c r="AH16" s="54"/>
      <c r="AJ16" s="54" t="s">
        <v>216</v>
      </c>
      <c r="AK16" s="54" t="s">
        <v>222</v>
      </c>
      <c r="AL16" s="54" t="s">
        <v>223</v>
      </c>
      <c r="AM16" s="54" t="s">
        <v>78</v>
      </c>
      <c r="AO16" s="54" t="s">
        <v>224</v>
      </c>
      <c r="AP16" s="54" t="s">
        <v>225</v>
      </c>
      <c r="AQ16" s="54" t="s">
        <v>81</v>
      </c>
      <c r="AR16" s="54" t="s">
        <v>82</v>
      </c>
      <c r="AS16" s="54" t="s">
        <v>83</v>
      </c>
      <c r="AT16" s="54" t="s">
        <v>226</v>
      </c>
      <c r="AU16" s="54"/>
      <c r="AV16" s="54" t="s">
        <v>85</v>
      </c>
      <c r="AW16" s="54" t="s">
        <v>86</v>
      </c>
    </row>
    <row r="17" spans="1:49">
      <c r="A17" s="54"/>
      <c r="B17" s="54"/>
      <c r="C17" s="54"/>
      <c r="D17" s="54"/>
      <c r="F17" s="54"/>
      <c r="G17" s="54"/>
      <c r="H17" s="54"/>
      <c r="J17" s="54"/>
      <c r="K17" s="54"/>
      <c r="L17" s="54"/>
      <c r="M17" s="54"/>
      <c r="O17" s="54"/>
      <c r="P17" s="54"/>
      <c r="Q17" s="54"/>
      <c r="R17" s="54"/>
      <c r="S17" s="54"/>
      <c r="T17" s="54"/>
      <c r="U17" s="54"/>
      <c r="V17" s="54"/>
      <c r="W17" s="11" t="str">
        <f>IF(P17="","",IF(SUMIFS(期初数据!$S$5:$S$14,期初数据!$P$5:$P$14,P17)+SUMIFS(采购录入!$G$4:$G$203,采购录入!$D$4:$D$203,P17,采购录入!$A$4:$A$203,"&lt;="&amp;EOMONTH(首页!$B$4,0))-SUMIFS(销售录入!$G$4:$G$203,销售录入!$D$4:$D$203,P17,销售录入!$A$4:$A$203,"&lt;="&amp;EOMONTH(首页!$B$4,0))&lt;&gt;0,"显示",IF(COUNTIFS(采购录入!$D$4:$D$203,P17,采购录入!$B$4:$B$203,TEXT(首页!$B$4,"yyyy-mm"))+COUNTIFS(销售录入!$D$4:$D$203,P17,销售录入!$B$4:$B$203,TEXT(首页!$B$4,"yyyy-mm"))&gt;0,"显示","")))</f>
        <v/>
      </c>
      <c r="X17" s="54"/>
      <c r="Y17" s="54"/>
      <c r="Z17" s="54"/>
      <c r="AA17" s="54"/>
      <c r="AB17" s="54"/>
      <c r="AD17" s="54"/>
      <c r="AE17" s="54"/>
      <c r="AF17" s="54"/>
      <c r="AG17" s="54"/>
      <c r="AH17" s="54"/>
      <c r="AJ17" s="54" t="s">
        <v>216</v>
      </c>
      <c r="AK17" s="54" t="s">
        <v>227</v>
      </c>
      <c r="AL17" s="54" t="s">
        <v>223</v>
      </c>
      <c r="AM17" s="54" t="s">
        <v>78</v>
      </c>
      <c r="AO17" s="54" t="s">
        <v>228</v>
      </c>
      <c r="AP17" s="54" t="s">
        <v>229</v>
      </c>
      <c r="AQ17" s="54" t="s">
        <v>81</v>
      </c>
      <c r="AR17" s="54" t="s">
        <v>82</v>
      </c>
      <c r="AS17" s="54" t="s">
        <v>83</v>
      </c>
      <c r="AT17" s="54" t="s">
        <v>226</v>
      </c>
      <c r="AU17" s="54"/>
      <c r="AV17" s="54" t="s">
        <v>85</v>
      </c>
      <c r="AW17" s="54" t="s">
        <v>86</v>
      </c>
    </row>
    <row r="18" spans="1:49">
      <c r="A18" s="54"/>
      <c r="B18" s="54"/>
      <c r="C18" s="54"/>
      <c r="D18" s="54"/>
      <c r="F18" s="54"/>
      <c r="G18" s="54"/>
      <c r="H18" s="54"/>
      <c r="J18" s="54"/>
      <c r="K18" s="54"/>
      <c r="L18" s="54"/>
      <c r="M18" s="54"/>
      <c r="O18" s="54"/>
      <c r="P18" s="54"/>
      <c r="Q18" s="54"/>
      <c r="R18" s="54"/>
      <c r="S18" s="54"/>
      <c r="T18" s="54"/>
      <c r="U18" s="54"/>
      <c r="V18" s="54"/>
      <c r="W18" s="11" t="str">
        <f>IF(P18="","",IF(SUMIFS(期初数据!$S$5:$S$14,期初数据!$P$5:$P$14,P18)+SUMIFS(采购录入!$G$4:$G$203,采购录入!$D$4:$D$203,P18,采购录入!$A$4:$A$203,"&lt;="&amp;EOMONTH(首页!$B$4,0))-SUMIFS(销售录入!$G$4:$G$203,销售录入!$D$4:$D$203,P18,销售录入!$A$4:$A$203,"&lt;="&amp;EOMONTH(首页!$B$4,0))&lt;&gt;0,"显示",IF(COUNTIFS(采购录入!$D$4:$D$203,P18,采购录入!$B$4:$B$203,TEXT(首页!$B$4,"yyyy-mm"))+COUNTIFS(销售录入!$D$4:$D$203,P18,销售录入!$B$4:$B$203,TEXT(首页!$B$4,"yyyy-mm"))&gt;0,"显示","")))</f>
        <v/>
      </c>
      <c r="X18" s="54"/>
      <c r="Y18" s="54"/>
      <c r="Z18" s="54"/>
      <c r="AA18" s="54"/>
      <c r="AB18" s="54"/>
      <c r="AD18" s="54"/>
      <c r="AE18" s="54"/>
      <c r="AF18" s="54"/>
      <c r="AG18" s="54"/>
      <c r="AH18" s="54"/>
      <c r="AJ18" s="54" t="s">
        <v>216</v>
      </c>
      <c r="AK18" s="54" t="s">
        <v>230</v>
      </c>
      <c r="AL18" s="54" t="s">
        <v>223</v>
      </c>
      <c r="AM18" s="54" t="s">
        <v>78</v>
      </c>
      <c r="AO18" s="54" t="s">
        <v>231</v>
      </c>
      <c r="AP18" s="54" t="s">
        <v>232</v>
      </c>
      <c r="AQ18" s="54" t="s">
        <v>81</v>
      </c>
      <c r="AR18" s="54" t="s">
        <v>82</v>
      </c>
      <c r="AS18" s="54" t="s">
        <v>83</v>
      </c>
      <c r="AT18" s="54" t="s">
        <v>226</v>
      </c>
      <c r="AU18" s="54"/>
      <c r="AV18" s="54" t="s">
        <v>85</v>
      </c>
      <c r="AW18" s="54" t="s">
        <v>86</v>
      </c>
    </row>
    <row r="19" spans="1:49">
      <c r="A19" s="54"/>
      <c r="B19" s="54"/>
      <c r="C19" s="54"/>
      <c r="D19" s="54"/>
      <c r="F19" s="54"/>
      <c r="G19" s="54"/>
      <c r="H19" s="54"/>
      <c r="J19" s="54"/>
      <c r="K19" s="54"/>
      <c r="L19" s="54"/>
      <c r="M19" s="54"/>
      <c r="O19" s="54"/>
      <c r="P19" s="54"/>
      <c r="Q19" s="54"/>
      <c r="R19" s="54"/>
      <c r="S19" s="54"/>
      <c r="T19" s="54"/>
      <c r="U19" s="54"/>
      <c r="V19" s="54"/>
      <c r="W19" s="11" t="str">
        <f>IF(P19="","",IF(SUMIFS(期初数据!$S$5:$S$14,期初数据!$P$5:$P$14,P19)+SUMIFS(采购录入!$G$4:$G$203,采购录入!$D$4:$D$203,P19,采购录入!$A$4:$A$203,"&lt;="&amp;EOMONTH(首页!$B$4,0))-SUMIFS(销售录入!$G$4:$G$203,销售录入!$D$4:$D$203,P19,销售录入!$A$4:$A$203,"&lt;="&amp;EOMONTH(首页!$B$4,0))&lt;&gt;0,"显示",IF(COUNTIFS(采购录入!$D$4:$D$203,P19,采购录入!$B$4:$B$203,TEXT(首页!$B$4,"yyyy-mm"))+COUNTIFS(销售录入!$D$4:$D$203,P19,销售录入!$B$4:$B$203,TEXT(首页!$B$4,"yyyy-mm"))&gt;0,"显示","")))</f>
        <v/>
      </c>
      <c r="X19" s="54"/>
      <c r="Y19" s="54"/>
      <c r="Z19" s="54"/>
      <c r="AA19" s="54"/>
      <c r="AB19" s="54"/>
      <c r="AD19" s="54"/>
      <c r="AE19" s="54"/>
      <c r="AF19" s="54"/>
      <c r="AG19" s="54"/>
      <c r="AH19" s="54"/>
      <c r="AJ19" s="54" t="s">
        <v>216</v>
      </c>
      <c r="AK19" s="54" t="s">
        <v>233</v>
      </c>
      <c r="AL19" s="54" t="s">
        <v>223</v>
      </c>
      <c r="AM19" s="54" t="s">
        <v>78</v>
      </c>
      <c r="AO19" s="54" t="s">
        <v>234</v>
      </c>
      <c r="AP19" s="54" t="s">
        <v>235</v>
      </c>
      <c r="AQ19" s="54" t="s">
        <v>81</v>
      </c>
      <c r="AR19" s="54" t="s">
        <v>82</v>
      </c>
      <c r="AS19" s="54" t="s">
        <v>83</v>
      </c>
      <c r="AT19" s="54" t="s">
        <v>226</v>
      </c>
      <c r="AU19" s="54"/>
      <c r="AV19" s="54" t="s">
        <v>85</v>
      </c>
      <c r="AW19" s="54" t="s">
        <v>86</v>
      </c>
    </row>
    <row r="20" spans="1:49">
      <c r="A20" s="54"/>
      <c r="B20" s="54"/>
      <c r="C20" s="54"/>
      <c r="D20" s="54"/>
      <c r="F20" s="54"/>
      <c r="G20" s="54"/>
      <c r="H20" s="54"/>
      <c r="J20" s="54"/>
      <c r="K20" s="54"/>
      <c r="L20" s="54"/>
      <c r="M20" s="54"/>
      <c r="O20" s="54"/>
      <c r="P20" s="54"/>
      <c r="Q20" s="54"/>
      <c r="R20" s="54"/>
      <c r="S20" s="54"/>
      <c r="T20" s="54"/>
      <c r="U20" s="54"/>
      <c r="V20" s="54"/>
      <c r="W20" s="11" t="str">
        <f>IF(P20="","",IF(SUMIFS(期初数据!$S$5:$S$14,期初数据!$P$5:$P$14,P20)+SUMIFS(采购录入!$G$4:$G$203,采购录入!$D$4:$D$203,P20,采购录入!$A$4:$A$203,"&lt;="&amp;EOMONTH(首页!$B$4,0))-SUMIFS(销售录入!$G$4:$G$203,销售录入!$D$4:$D$203,P20,销售录入!$A$4:$A$203,"&lt;="&amp;EOMONTH(首页!$B$4,0))&lt;&gt;0,"显示",IF(COUNTIFS(采购录入!$D$4:$D$203,P20,采购录入!$B$4:$B$203,TEXT(首页!$B$4,"yyyy-mm"))+COUNTIFS(销售录入!$D$4:$D$203,P20,销售录入!$B$4:$B$203,TEXT(首页!$B$4,"yyyy-mm"))&gt;0,"显示","")))</f>
        <v/>
      </c>
      <c r="X20" s="54"/>
      <c r="Y20" s="54"/>
      <c r="Z20" s="54"/>
      <c r="AA20" s="54"/>
      <c r="AB20" s="54"/>
      <c r="AD20" s="54"/>
      <c r="AE20" s="54"/>
      <c r="AF20" s="54"/>
      <c r="AG20" s="54"/>
      <c r="AH20" s="54"/>
      <c r="AJ20" s="54" t="s">
        <v>216</v>
      </c>
      <c r="AK20" s="54" t="s">
        <v>236</v>
      </c>
      <c r="AL20" s="54" t="s">
        <v>223</v>
      </c>
      <c r="AM20" s="54" t="s">
        <v>78</v>
      </c>
      <c r="AO20" s="54" t="s">
        <v>237</v>
      </c>
      <c r="AP20" s="54" t="s">
        <v>238</v>
      </c>
      <c r="AQ20" s="54" t="s">
        <v>81</v>
      </c>
      <c r="AR20" s="54" t="s">
        <v>82</v>
      </c>
      <c r="AS20" s="54" t="s">
        <v>83</v>
      </c>
      <c r="AT20" s="54" t="s">
        <v>226</v>
      </c>
      <c r="AU20" s="54"/>
      <c r="AV20" s="54" t="s">
        <v>85</v>
      </c>
      <c r="AW20" s="54" t="s">
        <v>86</v>
      </c>
    </row>
    <row r="21" spans="1:49">
      <c r="A21" s="54"/>
      <c r="B21" s="54"/>
      <c r="C21" s="54"/>
      <c r="D21" s="54"/>
      <c r="F21" s="54"/>
      <c r="G21" s="54"/>
      <c r="H21" s="54"/>
      <c r="J21" s="54"/>
      <c r="K21" s="54"/>
      <c r="L21" s="54"/>
      <c r="M21" s="54"/>
      <c r="O21" s="54"/>
      <c r="P21" s="54"/>
      <c r="Q21" s="54"/>
      <c r="R21" s="54"/>
      <c r="S21" s="54"/>
      <c r="T21" s="54"/>
      <c r="U21" s="54"/>
      <c r="V21" s="54"/>
      <c r="W21" s="11" t="str">
        <f>IF(P21="","",IF(SUMIFS(期初数据!$S$5:$S$14,期初数据!$P$5:$P$14,P21)+SUMIFS(采购录入!$G$4:$G$203,采购录入!$D$4:$D$203,P21,采购录入!$A$4:$A$203,"&lt;="&amp;EOMONTH(首页!$B$4,0))-SUMIFS(销售录入!$G$4:$G$203,销售录入!$D$4:$D$203,P21,销售录入!$A$4:$A$203,"&lt;="&amp;EOMONTH(首页!$B$4,0))&lt;&gt;0,"显示",IF(COUNTIFS(采购录入!$D$4:$D$203,P21,采购录入!$B$4:$B$203,TEXT(首页!$B$4,"yyyy-mm"))+COUNTIFS(销售录入!$D$4:$D$203,P21,销售录入!$B$4:$B$203,TEXT(首页!$B$4,"yyyy-mm"))&gt;0,"显示","")))</f>
        <v/>
      </c>
      <c r="X21" s="54"/>
      <c r="Y21" s="54"/>
      <c r="Z21" s="54"/>
      <c r="AA21" s="54"/>
      <c r="AB21" s="54"/>
      <c r="AD21" s="54"/>
      <c r="AE21" s="54"/>
      <c r="AF21" s="54"/>
      <c r="AG21" s="54"/>
      <c r="AH21" s="54"/>
      <c r="AJ21" s="54" t="s">
        <v>216</v>
      </c>
      <c r="AK21" s="54" t="s">
        <v>239</v>
      </c>
      <c r="AL21" s="54" t="s">
        <v>223</v>
      </c>
      <c r="AM21" s="54" t="s">
        <v>78</v>
      </c>
      <c r="AO21" s="54" t="s">
        <v>240</v>
      </c>
      <c r="AP21" s="54" t="s">
        <v>241</v>
      </c>
      <c r="AQ21" s="54" t="s">
        <v>81</v>
      </c>
      <c r="AR21" s="54" t="s">
        <v>82</v>
      </c>
      <c r="AS21" s="54" t="s">
        <v>83</v>
      </c>
      <c r="AT21" s="54" t="s">
        <v>226</v>
      </c>
      <c r="AU21" s="54"/>
      <c r="AV21" s="54" t="s">
        <v>85</v>
      </c>
      <c r="AW21" s="54" t="s">
        <v>86</v>
      </c>
    </row>
    <row r="22" spans="1:49">
      <c r="A22" s="54"/>
      <c r="B22" s="54"/>
      <c r="C22" s="54"/>
      <c r="D22" s="54"/>
      <c r="F22" s="54"/>
      <c r="G22" s="54"/>
      <c r="H22" s="54"/>
      <c r="J22" s="54"/>
      <c r="K22" s="54"/>
      <c r="L22" s="54"/>
      <c r="M22" s="54"/>
      <c r="O22" s="54"/>
      <c r="P22" s="54"/>
      <c r="Q22" s="54"/>
      <c r="R22" s="54"/>
      <c r="S22" s="54"/>
      <c r="T22" s="54"/>
      <c r="U22" s="54"/>
      <c r="V22" s="54"/>
      <c r="W22" s="11" t="str">
        <f>IF(P22="","",IF(SUMIFS(期初数据!$S$5:$S$14,期初数据!$P$5:$P$14,P22)+SUMIFS(采购录入!$G$4:$G$203,采购录入!$D$4:$D$203,P22,采购录入!$A$4:$A$203,"&lt;="&amp;EOMONTH(首页!$B$4,0))-SUMIFS(销售录入!$G$4:$G$203,销售录入!$D$4:$D$203,P22,销售录入!$A$4:$A$203,"&lt;="&amp;EOMONTH(首页!$B$4,0))&lt;&gt;0,"显示",IF(COUNTIFS(采购录入!$D$4:$D$203,P22,采购录入!$B$4:$B$203,TEXT(首页!$B$4,"yyyy-mm"))+COUNTIFS(销售录入!$D$4:$D$203,P22,销售录入!$B$4:$B$203,TEXT(首页!$B$4,"yyyy-mm"))&gt;0,"显示","")))</f>
        <v/>
      </c>
      <c r="X22" s="54"/>
      <c r="Y22" s="54"/>
      <c r="Z22" s="54"/>
      <c r="AA22" s="54"/>
      <c r="AB22" s="54"/>
      <c r="AD22" s="54"/>
      <c r="AE22" s="54"/>
      <c r="AF22" s="54"/>
      <c r="AG22" s="54"/>
      <c r="AH22" s="54"/>
      <c r="AJ22" s="54" t="s">
        <v>216</v>
      </c>
      <c r="AK22" s="54" t="s">
        <v>242</v>
      </c>
      <c r="AL22" s="54" t="s">
        <v>223</v>
      </c>
      <c r="AM22" s="54" t="s">
        <v>78</v>
      </c>
      <c r="AO22" s="54" t="s">
        <v>243</v>
      </c>
      <c r="AP22" s="54" t="s">
        <v>244</v>
      </c>
      <c r="AQ22" s="54" t="s">
        <v>81</v>
      </c>
      <c r="AR22" s="54" t="s">
        <v>221</v>
      </c>
      <c r="AS22" s="54" t="s">
        <v>83</v>
      </c>
      <c r="AT22" s="54" t="s">
        <v>226</v>
      </c>
      <c r="AU22" s="54"/>
      <c r="AV22" s="54" t="s">
        <v>85</v>
      </c>
      <c r="AW22" s="54" t="s">
        <v>86</v>
      </c>
    </row>
    <row r="23" spans="1:49">
      <c r="A23" s="54"/>
      <c r="B23" s="54"/>
      <c r="C23" s="54"/>
      <c r="D23" s="54"/>
      <c r="F23" s="54"/>
      <c r="G23" s="54"/>
      <c r="H23" s="54"/>
      <c r="J23" s="54"/>
      <c r="K23" s="54"/>
      <c r="L23" s="54"/>
      <c r="M23" s="54"/>
      <c r="O23" s="54"/>
      <c r="P23" s="54"/>
      <c r="Q23" s="54"/>
      <c r="R23" s="54"/>
      <c r="S23" s="54"/>
      <c r="T23" s="54"/>
      <c r="U23" s="54"/>
      <c r="V23" s="54"/>
      <c r="W23" s="11" t="str">
        <f>IF(P23="","",IF(SUMIFS(期初数据!$S$5:$S$14,期初数据!$P$5:$P$14,P23)+SUMIFS(采购录入!$G$4:$G$203,采购录入!$D$4:$D$203,P23,采购录入!$A$4:$A$203,"&lt;="&amp;EOMONTH(首页!$B$4,0))-SUMIFS(销售录入!$G$4:$G$203,销售录入!$D$4:$D$203,P23,销售录入!$A$4:$A$203,"&lt;="&amp;EOMONTH(首页!$B$4,0))&lt;&gt;0,"显示",IF(COUNTIFS(采购录入!$D$4:$D$203,P23,采购录入!$B$4:$B$203,TEXT(首页!$B$4,"yyyy-mm"))+COUNTIFS(销售录入!$D$4:$D$203,P23,销售录入!$B$4:$B$203,TEXT(首页!$B$4,"yyyy-mm"))&gt;0,"显示","")))</f>
        <v/>
      </c>
      <c r="X23" s="54"/>
      <c r="Y23" s="54"/>
      <c r="Z23" s="54"/>
      <c r="AA23" s="54"/>
      <c r="AB23" s="54"/>
      <c r="AD23" s="54"/>
      <c r="AE23" s="54"/>
      <c r="AF23" s="54"/>
      <c r="AG23" s="54"/>
      <c r="AH23" s="54"/>
      <c r="AJ23" s="54" t="s">
        <v>216</v>
      </c>
      <c r="AK23" s="54" t="s">
        <v>245</v>
      </c>
      <c r="AL23" s="54" t="s">
        <v>246</v>
      </c>
      <c r="AM23" s="54" t="s">
        <v>78</v>
      </c>
      <c r="AO23" s="54" t="s">
        <v>247</v>
      </c>
      <c r="AP23" s="54" t="s">
        <v>248</v>
      </c>
      <c r="AQ23" s="54" t="s">
        <v>81</v>
      </c>
      <c r="AR23" s="54" t="s">
        <v>82</v>
      </c>
      <c r="AS23" s="54" t="s">
        <v>83</v>
      </c>
      <c r="AT23" s="54" t="s">
        <v>226</v>
      </c>
      <c r="AU23" s="54"/>
      <c r="AV23" s="54" t="s">
        <v>85</v>
      </c>
      <c r="AW23" s="54" t="s">
        <v>86</v>
      </c>
    </row>
    <row r="24" spans="1:49">
      <c r="A24" s="54"/>
      <c r="B24" s="54"/>
      <c r="C24" s="54"/>
      <c r="D24" s="54"/>
      <c r="F24" s="54"/>
      <c r="G24" s="54"/>
      <c r="H24" s="54"/>
      <c r="J24" s="54"/>
      <c r="K24" s="54"/>
      <c r="L24" s="54"/>
      <c r="M24" s="54"/>
      <c r="O24" s="54"/>
      <c r="P24" s="54"/>
      <c r="Q24" s="54"/>
      <c r="R24" s="54"/>
      <c r="S24" s="54"/>
      <c r="T24" s="54"/>
      <c r="U24" s="54"/>
      <c r="V24" s="54"/>
      <c r="W24" s="11" t="str">
        <f>IF(P24="","",IF(SUMIFS(期初数据!$S$5:$S$14,期初数据!$P$5:$P$14,P24)+SUMIFS(采购录入!$G$4:$G$203,采购录入!$D$4:$D$203,P24,采购录入!$A$4:$A$203,"&lt;="&amp;EOMONTH(首页!$B$4,0))-SUMIFS(销售录入!$G$4:$G$203,销售录入!$D$4:$D$203,P24,销售录入!$A$4:$A$203,"&lt;="&amp;EOMONTH(首页!$B$4,0))&lt;&gt;0,"显示",IF(COUNTIFS(采购录入!$D$4:$D$203,P24,采购录入!$B$4:$B$203,TEXT(首页!$B$4,"yyyy-mm"))+COUNTIFS(销售录入!$D$4:$D$203,P24,销售录入!$B$4:$B$203,TEXT(首页!$B$4,"yyyy-mm"))&gt;0,"显示","")))</f>
        <v/>
      </c>
      <c r="X24" s="54"/>
      <c r="Y24" s="54"/>
      <c r="Z24" s="54"/>
      <c r="AA24" s="54"/>
      <c r="AB24" s="54"/>
      <c r="AD24" s="54"/>
      <c r="AE24" s="54"/>
      <c r="AF24" s="54"/>
      <c r="AG24" s="54"/>
      <c r="AH24" s="54"/>
      <c r="AJ24" s="54" t="s">
        <v>216</v>
      </c>
      <c r="AK24" s="54" t="s">
        <v>249</v>
      </c>
      <c r="AL24" s="54" t="s">
        <v>246</v>
      </c>
      <c r="AM24" s="54" t="s">
        <v>78</v>
      </c>
      <c r="AO24" s="54" t="s">
        <v>250</v>
      </c>
      <c r="AP24" s="54" t="s">
        <v>251</v>
      </c>
      <c r="AQ24" s="54" t="s">
        <v>81</v>
      </c>
      <c r="AR24" s="54" t="s">
        <v>82</v>
      </c>
      <c r="AS24" s="54" t="s">
        <v>83</v>
      </c>
      <c r="AT24" s="54" t="s">
        <v>226</v>
      </c>
      <c r="AU24" s="54"/>
      <c r="AV24" s="54" t="s">
        <v>85</v>
      </c>
      <c r="AW24" s="54" t="s">
        <v>86</v>
      </c>
    </row>
    <row r="25" spans="1:49">
      <c r="A25" s="54"/>
      <c r="B25" s="54"/>
      <c r="C25" s="54"/>
      <c r="D25" s="54"/>
      <c r="F25" s="54"/>
      <c r="G25" s="54"/>
      <c r="H25" s="54"/>
      <c r="J25" s="54"/>
      <c r="K25" s="54"/>
      <c r="L25" s="54"/>
      <c r="M25" s="54"/>
      <c r="O25" s="54"/>
      <c r="P25" s="54"/>
      <c r="Q25" s="54"/>
      <c r="R25" s="54"/>
      <c r="S25" s="54"/>
      <c r="T25" s="54"/>
      <c r="U25" s="54"/>
      <c r="V25" s="54"/>
      <c r="W25" s="11" t="str">
        <f>IF(P25="","",IF(SUMIFS(期初数据!$S$5:$S$14,期初数据!$P$5:$P$14,P25)+SUMIFS(采购录入!$G$4:$G$203,采购录入!$D$4:$D$203,P25,采购录入!$A$4:$A$203,"&lt;="&amp;EOMONTH(首页!$B$4,0))-SUMIFS(销售录入!$G$4:$G$203,销售录入!$D$4:$D$203,P25,销售录入!$A$4:$A$203,"&lt;="&amp;EOMONTH(首页!$B$4,0))&lt;&gt;0,"显示",IF(COUNTIFS(采购录入!$D$4:$D$203,P25,采购录入!$B$4:$B$203,TEXT(首页!$B$4,"yyyy-mm"))+COUNTIFS(销售录入!$D$4:$D$203,P25,销售录入!$B$4:$B$203,TEXT(首页!$B$4,"yyyy-mm"))&gt;0,"显示","")))</f>
        <v/>
      </c>
      <c r="X25" s="54"/>
      <c r="Y25" s="54"/>
      <c r="Z25" s="54"/>
      <c r="AA25" s="54"/>
      <c r="AB25" s="54"/>
      <c r="AD25" s="54"/>
      <c r="AE25" s="54"/>
      <c r="AF25" s="54"/>
      <c r="AG25" s="54"/>
      <c r="AH25" s="54"/>
      <c r="AJ25" s="54" t="s">
        <v>216</v>
      </c>
      <c r="AK25" s="54" t="s">
        <v>252</v>
      </c>
      <c r="AL25" s="54" t="s">
        <v>253</v>
      </c>
      <c r="AM25" s="54" t="s">
        <v>78</v>
      </c>
      <c r="AO25" s="54" t="s">
        <v>254</v>
      </c>
      <c r="AP25" s="54" t="s">
        <v>255</v>
      </c>
      <c r="AQ25" s="54" t="s">
        <v>81</v>
      </c>
      <c r="AR25" s="54" t="s">
        <v>221</v>
      </c>
      <c r="AS25" s="54" t="s">
        <v>83</v>
      </c>
      <c r="AT25" s="54" t="s">
        <v>226</v>
      </c>
      <c r="AU25" s="54"/>
      <c r="AV25" s="54" t="s">
        <v>85</v>
      </c>
      <c r="AW25" s="54" t="s">
        <v>86</v>
      </c>
    </row>
    <row r="26" spans="1:49">
      <c r="A26" s="54"/>
      <c r="B26" s="54"/>
      <c r="C26" s="54"/>
      <c r="D26" s="54"/>
      <c r="F26" s="54"/>
      <c r="G26" s="54"/>
      <c r="H26" s="54"/>
      <c r="J26" s="54"/>
      <c r="K26" s="54"/>
      <c r="L26" s="54"/>
      <c r="M26" s="54"/>
      <c r="O26" s="54"/>
      <c r="P26" s="54"/>
      <c r="Q26" s="54"/>
      <c r="R26" s="54"/>
      <c r="S26" s="54"/>
      <c r="T26" s="54"/>
      <c r="U26" s="54"/>
      <c r="V26" s="54"/>
      <c r="W26" s="11" t="str">
        <f>IF(P26="","",IF(SUMIFS(期初数据!$S$5:$S$14,期初数据!$P$5:$P$14,P26)+SUMIFS(采购录入!$G$4:$G$203,采购录入!$D$4:$D$203,P26,采购录入!$A$4:$A$203,"&lt;="&amp;EOMONTH(首页!$B$4,0))-SUMIFS(销售录入!$G$4:$G$203,销售录入!$D$4:$D$203,P26,销售录入!$A$4:$A$203,"&lt;="&amp;EOMONTH(首页!$B$4,0))&lt;&gt;0,"显示",IF(COUNTIFS(采购录入!$D$4:$D$203,P26,采购录入!$B$4:$B$203,TEXT(首页!$B$4,"yyyy-mm"))+COUNTIFS(销售录入!$D$4:$D$203,P26,销售录入!$B$4:$B$203,TEXT(首页!$B$4,"yyyy-mm"))&gt;0,"显示","")))</f>
        <v/>
      </c>
      <c r="X26" s="54"/>
      <c r="Y26" s="54"/>
      <c r="Z26" s="54"/>
      <c r="AA26" s="54"/>
      <c r="AB26" s="54"/>
      <c r="AD26" s="54"/>
      <c r="AE26" s="54"/>
      <c r="AF26" s="54"/>
      <c r="AG26" s="54"/>
      <c r="AH26" s="54"/>
      <c r="AJ26" s="54" t="s">
        <v>256</v>
      </c>
      <c r="AK26" s="54" t="s">
        <v>257</v>
      </c>
      <c r="AL26" s="54" t="s">
        <v>78</v>
      </c>
      <c r="AM26" s="54" t="s">
        <v>78</v>
      </c>
      <c r="AO26" s="54" t="s">
        <v>258</v>
      </c>
      <c r="AP26" s="54" t="s">
        <v>259</v>
      </c>
      <c r="AQ26" s="54" t="s">
        <v>81</v>
      </c>
      <c r="AR26" s="54" t="s">
        <v>82</v>
      </c>
      <c r="AS26" s="54" t="s">
        <v>83</v>
      </c>
      <c r="AT26" s="54" t="s">
        <v>259</v>
      </c>
      <c r="AU26" s="54"/>
      <c r="AV26" s="54" t="s">
        <v>260</v>
      </c>
      <c r="AW26" s="54" t="s">
        <v>86</v>
      </c>
    </row>
    <row r="27" spans="1:49">
      <c r="A27" s="54"/>
      <c r="B27" s="54"/>
      <c r="C27" s="54"/>
      <c r="D27" s="54"/>
      <c r="F27" s="54"/>
      <c r="G27" s="54"/>
      <c r="H27" s="54"/>
      <c r="J27" s="54"/>
      <c r="K27" s="54"/>
      <c r="L27" s="54"/>
      <c r="M27" s="54"/>
      <c r="O27" s="54"/>
      <c r="P27" s="54"/>
      <c r="Q27" s="54"/>
      <c r="R27" s="54"/>
      <c r="S27" s="54"/>
      <c r="T27" s="54"/>
      <c r="U27" s="54"/>
      <c r="V27" s="54"/>
      <c r="W27" s="11" t="str">
        <f>IF(P27="","",IF(SUMIFS(期初数据!$S$5:$S$14,期初数据!$P$5:$P$14,P27)+SUMIFS(采购录入!$G$4:$G$203,采购录入!$D$4:$D$203,P27,采购录入!$A$4:$A$203,"&lt;="&amp;EOMONTH(首页!$B$4,0))-SUMIFS(销售录入!$G$4:$G$203,销售录入!$D$4:$D$203,P27,销售录入!$A$4:$A$203,"&lt;="&amp;EOMONTH(首页!$B$4,0))&lt;&gt;0,"显示",IF(COUNTIFS(采购录入!$D$4:$D$203,P27,采购录入!$B$4:$B$203,TEXT(首页!$B$4,"yyyy-mm"))+COUNTIFS(销售录入!$D$4:$D$203,P27,销售录入!$B$4:$B$203,TEXT(首页!$B$4,"yyyy-mm"))&gt;0,"显示","")))</f>
        <v/>
      </c>
      <c r="X27" s="54"/>
      <c r="Y27" s="54"/>
      <c r="Z27" s="54"/>
      <c r="AA27" s="54"/>
      <c r="AB27" s="54"/>
      <c r="AD27" s="54"/>
      <c r="AE27" s="54"/>
      <c r="AF27" s="54"/>
      <c r="AG27" s="54"/>
      <c r="AH27" s="54"/>
      <c r="AJ27" s="54"/>
      <c r="AK27" s="54"/>
      <c r="AL27" s="54"/>
      <c r="AM27" s="54"/>
      <c r="AO27" s="54" t="s">
        <v>261</v>
      </c>
      <c r="AP27" s="54" t="s">
        <v>262</v>
      </c>
      <c r="AQ27" s="54" t="s">
        <v>81</v>
      </c>
      <c r="AR27" s="54" t="s">
        <v>82</v>
      </c>
      <c r="AS27" s="54" t="s">
        <v>83</v>
      </c>
      <c r="AT27" s="54" t="s">
        <v>262</v>
      </c>
      <c r="AU27" s="54"/>
      <c r="AV27" s="54" t="s">
        <v>260</v>
      </c>
      <c r="AW27" s="54" t="s">
        <v>86</v>
      </c>
    </row>
    <row r="28" spans="1:49">
      <c r="A28" s="54"/>
      <c r="B28" s="54"/>
      <c r="C28" s="54"/>
      <c r="D28" s="54"/>
      <c r="F28" s="54"/>
      <c r="G28" s="54"/>
      <c r="H28" s="54"/>
      <c r="J28" s="54"/>
      <c r="K28" s="54"/>
      <c r="L28" s="54"/>
      <c r="M28" s="54"/>
      <c r="O28" s="54"/>
      <c r="P28" s="54"/>
      <c r="Q28" s="54"/>
      <c r="R28" s="54"/>
      <c r="S28" s="54"/>
      <c r="T28" s="54"/>
      <c r="U28" s="54"/>
      <c r="V28" s="54"/>
      <c r="W28" s="11" t="str">
        <f>IF(P28="","",IF(SUMIFS(期初数据!$S$5:$S$14,期初数据!$P$5:$P$14,P28)+SUMIFS(采购录入!$G$4:$G$203,采购录入!$D$4:$D$203,P28,采购录入!$A$4:$A$203,"&lt;="&amp;EOMONTH(首页!$B$4,0))-SUMIFS(销售录入!$G$4:$G$203,销售录入!$D$4:$D$203,P28,销售录入!$A$4:$A$203,"&lt;="&amp;EOMONTH(首页!$B$4,0))&lt;&gt;0,"显示",IF(COUNTIFS(采购录入!$D$4:$D$203,P28,采购录入!$B$4:$B$203,TEXT(首页!$B$4,"yyyy-mm"))+COUNTIFS(销售录入!$D$4:$D$203,P28,销售录入!$B$4:$B$203,TEXT(首页!$B$4,"yyyy-mm"))&gt;0,"显示","")))</f>
        <v/>
      </c>
      <c r="X28" s="54"/>
      <c r="Y28" s="54"/>
      <c r="Z28" s="54"/>
      <c r="AA28" s="54"/>
      <c r="AB28" s="54"/>
      <c r="AD28" s="54"/>
      <c r="AE28" s="54"/>
      <c r="AF28" s="54"/>
      <c r="AG28" s="54"/>
      <c r="AH28" s="54"/>
      <c r="AJ28" s="54"/>
      <c r="AK28" s="54"/>
      <c r="AL28" s="54"/>
      <c r="AM28" s="54"/>
      <c r="AO28" s="54" t="s">
        <v>263</v>
      </c>
      <c r="AP28" s="54" t="s">
        <v>264</v>
      </c>
      <c r="AQ28" s="54" t="s">
        <v>81</v>
      </c>
      <c r="AR28" s="54" t="s">
        <v>82</v>
      </c>
      <c r="AS28" s="54" t="s">
        <v>83</v>
      </c>
      <c r="AT28" s="54" t="s">
        <v>264</v>
      </c>
      <c r="AU28" s="54"/>
      <c r="AV28" s="54" t="s">
        <v>85</v>
      </c>
      <c r="AW28" s="54" t="s">
        <v>86</v>
      </c>
    </row>
    <row r="29" spans="1:49">
      <c r="A29" s="54"/>
      <c r="B29" s="54"/>
      <c r="C29" s="54"/>
      <c r="D29" s="54"/>
      <c r="F29" s="54"/>
      <c r="G29" s="54"/>
      <c r="H29" s="54"/>
      <c r="J29" s="54"/>
      <c r="K29" s="54"/>
      <c r="L29" s="54"/>
      <c r="M29" s="54"/>
      <c r="O29" s="54"/>
      <c r="P29" s="54"/>
      <c r="Q29" s="54"/>
      <c r="R29" s="54"/>
      <c r="S29" s="54"/>
      <c r="T29" s="54"/>
      <c r="U29" s="54"/>
      <c r="V29" s="54"/>
      <c r="W29" s="11" t="str">
        <f>IF(P29="","",IF(SUMIFS(期初数据!$S$5:$S$14,期初数据!$P$5:$P$14,P29)+SUMIFS(采购录入!$G$4:$G$203,采购录入!$D$4:$D$203,P29,采购录入!$A$4:$A$203,"&lt;="&amp;EOMONTH(首页!$B$4,0))-SUMIFS(销售录入!$G$4:$G$203,销售录入!$D$4:$D$203,P29,销售录入!$A$4:$A$203,"&lt;="&amp;EOMONTH(首页!$B$4,0))&lt;&gt;0,"显示",IF(COUNTIFS(采购录入!$D$4:$D$203,P29,采购录入!$B$4:$B$203,TEXT(首页!$B$4,"yyyy-mm"))+COUNTIFS(销售录入!$D$4:$D$203,P29,销售录入!$B$4:$B$203,TEXT(首页!$B$4,"yyyy-mm"))&gt;0,"显示","")))</f>
        <v/>
      </c>
      <c r="X29" s="54"/>
      <c r="Y29" s="54"/>
      <c r="Z29" s="54"/>
      <c r="AA29" s="54"/>
      <c r="AB29" s="54"/>
      <c r="AD29" s="54"/>
      <c r="AE29" s="54"/>
      <c r="AF29" s="54"/>
      <c r="AG29" s="54"/>
      <c r="AH29" s="54"/>
      <c r="AJ29" s="54"/>
      <c r="AK29" s="54"/>
      <c r="AL29" s="54"/>
      <c r="AM29" s="54"/>
      <c r="AO29" s="54" t="s">
        <v>265</v>
      </c>
      <c r="AP29" s="54" t="s">
        <v>266</v>
      </c>
      <c r="AQ29" s="54" t="s">
        <v>81</v>
      </c>
      <c r="AR29" s="54" t="s">
        <v>82</v>
      </c>
      <c r="AS29" s="54" t="s">
        <v>83</v>
      </c>
      <c r="AT29" s="54" t="s">
        <v>266</v>
      </c>
      <c r="AU29" s="54"/>
      <c r="AV29" s="54" t="s">
        <v>260</v>
      </c>
      <c r="AW29" s="54" t="s">
        <v>86</v>
      </c>
    </row>
    <row r="30" spans="1:49">
      <c r="A30" s="54"/>
      <c r="B30" s="54"/>
      <c r="C30" s="54"/>
      <c r="D30" s="54"/>
      <c r="F30" s="54"/>
      <c r="G30" s="54"/>
      <c r="H30" s="54"/>
      <c r="J30" s="54"/>
      <c r="K30" s="54"/>
      <c r="L30" s="54"/>
      <c r="M30" s="54"/>
      <c r="O30" s="54"/>
      <c r="P30" s="54"/>
      <c r="Q30" s="54"/>
      <c r="R30" s="54"/>
      <c r="S30" s="54"/>
      <c r="T30" s="54"/>
      <c r="U30" s="54"/>
      <c r="V30" s="54"/>
      <c r="W30" s="11" t="str">
        <f>IF(P30="","",IF(SUMIFS(期初数据!$S$5:$S$14,期初数据!$P$5:$P$14,P30)+SUMIFS(采购录入!$G$4:$G$203,采购录入!$D$4:$D$203,P30,采购录入!$A$4:$A$203,"&lt;="&amp;EOMONTH(首页!$B$4,0))-SUMIFS(销售录入!$G$4:$G$203,销售录入!$D$4:$D$203,P30,销售录入!$A$4:$A$203,"&lt;="&amp;EOMONTH(首页!$B$4,0))&lt;&gt;0,"显示",IF(COUNTIFS(采购录入!$D$4:$D$203,P30,采购录入!$B$4:$B$203,TEXT(首页!$B$4,"yyyy-mm"))+COUNTIFS(销售录入!$D$4:$D$203,P30,销售录入!$B$4:$B$203,TEXT(首页!$B$4,"yyyy-mm"))&gt;0,"显示","")))</f>
        <v/>
      </c>
      <c r="X30" s="54"/>
      <c r="Y30" s="54"/>
      <c r="Z30" s="54"/>
      <c r="AA30" s="54"/>
      <c r="AB30" s="54"/>
      <c r="AD30" s="54"/>
      <c r="AE30" s="54"/>
      <c r="AF30" s="54"/>
      <c r="AG30" s="54"/>
      <c r="AH30" s="54"/>
      <c r="AJ30" s="54"/>
      <c r="AK30" s="54"/>
      <c r="AL30" s="54"/>
      <c r="AM30" s="54"/>
      <c r="AO30" s="54" t="s">
        <v>267</v>
      </c>
      <c r="AP30" s="54" t="s">
        <v>268</v>
      </c>
      <c r="AQ30" s="54" t="s">
        <v>81</v>
      </c>
      <c r="AR30" s="54" t="s">
        <v>221</v>
      </c>
      <c r="AS30" s="54" t="s">
        <v>83</v>
      </c>
      <c r="AT30" s="54" t="s">
        <v>266</v>
      </c>
      <c r="AU30" s="54"/>
      <c r="AV30" s="54" t="s">
        <v>85</v>
      </c>
      <c r="AW30" s="54" t="s">
        <v>86</v>
      </c>
    </row>
    <row r="31" spans="1:49">
      <c r="A31" s="54"/>
      <c r="B31" s="54"/>
      <c r="C31" s="54"/>
      <c r="D31" s="54"/>
      <c r="F31" s="54"/>
      <c r="G31" s="54"/>
      <c r="H31" s="54"/>
      <c r="J31" s="54"/>
      <c r="K31" s="54"/>
      <c r="L31" s="54"/>
      <c r="M31" s="54"/>
      <c r="O31" s="54"/>
      <c r="P31" s="54"/>
      <c r="Q31" s="54"/>
      <c r="R31" s="54"/>
      <c r="S31" s="54"/>
      <c r="T31" s="54"/>
      <c r="U31" s="54"/>
      <c r="V31" s="54"/>
      <c r="W31" s="11" t="str">
        <f>IF(P31="","",IF(SUMIFS(期初数据!$S$5:$S$14,期初数据!$P$5:$P$14,P31)+SUMIFS(采购录入!$G$4:$G$203,采购录入!$D$4:$D$203,P31,采购录入!$A$4:$A$203,"&lt;="&amp;EOMONTH(首页!$B$4,0))-SUMIFS(销售录入!$G$4:$G$203,销售录入!$D$4:$D$203,P31,销售录入!$A$4:$A$203,"&lt;="&amp;EOMONTH(首页!$B$4,0))&lt;&gt;0,"显示",IF(COUNTIFS(采购录入!$D$4:$D$203,P31,采购录入!$B$4:$B$203,TEXT(首页!$B$4,"yyyy-mm"))+COUNTIFS(销售录入!$D$4:$D$203,P31,销售录入!$B$4:$B$203,TEXT(首页!$B$4,"yyyy-mm"))&gt;0,"显示","")))</f>
        <v/>
      </c>
      <c r="X31" s="54"/>
      <c r="Y31" s="54"/>
      <c r="Z31" s="54"/>
      <c r="AA31" s="54"/>
      <c r="AB31" s="54"/>
      <c r="AD31" s="54"/>
      <c r="AE31" s="54"/>
      <c r="AF31" s="54"/>
      <c r="AG31" s="54"/>
      <c r="AH31" s="54"/>
      <c r="AJ31" s="54"/>
      <c r="AK31" s="54"/>
      <c r="AL31" s="54"/>
      <c r="AM31" s="54"/>
      <c r="AO31" s="54" t="s">
        <v>269</v>
      </c>
      <c r="AP31" s="54" t="s">
        <v>270</v>
      </c>
      <c r="AQ31" s="54" t="s">
        <v>81</v>
      </c>
      <c r="AR31" s="54" t="s">
        <v>82</v>
      </c>
      <c r="AS31" s="54" t="s">
        <v>83</v>
      </c>
      <c r="AT31" s="54" t="s">
        <v>270</v>
      </c>
      <c r="AU31" s="54"/>
      <c r="AV31" s="54" t="s">
        <v>260</v>
      </c>
      <c r="AW31" s="54" t="s">
        <v>86</v>
      </c>
    </row>
    <row r="32" spans="1:49">
      <c r="A32" s="54"/>
      <c r="B32" s="54"/>
      <c r="C32" s="54"/>
      <c r="D32" s="54"/>
      <c r="F32" s="54"/>
      <c r="G32" s="54"/>
      <c r="H32" s="54"/>
      <c r="J32" s="54"/>
      <c r="K32" s="54"/>
      <c r="L32" s="54"/>
      <c r="M32" s="54"/>
      <c r="O32" s="54"/>
      <c r="P32" s="54"/>
      <c r="Q32" s="54"/>
      <c r="R32" s="54"/>
      <c r="S32" s="54"/>
      <c r="T32" s="54"/>
      <c r="U32" s="54"/>
      <c r="V32" s="54"/>
      <c r="W32" s="11" t="str">
        <f>IF(P32="","",IF(SUMIFS(期初数据!$S$5:$S$14,期初数据!$P$5:$P$14,P32)+SUMIFS(采购录入!$G$4:$G$203,采购录入!$D$4:$D$203,P32,采购录入!$A$4:$A$203,"&lt;="&amp;EOMONTH(首页!$B$4,0))-SUMIFS(销售录入!$G$4:$G$203,销售录入!$D$4:$D$203,P32,销售录入!$A$4:$A$203,"&lt;="&amp;EOMONTH(首页!$B$4,0))&lt;&gt;0,"显示",IF(COUNTIFS(采购录入!$D$4:$D$203,P32,采购录入!$B$4:$B$203,TEXT(首页!$B$4,"yyyy-mm"))+COUNTIFS(销售录入!$D$4:$D$203,P32,销售录入!$B$4:$B$203,TEXT(首页!$B$4,"yyyy-mm"))&gt;0,"显示","")))</f>
        <v/>
      </c>
      <c r="X32" s="54"/>
      <c r="Y32" s="54"/>
      <c r="Z32" s="54"/>
      <c r="AA32" s="54"/>
      <c r="AB32" s="54"/>
      <c r="AD32" s="54"/>
      <c r="AE32" s="54"/>
      <c r="AF32" s="54"/>
      <c r="AG32" s="54"/>
      <c r="AH32" s="54"/>
      <c r="AJ32" s="54"/>
      <c r="AK32" s="54"/>
      <c r="AL32" s="54"/>
      <c r="AM32" s="54"/>
      <c r="AO32" s="54" t="s">
        <v>271</v>
      </c>
      <c r="AP32" s="54" t="s">
        <v>272</v>
      </c>
      <c r="AQ32" s="54" t="s">
        <v>81</v>
      </c>
      <c r="AR32" s="54" t="s">
        <v>82</v>
      </c>
      <c r="AS32" s="54" t="s">
        <v>83</v>
      </c>
      <c r="AT32" s="54" t="s">
        <v>270</v>
      </c>
      <c r="AU32" s="54"/>
      <c r="AV32" s="54" t="s">
        <v>85</v>
      </c>
      <c r="AW32" s="54" t="s">
        <v>86</v>
      </c>
    </row>
    <row r="33" spans="1:49">
      <c r="A33" s="54"/>
      <c r="B33" s="54"/>
      <c r="C33" s="54"/>
      <c r="D33" s="54"/>
      <c r="F33" s="54"/>
      <c r="G33" s="54"/>
      <c r="H33" s="54"/>
      <c r="J33" s="54"/>
      <c r="K33" s="54"/>
      <c r="L33" s="54"/>
      <c r="M33" s="54"/>
      <c r="O33" s="54"/>
      <c r="P33" s="54"/>
      <c r="Q33" s="54"/>
      <c r="R33" s="54"/>
      <c r="S33" s="54"/>
      <c r="T33" s="54"/>
      <c r="U33" s="54"/>
      <c r="V33" s="54"/>
      <c r="W33" s="11" t="str">
        <f>IF(P33="","",IF(SUMIFS(期初数据!$S$5:$S$14,期初数据!$P$5:$P$14,P33)+SUMIFS(采购录入!$G$4:$G$203,采购录入!$D$4:$D$203,P33,采购录入!$A$4:$A$203,"&lt;="&amp;EOMONTH(首页!$B$4,0))-SUMIFS(销售录入!$G$4:$G$203,销售录入!$D$4:$D$203,P33,销售录入!$A$4:$A$203,"&lt;="&amp;EOMONTH(首页!$B$4,0))&lt;&gt;0,"显示",IF(COUNTIFS(采购录入!$D$4:$D$203,P33,采购录入!$B$4:$B$203,TEXT(首页!$B$4,"yyyy-mm"))+COUNTIFS(销售录入!$D$4:$D$203,P33,销售录入!$B$4:$B$203,TEXT(首页!$B$4,"yyyy-mm"))&gt;0,"显示","")))</f>
        <v/>
      </c>
      <c r="X33" s="54"/>
      <c r="Y33" s="54"/>
      <c r="Z33" s="54"/>
      <c r="AA33" s="54"/>
      <c r="AB33" s="54"/>
      <c r="AD33" s="54"/>
      <c r="AE33" s="54"/>
      <c r="AF33" s="54"/>
      <c r="AG33" s="54"/>
      <c r="AH33" s="54"/>
      <c r="AJ33" s="54"/>
      <c r="AK33" s="54"/>
      <c r="AL33" s="54"/>
      <c r="AM33" s="54"/>
      <c r="AO33" s="54" t="s">
        <v>273</v>
      </c>
      <c r="AP33" s="54" t="s">
        <v>274</v>
      </c>
      <c r="AQ33" s="54" t="s">
        <v>81</v>
      </c>
      <c r="AR33" s="54" t="s">
        <v>82</v>
      </c>
      <c r="AS33" s="54" t="s">
        <v>83</v>
      </c>
      <c r="AT33" s="54" t="s">
        <v>266</v>
      </c>
      <c r="AU33" s="54"/>
      <c r="AV33" s="54" t="s">
        <v>85</v>
      </c>
      <c r="AW33" s="54" t="s">
        <v>86</v>
      </c>
    </row>
    <row r="34" spans="1:49">
      <c r="A34" s="54"/>
      <c r="B34" s="54"/>
      <c r="C34" s="54"/>
      <c r="D34" s="54"/>
      <c r="F34" s="54"/>
      <c r="G34" s="54"/>
      <c r="H34" s="54"/>
      <c r="J34" s="54"/>
      <c r="K34" s="54"/>
      <c r="L34" s="54"/>
      <c r="M34" s="54"/>
      <c r="O34" s="54"/>
      <c r="P34" s="54"/>
      <c r="Q34" s="54"/>
      <c r="R34" s="54"/>
      <c r="S34" s="54"/>
      <c r="T34" s="54"/>
      <c r="U34" s="54"/>
      <c r="V34" s="54"/>
      <c r="W34" s="11" t="str">
        <f>IF(P34="","",IF(SUMIFS(期初数据!$S$5:$S$14,期初数据!$P$5:$P$14,P34)+SUMIFS(采购录入!$G$4:$G$203,采购录入!$D$4:$D$203,P34,采购录入!$A$4:$A$203,"&lt;="&amp;EOMONTH(首页!$B$4,0))-SUMIFS(销售录入!$G$4:$G$203,销售录入!$D$4:$D$203,P34,销售录入!$A$4:$A$203,"&lt;="&amp;EOMONTH(首页!$B$4,0))&lt;&gt;0,"显示",IF(COUNTIFS(采购录入!$D$4:$D$203,P34,采购录入!$B$4:$B$203,TEXT(首页!$B$4,"yyyy-mm"))+COUNTIFS(销售录入!$D$4:$D$203,P34,销售录入!$B$4:$B$203,TEXT(首页!$B$4,"yyyy-mm"))&gt;0,"显示","")))</f>
        <v/>
      </c>
      <c r="X34" s="54"/>
      <c r="Y34" s="54"/>
      <c r="Z34" s="54"/>
      <c r="AA34" s="54"/>
      <c r="AB34" s="54"/>
      <c r="AD34" s="54"/>
      <c r="AE34" s="54"/>
      <c r="AF34" s="54"/>
      <c r="AG34" s="54"/>
      <c r="AH34" s="54"/>
      <c r="AJ34" s="54"/>
      <c r="AK34" s="54"/>
      <c r="AL34" s="54"/>
      <c r="AM34" s="54"/>
      <c r="AO34" s="54" t="s">
        <v>275</v>
      </c>
      <c r="AP34" s="54" t="s">
        <v>276</v>
      </c>
      <c r="AQ34" s="54" t="s">
        <v>81</v>
      </c>
      <c r="AR34" s="54" t="s">
        <v>82</v>
      </c>
      <c r="AS34" s="54" t="s">
        <v>83</v>
      </c>
      <c r="AT34" s="54" t="s">
        <v>276</v>
      </c>
      <c r="AU34" s="54"/>
      <c r="AV34" s="54" t="s">
        <v>260</v>
      </c>
      <c r="AW34" s="54" t="s">
        <v>86</v>
      </c>
    </row>
    <row r="35" spans="1:49">
      <c r="A35" s="54"/>
      <c r="B35" s="54"/>
      <c r="C35" s="54"/>
      <c r="D35" s="54"/>
      <c r="F35" s="54"/>
      <c r="G35" s="54"/>
      <c r="H35" s="54"/>
      <c r="J35" s="54"/>
      <c r="K35" s="54"/>
      <c r="L35" s="54"/>
      <c r="M35" s="54"/>
      <c r="O35" s="54"/>
      <c r="P35" s="54"/>
      <c r="Q35" s="54"/>
      <c r="R35" s="54"/>
      <c r="S35" s="54"/>
      <c r="T35" s="54"/>
      <c r="U35" s="54"/>
      <c r="V35" s="54"/>
      <c r="W35" s="11" t="str">
        <f>IF(P35="","",IF(SUMIFS(期初数据!$S$5:$S$14,期初数据!$P$5:$P$14,P35)+SUMIFS(采购录入!$G$4:$G$203,采购录入!$D$4:$D$203,P35,采购录入!$A$4:$A$203,"&lt;="&amp;EOMONTH(首页!$B$4,0))-SUMIFS(销售录入!$G$4:$G$203,销售录入!$D$4:$D$203,P35,销售录入!$A$4:$A$203,"&lt;="&amp;EOMONTH(首页!$B$4,0))&lt;&gt;0,"显示",IF(COUNTIFS(采购录入!$D$4:$D$203,P35,采购录入!$B$4:$B$203,TEXT(首页!$B$4,"yyyy-mm"))+COUNTIFS(销售录入!$D$4:$D$203,P35,销售录入!$B$4:$B$203,TEXT(首页!$B$4,"yyyy-mm"))&gt;0,"显示","")))</f>
        <v/>
      </c>
      <c r="X35" s="54"/>
      <c r="Y35" s="54"/>
      <c r="Z35" s="54"/>
      <c r="AA35" s="54"/>
      <c r="AB35" s="54"/>
      <c r="AD35" s="54"/>
      <c r="AE35" s="54"/>
      <c r="AF35" s="54"/>
      <c r="AG35" s="54"/>
      <c r="AH35" s="54"/>
      <c r="AJ35" s="54"/>
      <c r="AK35" s="54"/>
      <c r="AL35" s="54"/>
      <c r="AM35" s="54"/>
      <c r="AO35" s="54" t="s">
        <v>277</v>
      </c>
      <c r="AP35" s="54" t="s">
        <v>278</v>
      </c>
      <c r="AQ35" s="54" t="s">
        <v>81</v>
      </c>
      <c r="AR35" s="54" t="s">
        <v>221</v>
      </c>
      <c r="AS35" s="54" t="s">
        <v>83</v>
      </c>
      <c r="AT35" s="54" t="s">
        <v>276</v>
      </c>
      <c r="AU35" s="54"/>
      <c r="AV35" s="54" t="s">
        <v>85</v>
      </c>
      <c r="AW35" s="54" t="s">
        <v>86</v>
      </c>
    </row>
    <row r="36" spans="1:49">
      <c r="A36" s="54"/>
      <c r="B36" s="54"/>
      <c r="C36" s="54"/>
      <c r="D36" s="54"/>
      <c r="F36" s="54"/>
      <c r="G36" s="54"/>
      <c r="H36" s="54"/>
      <c r="J36" s="54"/>
      <c r="K36" s="54"/>
      <c r="L36" s="54"/>
      <c r="M36" s="54"/>
      <c r="O36" s="54"/>
      <c r="P36" s="54"/>
      <c r="Q36" s="54"/>
      <c r="R36" s="54"/>
      <c r="S36" s="54"/>
      <c r="T36" s="54"/>
      <c r="U36" s="54"/>
      <c r="V36" s="54"/>
      <c r="W36" s="11" t="str">
        <f>IF(P36="","",IF(SUMIFS(期初数据!$S$5:$S$14,期初数据!$P$5:$P$14,P36)+SUMIFS(采购录入!$G$4:$G$203,采购录入!$D$4:$D$203,P36,采购录入!$A$4:$A$203,"&lt;="&amp;EOMONTH(首页!$B$4,0))-SUMIFS(销售录入!$G$4:$G$203,销售录入!$D$4:$D$203,P36,销售录入!$A$4:$A$203,"&lt;="&amp;EOMONTH(首页!$B$4,0))&lt;&gt;0,"显示",IF(COUNTIFS(采购录入!$D$4:$D$203,P36,采购录入!$B$4:$B$203,TEXT(首页!$B$4,"yyyy-mm"))+COUNTIFS(销售录入!$D$4:$D$203,P36,销售录入!$B$4:$B$203,TEXT(首页!$B$4,"yyyy-mm"))&gt;0,"显示","")))</f>
        <v/>
      </c>
      <c r="X36" s="54"/>
      <c r="Y36" s="54"/>
      <c r="Z36" s="54"/>
      <c r="AA36" s="54"/>
      <c r="AB36" s="54"/>
      <c r="AD36" s="54"/>
      <c r="AE36" s="54"/>
      <c r="AF36" s="54"/>
      <c r="AG36" s="54"/>
      <c r="AH36" s="54"/>
      <c r="AJ36" s="54"/>
      <c r="AK36" s="54"/>
      <c r="AL36" s="54"/>
      <c r="AM36" s="54"/>
      <c r="AO36" s="54" t="s">
        <v>279</v>
      </c>
      <c r="AP36" s="54" t="s">
        <v>280</v>
      </c>
      <c r="AQ36" s="54" t="s">
        <v>81</v>
      </c>
      <c r="AR36" s="54" t="s">
        <v>82</v>
      </c>
      <c r="AS36" s="54" t="s">
        <v>83</v>
      </c>
      <c r="AT36" s="54" t="s">
        <v>280</v>
      </c>
      <c r="AU36" s="54"/>
      <c r="AV36" s="54" t="s">
        <v>85</v>
      </c>
      <c r="AW36" s="54" t="s">
        <v>86</v>
      </c>
    </row>
    <row r="37" spans="1:49">
      <c r="A37" s="54"/>
      <c r="B37" s="54"/>
      <c r="C37" s="54"/>
      <c r="D37" s="54"/>
      <c r="F37" s="54"/>
      <c r="G37" s="54"/>
      <c r="H37" s="54"/>
      <c r="J37" s="54"/>
      <c r="K37" s="54"/>
      <c r="L37" s="54"/>
      <c r="M37" s="54"/>
      <c r="O37" s="54"/>
      <c r="P37" s="54"/>
      <c r="Q37" s="54"/>
      <c r="R37" s="54"/>
      <c r="S37" s="54"/>
      <c r="T37" s="54"/>
      <c r="U37" s="54"/>
      <c r="V37" s="54"/>
      <c r="W37" s="11" t="str">
        <f>IF(P37="","",IF(SUMIFS(期初数据!$S$5:$S$14,期初数据!$P$5:$P$14,P37)+SUMIFS(采购录入!$G$4:$G$203,采购录入!$D$4:$D$203,P37,采购录入!$A$4:$A$203,"&lt;="&amp;EOMONTH(首页!$B$4,0))-SUMIFS(销售录入!$G$4:$G$203,销售录入!$D$4:$D$203,P37,销售录入!$A$4:$A$203,"&lt;="&amp;EOMONTH(首页!$B$4,0))&lt;&gt;0,"显示",IF(COUNTIFS(采购录入!$D$4:$D$203,P37,采购录入!$B$4:$B$203,TEXT(首页!$B$4,"yyyy-mm"))+COUNTIFS(销售录入!$D$4:$D$203,P37,销售录入!$B$4:$B$203,TEXT(首页!$B$4,"yyyy-mm"))&gt;0,"显示","")))</f>
        <v/>
      </c>
      <c r="X37" s="54"/>
      <c r="Y37" s="54"/>
      <c r="Z37" s="54"/>
      <c r="AA37" s="54"/>
      <c r="AB37" s="54"/>
      <c r="AD37" s="54"/>
      <c r="AE37" s="54"/>
      <c r="AF37" s="54"/>
      <c r="AG37" s="54"/>
      <c r="AH37" s="54"/>
      <c r="AJ37" s="54"/>
      <c r="AK37" s="54"/>
      <c r="AL37" s="54"/>
      <c r="AM37" s="54"/>
      <c r="AO37" s="54" t="s">
        <v>281</v>
      </c>
      <c r="AP37" s="54" t="s">
        <v>282</v>
      </c>
      <c r="AQ37" s="54" t="s">
        <v>81</v>
      </c>
      <c r="AR37" s="54" t="s">
        <v>82</v>
      </c>
      <c r="AS37" s="54" t="s">
        <v>83</v>
      </c>
      <c r="AT37" s="54" t="s">
        <v>282</v>
      </c>
      <c r="AU37" s="54"/>
      <c r="AV37" s="54" t="s">
        <v>85</v>
      </c>
      <c r="AW37" s="54" t="s">
        <v>86</v>
      </c>
    </row>
    <row r="38" spans="1:49">
      <c r="A38" s="54"/>
      <c r="B38" s="54"/>
      <c r="C38" s="54"/>
      <c r="D38" s="54"/>
      <c r="F38" s="54"/>
      <c r="G38" s="54"/>
      <c r="H38" s="54"/>
      <c r="J38" s="54"/>
      <c r="K38" s="54"/>
      <c r="L38" s="54"/>
      <c r="M38" s="54"/>
      <c r="O38" s="54"/>
      <c r="P38" s="54"/>
      <c r="Q38" s="54"/>
      <c r="R38" s="54"/>
      <c r="S38" s="54"/>
      <c r="T38" s="54"/>
      <c r="U38" s="54"/>
      <c r="V38" s="54"/>
      <c r="W38" s="11" t="str">
        <f>IF(P38="","",IF(SUMIFS(期初数据!$S$5:$S$14,期初数据!$P$5:$P$14,P38)+SUMIFS(采购录入!$G$4:$G$203,采购录入!$D$4:$D$203,P38,采购录入!$A$4:$A$203,"&lt;="&amp;EOMONTH(首页!$B$4,0))-SUMIFS(销售录入!$G$4:$G$203,销售录入!$D$4:$D$203,P38,销售录入!$A$4:$A$203,"&lt;="&amp;EOMONTH(首页!$B$4,0))&lt;&gt;0,"显示",IF(COUNTIFS(采购录入!$D$4:$D$203,P38,采购录入!$B$4:$B$203,TEXT(首页!$B$4,"yyyy-mm"))+COUNTIFS(销售录入!$D$4:$D$203,P38,销售录入!$B$4:$B$203,TEXT(首页!$B$4,"yyyy-mm"))&gt;0,"显示","")))</f>
        <v/>
      </c>
      <c r="X38" s="54"/>
      <c r="Y38" s="54"/>
      <c r="Z38" s="54"/>
      <c r="AA38" s="54"/>
      <c r="AB38" s="54"/>
      <c r="AD38" s="54"/>
      <c r="AE38" s="54"/>
      <c r="AF38" s="54"/>
      <c r="AG38" s="54"/>
      <c r="AH38" s="54"/>
      <c r="AJ38" s="54"/>
      <c r="AK38" s="54"/>
      <c r="AL38" s="54"/>
      <c r="AM38" s="54"/>
      <c r="AO38" s="54" t="s">
        <v>283</v>
      </c>
      <c r="AP38" s="54" t="s">
        <v>284</v>
      </c>
      <c r="AQ38" s="54" t="s">
        <v>81</v>
      </c>
      <c r="AR38" s="54" t="s">
        <v>82</v>
      </c>
      <c r="AS38" s="54" t="s">
        <v>83</v>
      </c>
      <c r="AT38" s="54" t="s">
        <v>285</v>
      </c>
      <c r="AU38" s="54"/>
      <c r="AV38" s="54" t="s">
        <v>85</v>
      </c>
      <c r="AW38" s="54" t="s">
        <v>86</v>
      </c>
    </row>
    <row r="39" spans="1:49">
      <c r="A39" s="54"/>
      <c r="B39" s="54"/>
      <c r="C39" s="54"/>
      <c r="D39" s="54"/>
      <c r="F39" s="54"/>
      <c r="G39" s="54"/>
      <c r="H39" s="54"/>
      <c r="J39" s="54"/>
      <c r="K39" s="54"/>
      <c r="L39" s="54"/>
      <c r="M39" s="54"/>
      <c r="O39" s="54"/>
      <c r="P39" s="54"/>
      <c r="Q39" s="54"/>
      <c r="R39" s="54"/>
      <c r="S39" s="54"/>
      <c r="T39" s="54"/>
      <c r="U39" s="54"/>
      <c r="V39" s="54"/>
      <c r="W39" s="11" t="str">
        <f>IF(P39="","",IF(SUMIFS(期初数据!$S$5:$S$14,期初数据!$P$5:$P$14,P39)+SUMIFS(采购录入!$G$4:$G$203,采购录入!$D$4:$D$203,P39,采购录入!$A$4:$A$203,"&lt;="&amp;EOMONTH(首页!$B$4,0))-SUMIFS(销售录入!$G$4:$G$203,销售录入!$D$4:$D$203,P39,销售录入!$A$4:$A$203,"&lt;="&amp;EOMONTH(首页!$B$4,0))&lt;&gt;0,"显示",IF(COUNTIFS(采购录入!$D$4:$D$203,P39,采购录入!$B$4:$B$203,TEXT(首页!$B$4,"yyyy-mm"))+COUNTIFS(销售录入!$D$4:$D$203,P39,销售录入!$B$4:$B$203,TEXT(首页!$B$4,"yyyy-mm"))&gt;0,"显示","")))</f>
        <v/>
      </c>
      <c r="X39" s="54"/>
      <c r="Y39" s="54"/>
      <c r="Z39" s="54"/>
      <c r="AA39" s="54"/>
      <c r="AB39" s="54"/>
      <c r="AD39" s="54"/>
      <c r="AE39" s="54"/>
      <c r="AF39" s="54"/>
      <c r="AG39" s="54"/>
      <c r="AH39" s="54"/>
      <c r="AJ39" s="54"/>
      <c r="AK39" s="54"/>
      <c r="AL39" s="54"/>
      <c r="AM39" s="54"/>
      <c r="AO39" s="54" t="s">
        <v>286</v>
      </c>
      <c r="AP39" s="54" t="s">
        <v>285</v>
      </c>
      <c r="AQ39" s="54" t="s">
        <v>81</v>
      </c>
      <c r="AR39" s="54" t="s">
        <v>82</v>
      </c>
      <c r="AS39" s="54" t="s">
        <v>83</v>
      </c>
      <c r="AT39" s="54" t="s">
        <v>285</v>
      </c>
      <c r="AU39" s="54"/>
      <c r="AV39" s="54" t="s">
        <v>85</v>
      </c>
      <c r="AW39" s="54" t="s">
        <v>86</v>
      </c>
    </row>
    <row r="40" spans="1:49">
      <c r="A40" s="54"/>
      <c r="B40" s="54"/>
      <c r="C40" s="54"/>
      <c r="D40" s="54"/>
      <c r="F40" s="54"/>
      <c r="G40" s="54"/>
      <c r="H40" s="54"/>
      <c r="J40" s="54"/>
      <c r="K40" s="54"/>
      <c r="L40" s="54"/>
      <c r="M40" s="54"/>
      <c r="O40" s="54"/>
      <c r="P40" s="54"/>
      <c r="Q40" s="54"/>
      <c r="R40" s="54"/>
      <c r="S40" s="54"/>
      <c r="T40" s="54"/>
      <c r="U40" s="54"/>
      <c r="V40" s="54"/>
      <c r="W40" s="11" t="str">
        <f>IF(P40="","",IF(SUMIFS(期初数据!$S$5:$S$14,期初数据!$P$5:$P$14,P40)+SUMIFS(采购录入!$G$4:$G$203,采购录入!$D$4:$D$203,P40,采购录入!$A$4:$A$203,"&lt;="&amp;EOMONTH(首页!$B$4,0))-SUMIFS(销售录入!$G$4:$G$203,销售录入!$D$4:$D$203,P40,销售录入!$A$4:$A$203,"&lt;="&amp;EOMONTH(首页!$B$4,0))&lt;&gt;0,"显示",IF(COUNTIFS(采购录入!$D$4:$D$203,P40,采购录入!$B$4:$B$203,TEXT(首页!$B$4,"yyyy-mm"))+COUNTIFS(销售录入!$D$4:$D$203,P40,销售录入!$B$4:$B$203,TEXT(首页!$B$4,"yyyy-mm"))&gt;0,"显示","")))</f>
        <v/>
      </c>
      <c r="X40" s="54"/>
      <c r="Y40" s="54"/>
      <c r="Z40" s="54"/>
      <c r="AA40" s="54"/>
      <c r="AB40" s="54"/>
      <c r="AD40" s="54"/>
      <c r="AE40" s="54"/>
      <c r="AF40" s="54"/>
      <c r="AG40" s="54"/>
      <c r="AH40" s="54"/>
      <c r="AJ40" s="54"/>
      <c r="AK40" s="54"/>
      <c r="AL40" s="54"/>
      <c r="AM40" s="54"/>
      <c r="AO40" s="54" t="s">
        <v>287</v>
      </c>
      <c r="AP40" s="54" t="s">
        <v>288</v>
      </c>
      <c r="AQ40" s="54" t="s">
        <v>81</v>
      </c>
      <c r="AR40" s="54" t="s">
        <v>82</v>
      </c>
      <c r="AS40" s="54" t="s">
        <v>83</v>
      </c>
      <c r="AT40" s="54" t="s">
        <v>288</v>
      </c>
      <c r="AU40" s="54"/>
      <c r="AV40" s="54" t="s">
        <v>85</v>
      </c>
      <c r="AW40" s="54" t="s">
        <v>86</v>
      </c>
    </row>
    <row r="41" spans="1:49">
      <c r="A41" s="54"/>
      <c r="B41" s="54"/>
      <c r="C41" s="54"/>
      <c r="D41" s="54"/>
      <c r="F41" s="54"/>
      <c r="G41" s="54"/>
      <c r="H41" s="54"/>
      <c r="J41" s="54"/>
      <c r="K41" s="54"/>
      <c r="L41" s="54"/>
      <c r="M41" s="54"/>
      <c r="O41" s="54"/>
      <c r="P41" s="54"/>
      <c r="Q41" s="54"/>
      <c r="R41" s="54"/>
      <c r="S41" s="54"/>
      <c r="T41" s="54"/>
      <c r="U41" s="54"/>
      <c r="V41" s="54"/>
      <c r="W41" s="11" t="str">
        <f>IF(P41="","",IF(SUMIFS(期初数据!$S$5:$S$14,期初数据!$P$5:$P$14,P41)+SUMIFS(采购录入!$G$4:$G$203,采购录入!$D$4:$D$203,P41,采购录入!$A$4:$A$203,"&lt;="&amp;EOMONTH(首页!$B$4,0))-SUMIFS(销售录入!$G$4:$G$203,销售录入!$D$4:$D$203,P41,销售录入!$A$4:$A$203,"&lt;="&amp;EOMONTH(首页!$B$4,0))&lt;&gt;0,"显示",IF(COUNTIFS(采购录入!$D$4:$D$203,P41,采购录入!$B$4:$B$203,TEXT(首页!$B$4,"yyyy-mm"))+COUNTIFS(销售录入!$D$4:$D$203,P41,销售录入!$B$4:$B$203,TEXT(首页!$B$4,"yyyy-mm"))&gt;0,"显示","")))</f>
        <v/>
      </c>
      <c r="X41" s="54"/>
      <c r="Y41" s="54"/>
      <c r="Z41" s="54"/>
      <c r="AA41" s="54"/>
      <c r="AB41" s="54"/>
      <c r="AD41" s="54"/>
      <c r="AE41" s="54"/>
      <c r="AF41" s="54"/>
      <c r="AG41" s="54"/>
      <c r="AH41" s="54"/>
      <c r="AJ41" s="54"/>
      <c r="AK41" s="54"/>
      <c r="AL41" s="54"/>
      <c r="AM41" s="54"/>
      <c r="AO41" s="54" t="s">
        <v>289</v>
      </c>
      <c r="AP41" s="54" t="s">
        <v>290</v>
      </c>
      <c r="AQ41" s="54" t="s">
        <v>291</v>
      </c>
      <c r="AR41" s="54" t="s">
        <v>221</v>
      </c>
      <c r="AS41" s="54" t="s">
        <v>83</v>
      </c>
      <c r="AT41" s="54" t="s">
        <v>290</v>
      </c>
      <c r="AU41" s="54"/>
      <c r="AV41" s="54" t="s">
        <v>292</v>
      </c>
      <c r="AW41" s="54" t="s">
        <v>86</v>
      </c>
    </row>
    <row r="42" spans="1:49">
      <c r="A42" s="54"/>
      <c r="B42" s="54"/>
      <c r="C42" s="54"/>
      <c r="D42" s="54"/>
      <c r="F42" s="54"/>
      <c r="G42" s="54"/>
      <c r="H42" s="54"/>
      <c r="J42" s="54"/>
      <c r="K42" s="54"/>
      <c r="L42" s="54"/>
      <c r="M42" s="54"/>
      <c r="O42" s="54"/>
      <c r="P42" s="54"/>
      <c r="Q42" s="54"/>
      <c r="R42" s="54"/>
      <c r="S42" s="54"/>
      <c r="T42" s="54"/>
      <c r="U42" s="54"/>
      <c r="V42" s="54"/>
      <c r="W42" s="11" t="str">
        <f>IF(P42="","",IF(SUMIFS(期初数据!$S$5:$S$14,期初数据!$P$5:$P$14,P42)+SUMIFS(采购录入!$G$4:$G$203,采购录入!$D$4:$D$203,P42,采购录入!$A$4:$A$203,"&lt;="&amp;EOMONTH(首页!$B$4,0))-SUMIFS(销售录入!$G$4:$G$203,销售录入!$D$4:$D$203,P42,销售录入!$A$4:$A$203,"&lt;="&amp;EOMONTH(首页!$B$4,0))&lt;&gt;0,"显示",IF(COUNTIFS(采购录入!$D$4:$D$203,P42,采购录入!$B$4:$B$203,TEXT(首页!$B$4,"yyyy-mm"))+COUNTIFS(销售录入!$D$4:$D$203,P42,销售录入!$B$4:$B$203,TEXT(首页!$B$4,"yyyy-mm"))&gt;0,"显示","")))</f>
        <v/>
      </c>
      <c r="X42" s="54"/>
      <c r="Y42" s="54"/>
      <c r="Z42" s="54"/>
      <c r="AA42" s="54"/>
      <c r="AB42" s="54"/>
      <c r="AD42" s="54"/>
      <c r="AE42" s="54"/>
      <c r="AF42" s="54"/>
      <c r="AG42" s="54"/>
      <c r="AH42" s="54"/>
      <c r="AJ42" s="54"/>
      <c r="AK42" s="54"/>
      <c r="AL42" s="54"/>
      <c r="AM42" s="54"/>
      <c r="AO42" s="54" t="s">
        <v>293</v>
      </c>
      <c r="AP42" s="54" t="s">
        <v>294</v>
      </c>
      <c r="AQ42" s="54" t="s">
        <v>291</v>
      </c>
      <c r="AR42" s="54" t="s">
        <v>221</v>
      </c>
      <c r="AS42" s="54" t="s">
        <v>83</v>
      </c>
      <c r="AT42" s="54" t="s">
        <v>294</v>
      </c>
      <c r="AU42" s="54"/>
      <c r="AV42" s="54" t="s">
        <v>85</v>
      </c>
      <c r="AW42" s="54" t="s">
        <v>86</v>
      </c>
    </row>
    <row r="43" spans="1:49">
      <c r="A43" s="54"/>
      <c r="B43" s="54"/>
      <c r="C43" s="54"/>
      <c r="D43" s="54"/>
      <c r="F43" s="54"/>
      <c r="G43" s="54"/>
      <c r="H43" s="54"/>
      <c r="J43" s="54"/>
      <c r="K43" s="54"/>
      <c r="L43" s="54"/>
      <c r="M43" s="54"/>
      <c r="O43" s="54"/>
      <c r="P43" s="54"/>
      <c r="Q43" s="54"/>
      <c r="R43" s="54"/>
      <c r="S43" s="54"/>
      <c r="T43" s="54"/>
      <c r="U43" s="54"/>
      <c r="V43" s="54"/>
      <c r="W43" s="11" t="str">
        <f>IF(P43="","",IF(SUMIFS(期初数据!$S$5:$S$14,期初数据!$P$5:$P$14,P43)+SUMIFS(采购录入!$G$4:$G$203,采购录入!$D$4:$D$203,P43,采购录入!$A$4:$A$203,"&lt;="&amp;EOMONTH(首页!$B$4,0))-SUMIFS(销售录入!$G$4:$G$203,销售录入!$D$4:$D$203,P43,销售录入!$A$4:$A$203,"&lt;="&amp;EOMONTH(首页!$B$4,0))&lt;&gt;0,"显示",IF(COUNTIFS(采购录入!$D$4:$D$203,P43,采购录入!$B$4:$B$203,TEXT(首页!$B$4,"yyyy-mm"))+COUNTIFS(销售录入!$D$4:$D$203,P43,销售录入!$B$4:$B$203,TEXT(首页!$B$4,"yyyy-mm"))&gt;0,"显示","")))</f>
        <v/>
      </c>
      <c r="X43" s="54"/>
      <c r="Y43" s="54"/>
      <c r="Z43" s="54"/>
      <c r="AA43" s="54"/>
      <c r="AB43" s="54"/>
      <c r="AD43" s="54"/>
      <c r="AE43" s="54"/>
      <c r="AF43" s="54"/>
      <c r="AG43" s="54"/>
      <c r="AH43" s="54"/>
      <c r="AJ43" s="54"/>
      <c r="AK43" s="54"/>
      <c r="AL43" s="54"/>
      <c r="AM43" s="54"/>
      <c r="AO43" s="54" t="s">
        <v>218</v>
      </c>
      <c r="AP43" s="54" t="s">
        <v>295</v>
      </c>
      <c r="AQ43" s="54" t="s">
        <v>291</v>
      </c>
      <c r="AR43" s="54" t="s">
        <v>221</v>
      </c>
      <c r="AS43" s="54" t="s">
        <v>83</v>
      </c>
      <c r="AT43" s="54" t="s">
        <v>295</v>
      </c>
      <c r="AU43" s="54"/>
      <c r="AV43" s="54" t="s">
        <v>85</v>
      </c>
      <c r="AW43" s="54" t="s">
        <v>172</v>
      </c>
    </row>
    <row r="44" spans="1:49">
      <c r="A44" s="54"/>
      <c r="B44" s="54"/>
      <c r="C44" s="54"/>
      <c r="D44" s="54"/>
      <c r="F44" s="54"/>
      <c r="G44" s="54"/>
      <c r="H44" s="54"/>
      <c r="J44" s="54"/>
      <c r="K44" s="54"/>
      <c r="L44" s="54"/>
      <c r="M44" s="54"/>
      <c r="O44" s="54"/>
      <c r="P44" s="54"/>
      <c r="Q44" s="54"/>
      <c r="R44" s="54"/>
      <c r="S44" s="54"/>
      <c r="T44" s="54"/>
      <c r="U44" s="54"/>
      <c r="V44" s="54"/>
      <c r="W44" s="11" t="str">
        <f>IF(P44="","",IF(SUMIFS(期初数据!$S$5:$S$14,期初数据!$P$5:$P$14,P44)+SUMIFS(采购录入!$G$4:$G$203,采购录入!$D$4:$D$203,P44,采购录入!$A$4:$A$203,"&lt;="&amp;EOMONTH(首页!$B$4,0))-SUMIFS(销售录入!$G$4:$G$203,销售录入!$D$4:$D$203,P44,销售录入!$A$4:$A$203,"&lt;="&amp;EOMONTH(首页!$B$4,0))&lt;&gt;0,"显示",IF(COUNTIFS(采购录入!$D$4:$D$203,P44,采购录入!$B$4:$B$203,TEXT(首页!$B$4,"yyyy-mm"))+COUNTIFS(销售录入!$D$4:$D$203,P44,销售录入!$B$4:$B$203,TEXT(首页!$B$4,"yyyy-mm"))&gt;0,"显示","")))</f>
        <v/>
      </c>
      <c r="X44" s="54"/>
      <c r="Y44" s="54"/>
      <c r="Z44" s="54"/>
      <c r="AA44" s="54"/>
      <c r="AB44" s="54"/>
      <c r="AD44" s="54"/>
      <c r="AE44" s="54"/>
      <c r="AF44" s="54"/>
      <c r="AG44" s="54"/>
      <c r="AH44" s="54"/>
      <c r="AJ44" s="54"/>
      <c r="AK44" s="54"/>
      <c r="AL44" s="54"/>
      <c r="AM44" s="54"/>
      <c r="AO44" s="54" t="s">
        <v>296</v>
      </c>
      <c r="AP44" s="54" t="s">
        <v>297</v>
      </c>
      <c r="AQ44" s="54" t="s">
        <v>291</v>
      </c>
      <c r="AR44" s="54" t="s">
        <v>221</v>
      </c>
      <c r="AS44" s="54" t="s">
        <v>83</v>
      </c>
      <c r="AT44" s="54" t="s">
        <v>298</v>
      </c>
      <c r="AU44" s="54"/>
      <c r="AV44" s="54" t="s">
        <v>85</v>
      </c>
      <c r="AW44" s="54" t="s">
        <v>156</v>
      </c>
    </row>
    <row r="45" spans="1:49">
      <c r="A45" s="54"/>
      <c r="B45" s="54"/>
      <c r="C45" s="54"/>
      <c r="D45" s="54"/>
      <c r="F45" s="54"/>
      <c r="G45" s="54"/>
      <c r="H45" s="54"/>
      <c r="J45" s="54"/>
      <c r="K45" s="54"/>
      <c r="L45" s="54"/>
      <c r="M45" s="54"/>
      <c r="O45" s="54"/>
      <c r="P45" s="54"/>
      <c r="Q45" s="54"/>
      <c r="R45" s="54"/>
      <c r="S45" s="54"/>
      <c r="T45" s="54"/>
      <c r="U45" s="54"/>
      <c r="V45" s="54"/>
      <c r="W45" s="11" t="str">
        <f>IF(P45="","",IF(SUMIFS(期初数据!$S$5:$S$14,期初数据!$P$5:$P$14,P45)+SUMIFS(采购录入!$G$4:$G$203,采购录入!$D$4:$D$203,P45,采购录入!$A$4:$A$203,"&lt;="&amp;EOMONTH(首页!$B$4,0))-SUMIFS(销售录入!$G$4:$G$203,销售录入!$D$4:$D$203,P45,销售录入!$A$4:$A$203,"&lt;="&amp;EOMONTH(首页!$B$4,0))&lt;&gt;0,"显示",IF(COUNTIFS(采购录入!$D$4:$D$203,P45,采购录入!$B$4:$B$203,TEXT(首页!$B$4,"yyyy-mm"))+COUNTIFS(销售录入!$D$4:$D$203,P45,销售录入!$B$4:$B$203,TEXT(首页!$B$4,"yyyy-mm"))&gt;0,"显示","")))</f>
        <v/>
      </c>
      <c r="X45" s="54"/>
      <c r="Y45" s="54"/>
      <c r="Z45" s="54"/>
      <c r="AA45" s="54"/>
      <c r="AB45" s="54"/>
      <c r="AD45" s="54"/>
      <c r="AE45" s="54"/>
      <c r="AF45" s="54"/>
      <c r="AG45" s="54"/>
      <c r="AH45" s="54"/>
      <c r="AJ45" s="54"/>
      <c r="AK45" s="54"/>
      <c r="AL45" s="54"/>
      <c r="AM45" s="54"/>
      <c r="AO45" s="54" t="s">
        <v>299</v>
      </c>
      <c r="AP45" s="54" t="s">
        <v>300</v>
      </c>
      <c r="AQ45" s="54" t="s">
        <v>291</v>
      </c>
      <c r="AR45" s="54" t="s">
        <v>221</v>
      </c>
      <c r="AS45" s="54" t="s">
        <v>83</v>
      </c>
      <c r="AT45" s="54" t="s">
        <v>300</v>
      </c>
      <c r="AU45" s="54"/>
      <c r="AV45" s="54" t="s">
        <v>85</v>
      </c>
      <c r="AW45" s="54" t="s">
        <v>156</v>
      </c>
    </row>
    <row r="46" spans="1:49">
      <c r="A46" s="54"/>
      <c r="B46" s="54"/>
      <c r="C46" s="54"/>
      <c r="D46" s="54"/>
      <c r="F46" s="54"/>
      <c r="G46" s="54"/>
      <c r="H46" s="54"/>
      <c r="J46" s="54"/>
      <c r="K46" s="54"/>
      <c r="L46" s="54"/>
      <c r="M46" s="54"/>
      <c r="O46" s="54"/>
      <c r="P46" s="54"/>
      <c r="Q46" s="54"/>
      <c r="R46" s="54"/>
      <c r="S46" s="54"/>
      <c r="T46" s="54"/>
      <c r="U46" s="54"/>
      <c r="V46" s="54"/>
      <c r="W46" s="11" t="str">
        <f>IF(P46="","",IF(SUMIFS(期初数据!$S$5:$S$14,期初数据!$P$5:$P$14,P46)+SUMIFS(采购录入!$G$4:$G$203,采购录入!$D$4:$D$203,P46,采购录入!$A$4:$A$203,"&lt;="&amp;EOMONTH(首页!$B$4,0))-SUMIFS(销售录入!$G$4:$G$203,销售录入!$D$4:$D$203,P46,销售录入!$A$4:$A$203,"&lt;="&amp;EOMONTH(首页!$B$4,0))&lt;&gt;0,"显示",IF(COUNTIFS(采购录入!$D$4:$D$203,P46,采购录入!$B$4:$B$203,TEXT(首页!$B$4,"yyyy-mm"))+COUNTIFS(销售录入!$D$4:$D$203,P46,销售录入!$B$4:$B$203,TEXT(首页!$B$4,"yyyy-mm"))&gt;0,"显示","")))</f>
        <v/>
      </c>
      <c r="X46" s="54"/>
      <c r="Y46" s="54"/>
      <c r="Z46" s="54"/>
      <c r="AA46" s="54"/>
      <c r="AB46" s="54"/>
      <c r="AD46" s="54"/>
      <c r="AE46" s="54"/>
      <c r="AF46" s="54"/>
      <c r="AG46" s="54"/>
      <c r="AH46" s="54"/>
      <c r="AJ46" s="54"/>
      <c r="AK46" s="54"/>
      <c r="AL46" s="54"/>
      <c r="AM46" s="54"/>
      <c r="AO46" s="54" t="s">
        <v>301</v>
      </c>
      <c r="AP46" s="54" t="s">
        <v>302</v>
      </c>
      <c r="AQ46" s="54" t="s">
        <v>291</v>
      </c>
      <c r="AR46" s="54" t="s">
        <v>221</v>
      </c>
      <c r="AS46" s="54" t="s">
        <v>83</v>
      </c>
      <c r="AT46" s="54" t="s">
        <v>302</v>
      </c>
      <c r="AU46" s="54"/>
      <c r="AV46" s="54" t="s">
        <v>85</v>
      </c>
      <c r="AW46" s="54" t="s">
        <v>20</v>
      </c>
    </row>
    <row r="47" spans="1:49">
      <c r="A47" s="54"/>
      <c r="B47" s="54"/>
      <c r="C47" s="54"/>
      <c r="D47" s="54"/>
      <c r="F47" s="54"/>
      <c r="G47" s="54"/>
      <c r="H47" s="54"/>
      <c r="J47" s="54"/>
      <c r="K47" s="54"/>
      <c r="L47" s="54"/>
      <c r="M47" s="54"/>
      <c r="O47" s="54"/>
      <c r="P47" s="54"/>
      <c r="Q47" s="54"/>
      <c r="R47" s="54"/>
      <c r="S47" s="54"/>
      <c r="T47" s="54"/>
      <c r="U47" s="54"/>
      <c r="V47" s="54"/>
      <c r="W47" s="11" t="str">
        <f>IF(P47="","",IF(SUMIFS(期初数据!$S$5:$S$14,期初数据!$P$5:$P$14,P47)+SUMIFS(采购录入!$G$4:$G$203,采购录入!$D$4:$D$203,P47,采购录入!$A$4:$A$203,"&lt;="&amp;EOMONTH(首页!$B$4,0))-SUMIFS(销售录入!$G$4:$G$203,销售录入!$D$4:$D$203,P47,销售录入!$A$4:$A$203,"&lt;="&amp;EOMONTH(首页!$B$4,0))&lt;&gt;0,"显示",IF(COUNTIFS(采购录入!$D$4:$D$203,P47,采购录入!$B$4:$B$203,TEXT(首页!$B$4,"yyyy-mm"))+COUNTIFS(销售录入!$D$4:$D$203,P47,销售录入!$B$4:$B$203,TEXT(首页!$B$4,"yyyy-mm"))&gt;0,"显示","")))</f>
        <v/>
      </c>
      <c r="X47" s="54"/>
      <c r="Y47" s="54"/>
      <c r="Z47" s="54"/>
      <c r="AA47" s="54"/>
      <c r="AB47" s="54"/>
      <c r="AD47" s="54"/>
      <c r="AE47" s="54"/>
      <c r="AF47" s="54"/>
      <c r="AG47" s="54"/>
      <c r="AH47" s="54"/>
      <c r="AJ47" s="54"/>
      <c r="AK47" s="54"/>
      <c r="AL47" s="54"/>
      <c r="AM47" s="54"/>
      <c r="AO47" s="54" t="s">
        <v>303</v>
      </c>
      <c r="AP47" s="54" t="s">
        <v>304</v>
      </c>
      <c r="AQ47" s="54" t="s">
        <v>291</v>
      </c>
      <c r="AR47" s="54" t="s">
        <v>221</v>
      </c>
      <c r="AS47" s="54" t="s">
        <v>83</v>
      </c>
      <c r="AT47" s="54" t="s">
        <v>304</v>
      </c>
      <c r="AU47" s="54"/>
      <c r="AV47" s="54" t="s">
        <v>85</v>
      </c>
      <c r="AW47" s="54" t="s">
        <v>86</v>
      </c>
    </row>
    <row r="48" spans="1:49">
      <c r="A48" s="54"/>
      <c r="B48" s="54"/>
      <c r="C48" s="54"/>
      <c r="D48" s="54"/>
      <c r="F48" s="54"/>
      <c r="G48" s="54"/>
      <c r="H48" s="54"/>
      <c r="J48" s="54"/>
      <c r="K48" s="54"/>
      <c r="L48" s="54"/>
      <c r="M48" s="54"/>
      <c r="O48" s="54"/>
      <c r="P48" s="54"/>
      <c r="Q48" s="54"/>
      <c r="R48" s="54"/>
      <c r="S48" s="54"/>
      <c r="T48" s="54"/>
      <c r="U48" s="54"/>
      <c r="V48" s="54"/>
      <c r="W48" s="11" t="str">
        <f>IF(P48="","",IF(SUMIFS(期初数据!$S$5:$S$14,期初数据!$P$5:$P$14,P48)+SUMIFS(采购录入!$G$4:$G$203,采购录入!$D$4:$D$203,P48,采购录入!$A$4:$A$203,"&lt;="&amp;EOMONTH(首页!$B$4,0))-SUMIFS(销售录入!$G$4:$G$203,销售录入!$D$4:$D$203,P48,销售录入!$A$4:$A$203,"&lt;="&amp;EOMONTH(首页!$B$4,0))&lt;&gt;0,"显示",IF(COUNTIFS(采购录入!$D$4:$D$203,P48,采购录入!$B$4:$B$203,TEXT(首页!$B$4,"yyyy-mm"))+COUNTIFS(销售录入!$D$4:$D$203,P48,销售录入!$B$4:$B$203,TEXT(首页!$B$4,"yyyy-mm"))&gt;0,"显示","")))</f>
        <v/>
      </c>
      <c r="X48" s="54"/>
      <c r="Y48" s="54"/>
      <c r="Z48" s="54"/>
      <c r="AA48" s="54"/>
      <c r="AB48" s="54"/>
      <c r="AD48" s="54"/>
      <c r="AE48" s="54"/>
      <c r="AF48" s="54"/>
      <c r="AG48" s="54"/>
      <c r="AH48" s="54"/>
      <c r="AJ48" s="54"/>
      <c r="AK48" s="54"/>
      <c r="AL48" s="54"/>
      <c r="AM48" s="54"/>
      <c r="AO48" s="54" t="s">
        <v>305</v>
      </c>
      <c r="AP48" s="54" t="s">
        <v>306</v>
      </c>
      <c r="AQ48" s="54" t="s">
        <v>291</v>
      </c>
      <c r="AR48" s="54" t="s">
        <v>221</v>
      </c>
      <c r="AS48" s="54" t="s">
        <v>83</v>
      </c>
      <c r="AT48" s="54" t="s">
        <v>306</v>
      </c>
      <c r="AU48" s="54"/>
      <c r="AV48" s="54" t="s">
        <v>85</v>
      </c>
      <c r="AW48" s="54" t="s">
        <v>86</v>
      </c>
    </row>
    <row r="49" spans="1:49">
      <c r="A49" s="54"/>
      <c r="B49" s="54"/>
      <c r="C49" s="54"/>
      <c r="D49" s="54"/>
      <c r="F49" s="54"/>
      <c r="G49" s="54"/>
      <c r="H49" s="54"/>
      <c r="J49" s="54"/>
      <c r="K49" s="54"/>
      <c r="L49" s="54"/>
      <c r="M49" s="54"/>
      <c r="O49" s="54"/>
      <c r="P49" s="54"/>
      <c r="Q49" s="54"/>
      <c r="R49" s="54"/>
      <c r="S49" s="54"/>
      <c r="T49" s="54"/>
      <c r="U49" s="54"/>
      <c r="V49" s="54"/>
      <c r="W49" s="11" t="str">
        <f>IF(P49="","",IF(SUMIFS(期初数据!$S$5:$S$14,期初数据!$P$5:$P$14,P49)+SUMIFS(采购录入!$G$4:$G$203,采购录入!$D$4:$D$203,P49,采购录入!$A$4:$A$203,"&lt;="&amp;EOMONTH(首页!$B$4,0))-SUMIFS(销售录入!$G$4:$G$203,销售录入!$D$4:$D$203,P49,销售录入!$A$4:$A$203,"&lt;="&amp;EOMONTH(首页!$B$4,0))&lt;&gt;0,"显示",IF(COUNTIFS(采购录入!$D$4:$D$203,P49,采购录入!$B$4:$B$203,TEXT(首页!$B$4,"yyyy-mm"))+COUNTIFS(销售录入!$D$4:$D$203,P49,销售录入!$B$4:$B$203,TEXT(首页!$B$4,"yyyy-mm"))&gt;0,"显示","")))</f>
        <v/>
      </c>
      <c r="X49" s="54"/>
      <c r="Y49" s="54"/>
      <c r="Z49" s="54"/>
      <c r="AA49" s="54"/>
      <c r="AB49" s="54"/>
      <c r="AD49" s="54"/>
      <c r="AE49" s="54"/>
      <c r="AF49" s="54"/>
      <c r="AG49" s="54"/>
      <c r="AH49" s="54"/>
      <c r="AJ49" s="54"/>
      <c r="AK49" s="54"/>
      <c r="AL49" s="54"/>
      <c r="AM49" s="54"/>
      <c r="AO49" s="54" t="s">
        <v>307</v>
      </c>
      <c r="AP49" s="54" t="s">
        <v>308</v>
      </c>
      <c r="AQ49" s="54" t="s">
        <v>291</v>
      </c>
      <c r="AR49" s="54" t="s">
        <v>221</v>
      </c>
      <c r="AS49" s="54" t="s">
        <v>83</v>
      </c>
      <c r="AT49" s="54" t="s">
        <v>308</v>
      </c>
      <c r="AU49" s="54"/>
      <c r="AV49" s="54" t="s">
        <v>85</v>
      </c>
      <c r="AW49" s="54" t="s">
        <v>86</v>
      </c>
    </row>
    <row r="50" spans="1:49">
      <c r="A50" s="54"/>
      <c r="B50" s="54"/>
      <c r="C50" s="54"/>
      <c r="D50" s="54"/>
      <c r="F50" s="54"/>
      <c r="G50" s="54"/>
      <c r="H50" s="54"/>
      <c r="J50" s="54"/>
      <c r="K50" s="54"/>
      <c r="L50" s="54"/>
      <c r="M50" s="54"/>
      <c r="O50" s="54"/>
      <c r="P50" s="54"/>
      <c r="Q50" s="54"/>
      <c r="R50" s="54"/>
      <c r="S50" s="54"/>
      <c r="T50" s="54"/>
      <c r="U50" s="54"/>
      <c r="V50" s="54"/>
      <c r="W50" s="11" t="str">
        <f>IF(P50="","",IF(SUMIFS(期初数据!$S$5:$S$14,期初数据!$P$5:$P$14,P50)+SUMIFS(采购录入!$G$4:$G$203,采购录入!$D$4:$D$203,P50,采购录入!$A$4:$A$203,"&lt;="&amp;EOMONTH(首页!$B$4,0))-SUMIFS(销售录入!$G$4:$G$203,销售录入!$D$4:$D$203,P50,销售录入!$A$4:$A$203,"&lt;="&amp;EOMONTH(首页!$B$4,0))&lt;&gt;0,"显示",IF(COUNTIFS(采购录入!$D$4:$D$203,P50,采购录入!$B$4:$B$203,TEXT(首页!$B$4,"yyyy-mm"))+COUNTIFS(销售录入!$D$4:$D$203,P50,销售录入!$B$4:$B$203,TEXT(首页!$B$4,"yyyy-mm"))&gt;0,"显示","")))</f>
        <v/>
      </c>
      <c r="X50" s="54"/>
      <c r="Y50" s="54"/>
      <c r="Z50" s="54"/>
      <c r="AA50" s="54"/>
      <c r="AB50" s="54"/>
      <c r="AD50" s="54"/>
      <c r="AE50" s="54"/>
      <c r="AF50" s="54"/>
      <c r="AG50" s="54"/>
      <c r="AH50" s="54"/>
      <c r="AJ50" s="54"/>
      <c r="AK50" s="54"/>
      <c r="AL50" s="54"/>
      <c r="AM50" s="54"/>
      <c r="AO50" s="54" t="s">
        <v>309</v>
      </c>
      <c r="AP50" s="54" t="s">
        <v>310</v>
      </c>
      <c r="AQ50" s="54" t="s">
        <v>291</v>
      </c>
      <c r="AR50" s="54" t="s">
        <v>221</v>
      </c>
      <c r="AS50" s="54" t="s">
        <v>83</v>
      </c>
      <c r="AT50" s="54" t="s">
        <v>310</v>
      </c>
      <c r="AU50" s="54"/>
      <c r="AV50" s="54" t="s">
        <v>85</v>
      </c>
      <c r="AW50" s="54" t="s">
        <v>311</v>
      </c>
    </row>
    <row r="51" spans="1:49">
      <c r="A51" s="54"/>
      <c r="B51" s="54"/>
      <c r="C51" s="54"/>
      <c r="D51" s="54"/>
      <c r="F51" s="54"/>
      <c r="G51" s="54"/>
      <c r="H51" s="54"/>
      <c r="J51" s="54"/>
      <c r="K51" s="54"/>
      <c r="L51" s="54"/>
      <c r="M51" s="54"/>
      <c r="O51" s="54"/>
      <c r="P51" s="54"/>
      <c r="Q51" s="54"/>
      <c r="R51" s="54"/>
      <c r="S51" s="54"/>
      <c r="T51" s="54"/>
      <c r="U51" s="54"/>
      <c r="V51" s="54"/>
      <c r="W51" s="11" t="str">
        <f>IF(P51="","",IF(SUMIFS(期初数据!$S$5:$S$14,期初数据!$P$5:$P$14,P51)+SUMIFS(采购录入!$G$4:$G$203,采购录入!$D$4:$D$203,P51,采购录入!$A$4:$A$203,"&lt;="&amp;EOMONTH(首页!$B$4,0))-SUMIFS(销售录入!$G$4:$G$203,销售录入!$D$4:$D$203,P51,销售录入!$A$4:$A$203,"&lt;="&amp;EOMONTH(首页!$B$4,0))&lt;&gt;0,"显示",IF(COUNTIFS(采购录入!$D$4:$D$203,P51,采购录入!$B$4:$B$203,TEXT(首页!$B$4,"yyyy-mm"))+COUNTIFS(销售录入!$D$4:$D$203,P51,销售录入!$B$4:$B$203,TEXT(首页!$B$4,"yyyy-mm"))&gt;0,"显示","")))</f>
        <v/>
      </c>
      <c r="X51" s="54"/>
      <c r="Y51" s="54"/>
      <c r="Z51" s="54"/>
      <c r="AA51" s="54"/>
      <c r="AB51" s="54"/>
      <c r="AD51" s="54"/>
      <c r="AE51" s="54"/>
      <c r="AF51" s="54"/>
      <c r="AG51" s="54"/>
      <c r="AH51" s="54"/>
      <c r="AJ51" s="54"/>
      <c r="AK51" s="54"/>
      <c r="AL51" s="54"/>
      <c r="AM51" s="54"/>
      <c r="AO51" s="54" t="s">
        <v>312</v>
      </c>
      <c r="AP51" s="54" t="s">
        <v>313</v>
      </c>
      <c r="AQ51" s="54" t="s">
        <v>291</v>
      </c>
      <c r="AR51" s="54" t="s">
        <v>221</v>
      </c>
      <c r="AS51" s="54" t="s">
        <v>83</v>
      </c>
      <c r="AT51" s="54" t="s">
        <v>313</v>
      </c>
      <c r="AU51" s="54"/>
      <c r="AV51" s="54" t="s">
        <v>85</v>
      </c>
      <c r="AW51" s="54" t="s">
        <v>86</v>
      </c>
    </row>
    <row r="52" spans="1:49">
      <c r="A52" s="54"/>
      <c r="B52" s="54"/>
      <c r="C52" s="54"/>
      <c r="D52" s="54"/>
      <c r="F52" s="54"/>
      <c r="G52" s="54"/>
      <c r="H52" s="54"/>
      <c r="J52" s="54"/>
      <c r="K52" s="54"/>
      <c r="L52" s="54"/>
      <c r="M52" s="54"/>
      <c r="O52" s="54"/>
      <c r="P52" s="54"/>
      <c r="Q52" s="54"/>
      <c r="R52" s="54"/>
      <c r="S52" s="54"/>
      <c r="T52" s="54"/>
      <c r="U52" s="54"/>
      <c r="V52" s="54"/>
      <c r="W52" s="11" t="str">
        <f>IF(P52="","",IF(SUMIFS(期初数据!$S$5:$S$14,期初数据!$P$5:$P$14,P52)+SUMIFS(采购录入!$G$4:$G$203,采购录入!$D$4:$D$203,P52,采购录入!$A$4:$A$203,"&lt;="&amp;EOMONTH(首页!$B$4,0))-SUMIFS(销售录入!$G$4:$G$203,销售录入!$D$4:$D$203,P52,销售录入!$A$4:$A$203,"&lt;="&amp;EOMONTH(首页!$B$4,0))&lt;&gt;0,"显示",IF(COUNTIFS(采购录入!$D$4:$D$203,P52,采购录入!$B$4:$B$203,TEXT(首页!$B$4,"yyyy-mm"))+COUNTIFS(销售录入!$D$4:$D$203,P52,销售录入!$B$4:$B$203,TEXT(首页!$B$4,"yyyy-mm"))&gt;0,"显示","")))</f>
        <v/>
      </c>
      <c r="X52" s="54"/>
      <c r="Y52" s="54"/>
      <c r="Z52" s="54"/>
      <c r="AA52" s="54"/>
      <c r="AB52" s="54"/>
      <c r="AD52" s="54"/>
      <c r="AE52" s="54"/>
      <c r="AF52" s="54"/>
      <c r="AG52" s="54"/>
      <c r="AH52" s="54"/>
      <c r="AJ52" s="54"/>
      <c r="AK52" s="54"/>
      <c r="AL52" s="54"/>
      <c r="AM52" s="54"/>
      <c r="AO52" s="54" t="s">
        <v>314</v>
      </c>
      <c r="AP52" s="54" t="s">
        <v>315</v>
      </c>
      <c r="AQ52" s="54" t="s">
        <v>291</v>
      </c>
      <c r="AR52" s="54" t="s">
        <v>221</v>
      </c>
      <c r="AS52" s="54" t="s">
        <v>83</v>
      </c>
      <c r="AT52" s="54" t="s">
        <v>315</v>
      </c>
      <c r="AU52" s="54"/>
      <c r="AV52" s="54" t="s">
        <v>85</v>
      </c>
      <c r="AW52" s="54" t="s">
        <v>86</v>
      </c>
    </row>
    <row r="53" spans="1:49">
      <c r="A53" s="54"/>
      <c r="B53" s="54"/>
      <c r="C53" s="54"/>
      <c r="D53" s="54"/>
      <c r="F53" s="54"/>
      <c r="G53" s="54"/>
      <c r="H53" s="54"/>
      <c r="J53" s="54"/>
      <c r="K53" s="54"/>
      <c r="L53" s="54"/>
      <c r="M53" s="54"/>
      <c r="O53" s="54"/>
      <c r="P53" s="54"/>
      <c r="Q53" s="54"/>
      <c r="R53" s="54"/>
      <c r="S53" s="54"/>
      <c r="T53" s="54"/>
      <c r="U53" s="54"/>
      <c r="V53" s="54"/>
      <c r="W53" s="11" t="str">
        <f>IF(P53="","",IF(SUMIFS(期初数据!$S$5:$S$14,期初数据!$P$5:$P$14,P53)+SUMIFS(采购录入!$G$4:$G$203,采购录入!$D$4:$D$203,P53,采购录入!$A$4:$A$203,"&lt;="&amp;EOMONTH(首页!$B$4,0))-SUMIFS(销售录入!$G$4:$G$203,销售录入!$D$4:$D$203,P53,销售录入!$A$4:$A$203,"&lt;="&amp;EOMONTH(首页!$B$4,0))&lt;&gt;0,"显示",IF(COUNTIFS(采购录入!$D$4:$D$203,P53,采购录入!$B$4:$B$203,TEXT(首页!$B$4,"yyyy-mm"))+COUNTIFS(销售录入!$D$4:$D$203,P53,销售录入!$B$4:$B$203,TEXT(首页!$B$4,"yyyy-mm"))&gt;0,"显示","")))</f>
        <v/>
      </c>
      <c r="X53" s="54"/>
      <c r="Y53" s="54"/>
      <c r="Z53" s="54"/>
      <c r="AA53" s="54"/>
      <c r="AB53" s="54"/>
      <c r="AD53" s="54"/>
      <c r="AE53" s="54"/>
      <c r="AF53" s="54"/>
      <c r="AG53" s="54"/>
      <c r="AH53" s="54"/>
      <c r="AJ53" s="54"/>
      <c r="AK53" s="54"/>
      <c r="AL53" s="54"/>
      <c r="AM53" s="54"/>
      <c r="AO53" s="54" t="s">
        <v>316</v>
      </c>
      <c r="AP53" s="54" t="s">
        <v>317</v>
      </c>
      <c r="AQ53" s="54" t="s">
        <v>291</v>
      </c>
      <c r="AR53" s="54" t="s">
        <v>221</v>
      </c>
      <c r="AS53" s="54" t="s">
        <v>83</v>
      </c>
      <c r="AT53" s="54" t="s">
        <v>317</v>
      </c>
      <c r="AU53" s="54"/>
      <c r="AV53" s="54" t="s">
        <v>85</v>
      </c>
      <c r="AW53" s="54" t="s">
        <v>86</v>
      </c>
    </row>
    <row r="54" spans="1:49">
      <c r="A54" s="54"/>
      <c r="B54" s="54"/>
      <c r="C54" s="54"/>
      <c r="D54" s="54"/>
      <c r="F54" s="54"/>
      <c r="G54" s="54"/>
      <c r="H54" s="54"/>
      <c r="J54" s="54"/>
      <c r="K54" s="54"/>
      <c r="L54" s="54"/>
      <c r="M54" s="54"/>
      <c r="O54" s="54"/>
      <c r="P54" s="54"/>
      <c r="Q54" s="54"/>
      <c r="R54" s="54"/>
      <c r="S54" s="54"/>
      <c r="T54" s="54"/>
      <c r="U54" s="54"/>
      <c r="V54" s="54"/>
      <c r="W54" s="11" t="str">
        <f>IF(P54="","",IF(SUMIFS(期初数据!$S$5:$S$14,期初数据!$P$5:$P$14,P54)+SUMIFS(采购录入!$G$4:$G$203,采购录入!$D$4:$D$203,P54,采购录入!$A$4:$A$203,"&lt;="&amp;EOMONTH(首页!$B$4,0))-SUMIFS(销售录入!$G$4:$G$203,销售录入!$D$4:$D$203,P54,销售录入!$A$4:$A$203,"&lt;="&amp;EOMONTH(首页!$B$4,0))&lt;&gt;0,"显示",IF(COUNTIFS(采购录入!$D$4:$D$203,P54,采购录入!$B$4:$B$203,TEXT(首页!$B$4,"yyyy-mm"))+COUNTIFS(销售录入!$D$4:$D$203,P54,销售录入!$B$4:$B$203,TEXT(首页!$B$4,"yyyy-mm"))&gt;0,"显示","")))</f>
        <v/>
      </c>
      <c r="X54" s="54"/>
      <c r="Y54" s="54"/>
      <c r="Z54" s="54"/>
      <c r="AA54" s="54"/>
      <c r="AB54" s="54"/>
      <c r="AD54" s="54"/>
      <c r="AE54" s="54"/>
      <c r="AF54" s="54"/>
      <c r="AG54" s="54"/>
      <c r="AH54" s="54"/>
      <c r="AJ54" s="54"/>
      <c r="AK54" s="54"/>
      <c r="AL54" s="54"/>
      <c r="AM54" s="54"/>
      <c r="AO54" s="54" t="s">
        <v>318</v>
      </c>
      <c r="AP54" s="54" t="s">
        <v>319</v>
      </c>
      <c r="AQ54" s="54" t="s">
        <v>291</v>
      </c>
      <c r="AR54" s="54" t="s">
        <v>221</v>
      </c>
      <c r="AS54" s="54" t="s">
        <v>83</v>
      </c>
      <c r="AT54" s="54" t="s">
        <v>319</v>
      </c>
      <c r="AU54" s="54"/>
      <c r="AV54" s="54" t="s">
        <v>292</v>
      </c>
      <c r="AW54" s="54" t="s">
        <v>86</v>
      </c>
    </row>
    <row r="55" spans="1:49">
      <c r="A55" s="54"/>
      <c r="B55" s="54"/>
      <c r="C55" s="54"/>
      <c r="D55" s="54"/>
      <c r="F55" s="54"/>
      <c r="G55" s="54"/>
      <c r="H55" s="54"/>
      <c r="J55" s="54"/>
      <c r="K55" s="54"/>
      <c r="L55" s="54"/>
      <c r="M55" s="54"/>
      <c r="O55" s="54"/>
      <c r="P55" s="54"/>
      <c r="Q55" s="54"/>
      <c r="R55" s="54"/>
      <c r="S55" s="54"/>
      <c r="T55" s="54"/>
      <c r="U55" s="54"/>
      <c r="V55" s="54"/>
      <c r="W55" s="11" t="str">
        <f>IF(P55="","",IF(SUMIFS(期初数据!$S$5:$S$14,期初数据!$P$5:$P$14,P55)+SUMIFS(采购录入!$G$4:$G$203,采购录入!$D$4:$D$203,P55,采购录入!$A$4:$A$203,"&lt;="&amp;EOMONTH(首页!$B$4,0))-SUMIFS(销售录入!$G$4:$G$203,销售录入!$D$4:$D$203,P55,销售录入!$A$4:$A$203,"&lt;="&amp;EOMONTH(首页!$B$4,0))&lt;&gt;0,"显示",IF(COUNTIFS(采购录入!$D$4:$D$203,P55,采购录入!$B$4:$B$203,TEXT(首页!$B$4,"yyyy-mm"))+COUNTIFS(销售录入!$D$4:$D$203,P55,销售录入!$B$4:$B$203,TEXT(首页!$B$4,"yyyy-mm"))&gt;0,"显示","")))</f>
        <v/>
      </c>
      <c r="X55" s="54"/>
      <c r="Y55" s="54"/>
      <c r="Z55" s="54"/>
      <c r="AA55" s="54"/>
      <c r="AB55" s="54"/>
      <c r="AD55" s="54"/>
      <c r="AE55" s="54"/>
      <c r="AF55" s="54"/>
      <c r="AG55" s="54"/>
      <c r="AH55" s="54"/>
      <c r="AJ55" s="54"/>
      <c r="AK55" s="54"/>
      <c r="AL55" s="54"/>
      <c r="AM55" s="54"/>
      <c r="AO55" s="54" t="s">
        <v>320</v>
      </c>
      <c r="AP55" s="54" t="s">
        <v>321</v>
      </c>
      <c r="AQ55" s="54" t="s">
        <v>291</v>
      </c>
      <c r="AR55" s="54" t="s">
        <v>221</v>
      </c>
      <c r="AS55" s="54" t="s">
        <v>83</v>
      </c>
      <c r="AT55" s="54" t="s">
        <v>321</v>
      </c>
      <c r="AU55" s="54"/>
      <c r="AV55" s="54" t="s">
        <v>85</v>
      </c>
      <c r="AW55" s="54" t="s">
        <v>86</v>
      </c>
    </row>
    <row r="56" spans="1:49">
      <c r="A56" s="54"/>
      <c r="B56" s="54"/>
      <c r="C56" s="54"/>
      <c r="D56" s="54"/>
      <c r="F56" s="54"/>
      <c r="G56" s="54"/>
      <c r="H56" s="54"/>
      <c r="J56" s="54"/>
      <c r="K56" s="54"/>
      <c r="L56" s="54"/>
      <c r="M56" s="54"/>
      <c r="O56" s="54"/>
      <c r="P56" s="54"/>
      <c r="Q56" s="54"/>
      <c r="R56" s="54"/>
      <c r="S56" s="54"/>
      <c r="T56" s="54"/>
      <c r="U56" s="54"/>
      <c r="V56" s="54"/>
      <c r="W56" s="11" t="str">
        <f>IF(P56="","",IF(SUMIFS(期初数据!$S$5:$S$14,期初数据!$P$5:$P$14,P56)+SUMIFS(采购录入!$G$4:$G$203,采购录入!$D$4:$D$203,P56,采购录入!$A$4:$A$203,"&lt;="&amp;EOMONTH(首页!$B$4,0))-SUMIFS(销售录入!$G$4:$G$203,销售录入!$D$4:$D$203,P56,销售录入!$A$4:$A$203,"&lt;="&amp;EOMONTH(首页!$B$4,0))&lt;&gt;0,"显示",IF(COUNTIFS(采购录入!$D$4:$D$203,P56,采购录入!$B$4:$B$203,TEXT(首页!$B$4,"yyyy-mm"))+COUNTIFS(销售录入!$D$4:$D$203,P56,销售录入!$B$4:$B$203,TEXT(首页!$B$4,"yyyy-mm"))&gt;0,"显示","")))</f>
        <v/>
      </c>
      <c r="X56" s="54"/>
      <c r="Y56" s="54"/>
      <c r="Z56" s="54"/>
      <c r="AA56" s="54"/>
      <c r="AB56" s="54"/>
      <c r="AD56" s="54"/>
      <c r="AE56" s="54"/>
      <c r="AF56" s="54"/>
      <c r="AG56" s="54"/>
      <c r="AH56" s="54"/>
      <c r="AJ56" s="54"/>
      <c r="AK56" s="54"/>
      <c r="AL56" s="54"/>
      <c r="AM56" s="54"/>
      <c r="AO56" s="54" t="s">
        <v>322</v>
      </c>
      <c r="AP56" s="54" t="s">
        <v>323</v>
      </c>
      <c r="AQ56" s="54" t="s">
        <v>291</v>
      </c>
      <c r="AR56" s="54" t="s">
        <v>221</v>
      </c>
      <c r="AS56" s="54" t="s">
        <v>83</v>
      </c>
      <c r="AT56" s="54" t="s">
        <v>323</v>
      </c>
      <c r="AU56" s="54"/>
      <c r="AV56" s="54" t="s">
        <v>85</v>
      </c>
      <c r="AW56" s="54" t="s">
        <v>86</v>
      </c>
    </row>
    <row r="57" spans="1:49">
      <c r="A57" s="54"/>
      <c r="B57" s="54"/>
      <c r="C57" s="54"/>
      <c r="D57" s="54"/>
      <c r="F57" s="54"/>
      <c r="G57" s="54"/>
      <c r="H57" s="54"/>
      <c r="J57" s="54"/>
      <c r="K57" s="54"/>
      <c r="L57" s="54"/>
      <c r="M57" s="54"/>
      <c r="O57" s="54"/>
      <c r="P57" s="54"/>
      <c r="Q57" s="54"/>
      <c r="R57" s="54"/>
      <c r="S57" s="54"/>
      <c r="T57" s="54"/>
      <c r="U57" s="54"/>
      <c r="V57" s="54"/>
      <c r="W57" s="11" t="str">
        <f>IF(P57="","",IF(SUMIFS(期初数据!$S$5:$S$14,期初数据!$P$5:$P$14,P57)+SUMIFS(采购录入!$G$4:$G$203,采购录入!$D$4:$D$203,P57,采购录入!$A$4:$A$203,"&lt;="&amp;EOMONTH(首页!$B$4,0))-SUMIFS(销售录入!$G$4:$G$203,销售录入!$D$4:$D$203,P57,销售录入!$A$4:$A$203,"&lt;="&amp;EOMONTH(首页!$B$4,0))&lt;&gt;0,"显示",IF(COUNTIFS(采购录入!$D$4:$D$203,P57,采购录入!$B$4:$B$203,TEXT(首页!$B$4,"yyyy-mm"))+COUNTIFS(销售录入!$D$4:$D$203,P57,销售录入!$B$4:$B$203,TEXT(首页!$B$4,"yyyy-mm"))&gt;0,"显示","")))</f>
        <v/>
      </c>
      <c r="X57" s="54"/>
      <c r="Y57" s="54"/>
      <c r="Z57" s="54"/>
      <c r="AA57" s="54"/>
      <c r="AB57" s="54"/>
      <c r="AD57" s="54"/>
      <c r="AE57" s="54"/>
      <c r="AF57" s="54"/>
      <c r="AG57" s="54"/>
      <c r="AH57" s="54"/>
      <c r="AJ57" s="54"/>
      <c r="AK57" s="54"/>
      <c r="AL57" s="54"/>
      <c r="AM57" s="54"/>
      <c r="AO57" s="54" t="s">
        <v>324</v>
      </c>
      <c r="AP57" s="54" t="s">
        <v>325</v>
      </c>
      <c r="AQ57" s="54" t="s">
        <v>291</v>
      </c>
      <c r="AR57" s="54" t="s">
        <v>221</v>
      </c>
      <c r="AS57" s="54" t="s">
        <v>83</v>
      </c>
      <c r="AT57" s="54" t="s">
        <v>325</v>
      </c>
      <c r="AU57" s="54"/>
      <c r="AV57" s="54" t="s">
        <v>85</v>
      </c>
      <c r="AW57" s="54" t="s">
        <v>86</v>
      </c>
    </row>
    <row r="58" spans="1:49">
      <c r="A58" s="54"/>
      <c r="B58" s="54"/>
      <c r="C58" s="54"/>
      <c r="D58" s="54"/>
      <c r="F58" s="54"/>
      <c r="G58" s="54"/>
      <c r="H58" s="54"/>
      <c r="J58" s="54"/>
      <c r="K58" s="54"/>
      <c r="L58" s="54"/>
      <c r="M58" s="54"/>
      <c r="O58" s="54"/>
      <c r="P58" s="54"/>
      <c r="Q58" s="54"/>
      <c r="R58" s="54"/>
      <c r="S58" s="54"/>
      <c r="T58" s="54"/>
      <c r="U58" s="54"/>
      <c r="V58" s="54"/>
      <c r="W58" s="11" t="str">
        <f>IF(P58="","",IF(SUMIFS(期初数据!$S$5:$S$14,期初数据!$P$5:$P$14,P58)+SUMIFS(采购录入!$G$4:$G$203,采购录入!$D$4:$D$203,P58,采购录入!$A$4:$A$203,"&lt;="&amp;EOMONTH(首页!$B$4,0))-SUMIFS(销售录入!$G$4:$G$203,销售录入!$D$4:$D$203,P58,销售录入!$A$4:$A$203,"&lt;="&amp;EOMONTH(首页!$B$4,0))&lt;&gt;0,"显示",IF(COUNTIFS(采购录入!$D$4:$D$203,P58,采购录入!$B$4:$B$203,TEXT(首页!$B$4,"yyyy-mm"))+COUNTIFS(销售录入!$D$4:$D$203,P58,销售录入!$B$4:$B$203,TEXT(首页!$B$4,"yyyy-mm"))&gt;0,"显示","")))</f>
        <v/>
      </c>
      <c r="X58" s="54"/>
      <c r="Y58" s="54"/>
      <c r="Z58" s="54"/>
      <c r="AA58" s="54"/>
      <c r="AB58" s="54"/>
      <c r="AD58" s="54"/>
      <c r="AE58" s="54"/>
      <c r="AF58" s="54"/>
      <c r="AG58" s="54"/>
      <c r="AH58" s="54"/>
      <c r="AJ58" s="54"/>
      <c r="AK58" s="54"/>
      <c r="AL58" s="54"/>
      <c r="AM58" s="54"/>
      <c r="AO58" s="54" t="s">
        <v>326</v>
      </c>
      <c r="AP58" s="54" t="s">
        <v>327</v>
      </c>
      <c r="AQ58" s="54" t="s">
        <v>328</v>
      </c>
      <c r="AR58" s="54" t="s">
        <v>221</v>
      </c>
      <c r="AS58" s="54" t="s">
        <v>83</v>
      </c>
      <c r="AT58" s="54" t="s">
        <v>327</v>
      </c>
      <c r="AU58" s="54"/>
      <c r="AV58" s="54" t="s">
        <v>292</v>
      </c>
      <c r="AW58" s="54" t="s">
        <v>86</v>
      </c>
    </row>
    <row r="59" spans="1:49">
      <c r="A59" s="54"/>
      <c r="B59" s="54"/>
      <c r="C59" s="54"/>
      <c r="D59" s="54"/>
      <c r="F59" s="54"/>
      <c r="G59" s="54"/>
      <c r="H59" s="54"/>
      <c r="J59" s="54"/>
      <c r="K59" s="54"/>
      <c r="L59" s="54"/>
      <c r="M59" s="54"/>
      <c r="O59" s="54"/>
      <c r="P59" s="54"/>
      <c r="Q59" s="54"/>
      <c r="R59" s="54"/>
      <c r="S59" s="54"/>
      <c r="T59" s="54"/>
      <c r="U59" s="54"/>
      <c r="V59" s="54"/>
      <c r="W59" s="11" t="str">
        <f>IF(P59="","",IF(SUMIFS(期初数据!$S$5:$S$14,期初数据!$P$5:$P$14,P59)+SUMIFS(采购录入!$G$4:$G$203,采购录入!$D$4:$D$203,P59,采购录入!$A$4:$A$203,"&lt;="&amp;EOMONTH(首页!$B$4,0))-SUMIFS(销售录入!$G$4:$G$203,销售录入!$D$4:$D$203,P59,销售录入!$A$4:$A$203,"&lt;="&amp;EOMONTH(首页!$B$4,0))&lt;&gt;0,"显示",IF(COUNTIFS(采购录入!$D$4:$D$203,P59,采购录入!$B$4:$B$203,TEXT(首页!$B$4,"yyyy-mm"))+COUNTIFS(销售录入!$D$4:$D$203,P59,销售录入!$B$4:$B$203,TEXT(首页!$B$4,"yyyy-mm"))&gt;0,"显示","")))</f>
        <v/>
      </c>
      <c r="X59" s="54"/>
      <c r="Y59" s="54"/>
      <c r="Z59" s="54"/>
      <c r="AA59" s="54"/>
      <c r="AB59" s="54"/>
      <c r="AD59" s="54"/>
      <c r="AE59" s="54"/>
      <c r="AF59" s="54"/>
      <c r="AG59" s="54"/>
      <c r="AH59" s="54"/>
      <c r="AJ59" s="54"/>
      <c r="AK59" s="54"/>
      <c r="AL59" s="54"/>
      <c r="AM59" s="54"/>
      <c r="AO59" s="54" t="s">
        <v>329</v>
      </c>
      <c r="AP59" s="54" t="s">
        <v>330</v>
      </c>
      <c r="AQ59" s="54" t="s">
        <v>328</v>
      </c>
      <c r="AR59" s="54" t="s">
        <v>221</v>
      </c>
      <c r="AS59" s="54" t="s">
        <v>83</v>
      </c>
      <c r="AT59" s="54" t="s">
        <v>330</v>
      </c>
      <c r="AU59" s="54"/>
      <c r="AV59" s="54" t="s">
        <v>292</v>
      </c>
      <c r="AW59" s="54" t="s">
        <v>86</v>
      </c>
    </row>
    <row r="60" spans="1:49">
      <c r="A60" s="54"/>
      <c r="B60" s="54"/>
      <c r="C60" s="54"/>
      <c r="D60" s="54"/>
      <c r="F60" s="54"/>
      <c r="G60" s="54"/>
      <c r="H60" s="54"/>
      <c r="J60" s="54"/>
      <c r="K60" s="54"/>
      <c r="L60" s="54"/>
      <c r="M60" s="54"/>
      <c r="O60" s="54"/>
      <c r="P60" s="54"/>
      <c r="Q60" s="54"/>
      <c r="R60" s="54"/>
      <c r="S60" s="54"/>
      <c r="T60" s="54"/>
      <c r="U60" s="54"/>
      <c r="V60" s="54"/>
      <c r="W60" s="11" t="str">
        <f>IF(P60="","",IF(SUMIFS(期初数据!$S$5:$S$14,期初数据!$P$5:$P$14,P60)+SUMIFS(采购录入!$G$4:$G$203,采购录入!$D$4:$D$203,P60,采购录入!$A$4:$A$203,"&lt;="&amp;EOMONTH(首页!$B$4,0))-SUMIFS(销售录入!$G$4:$G$203,销售录入!$D$4:$D$203,P60,销售录入!$A$4:$A$203,"&lt;="&amp;EOMONTH(首页!$B$4,0))&lt;&gt;0,"显示",IF(COUNTIFS(采购录入!$D$4:$D$203,P60,采购录入!$B$4:$B$203,TEXT(首页!$B$4,"yyyy-mm"))+COUNTIFS(销售录入!$D$4:$D$203,P60,销售录入!$B$4:$B$203,TEXT(首页!$B$4,"yyyy-mm"))&gt;0,"显示","")))</f>
        <v/>
      </c>
      <c r="X60" s="54"/>
      <c r="Y60" s="54"/>
      <c r="Z60" s="54"/>
      <c r="AA60" s="54"/>
      <c r="AB60" s="54"/>
      <c r="AD60" s="54"/>
      <c r="AE60" s="54"/>
      <c r="AF60" s="54"/>
      <c r="AG60" s="54"/>
      <c r="AH60" s="54"/>
      <c r="AJ60" s="54"/>
      <c r="AK60" s="54"/>
      <c r="AL60" s="54"/>
      <c r="AM60" s="54"/>
      <c r="AO60" s="54" t="s">
        <v>331</v>
      </c>
      <c r="AP60" s="54" t="s">
        <v>332</v>
      </c>
      <c r="AQ60" s="54" t="s">
        <v>328</v>
      </c>
      <c r="AR60" s="54" t="s">
        <v>221</v>
      </c>
      <c r="AS60" s="54" t="s">
        <v>83</v>
      </c>
      <c r="AT60" s="54" t="s">
        <v>332</v>
      </c>
      <c r="AU60" s="54"/>
      <c r="AV60" s="54" t="s">
        <v>85</v>
      </c>
      <c r="AW60" s="54" t="s">
        <v>86</v>
      </c>
    </row>
    <row r="61" spans="1:49">
      <c r="A61" s="54"/>
      <c r="B61" s="54"/>
      <c r="C61" s="54"/>
      <c r="D61" s="54"/>
      <c r="F61" s="54"/>
      <c r="G61" s="54"/>
      <c r="H61" s="54"/>
      <c r="J61" s="54"/>
      <c r="K61" s="54"/>
      <c r="L61" s="54"/>
      <c r="M61" s="54"/>
      <c r="O61" s="54"/>
      <c r="P61" s="54"/>
      <c r="Q61" s="54"/>
      <c r="R61" s="54"/>
      <c r="S61" s="54"/>
      <c r="T61" s="54"/>
      <c r="U61" s="54"/>
      <c r="V61" s="54"/>
      <c r="W61" s="11" t="str">
        <f>IF(P61="","",IF(SUMIFS(期初数据!$S$5:$S$14,期初数据!$P$5:$P$14,P61)+SUMIFS(采购录入!$G$4:$G$203,采购录入!$D$4:$D$203,P61,采购录入!$A$4:$A$203,"&lt;="&amp;EOMONTH(首页!$B$4,0))-SUMIFS(销售录入!$G$4:$G$203,销售录入!$D$4:$D$203,P61,销售录入!$A$4:$A$203,"&lt;="&amp;EOMONTH(首页!$B$4,0))&lt;&gt;0,"显示",IF(COUNTIFS(采购录入!$D$4:$D$203,P61,采购录入!$B$4:$B$203,TEXT(首页!$B$4,"yyyy-mm"))+COUNTIFS(销售录入!$D$4:$D$203,P61,销售录入!$B$4:$B$203,TEXT(首页!$B$4,"yyyy-mm"))&gt;0,"显示","")))</f>
        <v/>
      </c>
      <c r="X61" s="54"/>
      <c r="Y61" s="54"/>
      <c r="Z61" s="54"/>
      <c r="AA61" s="54"/>
      <c r="AB61" s="54"/>
      <c r="AD61" s="54"/>
      <c r="AE61" s="54"/>
      <c r="AF61" s="54"/>
      <c r="AG61" s="54"/>
      <c r="AH61" s="54"/>
      <c r="AJ61" s="54"/>
      <c r="AK61" s="54"/>
      <c r="AL61" s="54"/>
      <c r="AM61" s="54"/>
      <c r="AO61" s="54" t="s">
        <v>333</v>
      </c>
      <c r="AP61" s="54" t="s">
        <v>334</v>
      </c>
      <c r="AQ61" s="54" t="s">
        <v>328</v>
      </c>
      <c r="AR61" s="54" t="s">
        <v>221</v>
      </c>
      <c r="AS61" s="54" t="s">
        <v>83</v>
      </c>
      <c r="AT61" s="54"/>
      <c r="AU61" s="54"/>
      <c r="AV61" s="54" t="s">
        <v>85</v>
      </c>
      <c r="AW61" s="54" t="s">
        <v>86</v>
      </c>
    </row>
    <row r="62" spans="1:49">
      <c r="A62" s="54"/>
      <c r="B62" s="54"/>
      <c r="C62" s="54"/>
      <c r="D62" s="54"/>
      <c r="F62" s="54"/>
      <c r="G62" s="54"/>
      <c r="H62" s="54"/>
      <c r="J62" s="54"/>
      <c r="K62" s="54"/>
      <c r="L62" s="54"/>
      <c r="M62" s="54"/>
      <c r="O62" s="54"/>
      <c r="P62" s="54"/>
      <c r="Q62" s="54"/>
      <c r="R62" s="54"/>
      <c r="S62" s="54"/>
      <c r="T62" s="54"/>
      <c r="U62" s="54"/>
      <c r="V62" s="54"/>
      <c r="W62" s="11" t="str">
        <f>IF(P62="","",IF(SUMIFS(期初数据!$S$5:$S$14,期初数据!$P$5:$P$14,P62)+SUMIFS(采购录入!$G$4:$G$203,采购录入!$D$4:$D$203,P62,采购录入!$A$4:$A$203,"&lt;="&amp;EOMONTH(首页!$B$4,0))-SUMIFS(销售录入!$G$4:$G$203,销售录入!$D$4:$D$203,P62,销售录入!$A$4:$A$203,"&lt;="&amp;EOMONTH(首页!$B$4,0))&lt;&gt;0,"显示",IF(COUNTIFS(采购录入!$D$4:$D$203,P62,采购录入!$B$4:$B$203,TEXT(首页!$B$4,"yyyy-mm"))+COUNTIFS(销售录入!$D$4:$D$203,P62,销售录入!$B$4:$B$203,TEXT(首页!$B$4,"yyyy-mm"))&gt;0,"显示","")))</f>
        <v/>
      </c>
      <c r="X62" s="54"/>
      <c r="Y62" s="54"/>
      <c r="Z62" s="54"/>
      <c r="AA62" s="54"/>
      <c r="AB62" s="54"/>
      <c r="AD62" s="54"/>
      <c r="AE62" s="54"/>
      <c r="AF62" s="54"/>
      <c r="AG62" s="54"/>
      <c r="AH62" s="54"/>
      <c r="AJ62" s="54"/>
      <c r="AK62" s="54"/>
      <c r="AL62" s="54"/>
      <c r="AM62" s="54"/>
      <c r="AO62" s="54" t="s">
        <v>335</v>
      </c>
      <c r="AP62" s="54" t="s">
        <v>336</v>
      </c>
      <c r="AQ62" s="54" t="s">
        <v>328</v>
      </c>
      <c r="AR62" s="54" t="s">
        <v>221</v>
      </c>
      <c r="AS62" s="54" t="s">
        <v>83</v>
      </c>
      <c r="AT62" s="54" t="s">
        <v>337</v>
      </c>
      <c r="AU62" s="54"/>
      <c r="AV62" s="54" t="s">
        <v>85</v>
      </c>
      <c r="AW62" s="54" t="s">
        <v>86</v>
      </c>
    </row>
    <row r="63" spans="1:49">
      <c r="A63" s="54"/>
      <c r="B63" s="54"/>
      <c r="C63" s="54"/>
      <c r="D63" s="54"/>
      <c r="F63" s="54"/>
      <c r="G63" s="54"/>
      <c r="H63" s="54"/>
      <c r="J63" s="54"/>
      <c r="K63" s="54"/>
      <c r="L63" s="54"/>
      <c r="M63" s="54"/>
      <c r="O63" s="54"/>
      <c r="P63" s="54"/>
      <c r="Q63" s="54"/>
      <c r="R63" s="54"/>
      <c r="S63" s="54"/>
      <c r="T63" s="54"/>
      <c r="U63" s="54"/>
      <c r="V63" s="54"/>
      <c r="W63" s="11" t="str">
        <f>IF(P63="","",IF(SUMIFS(期初数据!$S$5:$S$14,期初数据!$P$5:$P$14,P63)+SUMIFS(采购录入!$G$4:$G$203,采购录入!$D$4:$D$203,P63,采购录入!$A$4:$A$203,"&lt;="&amp;EOMONTH(首页!$B$4,0))-SUMIFS(销售录入!$G$4:$G$203,销售录入!$D$4:$D$203,P63,销售录入!$A$4:$A$203,"&lt;="&amp;EOMONTH(首页!$B$4,0))&lt;&gt;0,"显示",IF(COUNTIFS(采购录入!$D$4:$D$203,P63,采购录入!$B$4:$B$203,TEXT(首页!$B$4,"yyyy-mm"))+COUNTIFS(销售录入!$D$4:$D$203,P63,销售录入!$B$4:$B$203,TEXT(首页!$B$4,"yyyy-mm"))&gt;0,"显示","")))</f>
        <v/>
      </c>
      <c r="X63" s="54"/>
      <c r="Y63" s="54"/>
      <c r="Z63" s="54"/>
      <c r="AA63" s="54"/>
      <c r="AB63" s="54"/>
      <c r="AD63" s="54"/>
      <c r="AE63" s="54"/>
      <c r="AF63" s="54"/>
      <c r="AG63" s="54"/>
      <c r="AH63" s="54"/>
      <c r="AJ63" s="54"/>
      <c r="AK63" s="54"/>
      <c r="AL63" s="54"/>
      <c r="AM63" s="54"/>
      <c r="AO63" s="54" t="s">
        <v>338</v>
      </c>
      <c r="AP63" s="54" t="s">
        <v>339</v>
      </c>
      <c r="AQ63" s="54" t="s">
        <v>340</v>
      </c>
      <c r="AR63" s="54" t="s">
        <v>82</v>
      </c>
      <c r="AS63" s="54" t="s">
        <v>83</v>
      </c>
      <c r="AT63" s="54" t="s">
        <v>226</v>
      </c>
      <c r="AU63" s="54"/>
      <c r="AV63" s="54" t="s">
        <v>85</v>
      </c>
      <c r="AW63" s="54" t="s">
        <v>86</v>
      </c>
    </row>
    <row r="64" spans="1:49">
      <c r="A64" s="54"/>
      <c r="B64" s="54"/>
      <c r="C64" s="54"/>
      <c r="D64" s="54"/>
      <c r="F64" s="54"/>
      <c r="G64" s="54"/>
      <c r="H64" s="54"/>
      <c r="J64" s="54"/>
      <c r="K64" s="54"/>
      <c r="L64" s="54"/>
      <c r="M64" s="54"/>
      <c r="O64" s="54"/>
      <c r="P64" s="54"/>
      <c r="Q64" s="54"/>
      <c r="R64" s="54"/>
      <c r="S64" s="54"/>
      <c r="T64" s="54"/>
      <c r="U64" s="54"/>
      <c r="V64" s="54"/>
      <c r="W64" s="11" t="str">
        <f>IF(P64="","",IF(SUMIFS(期初数据!$S$5:$S$14,期初数据!$P$5:$P$14,P64)+SUMIFS(采购录入!$G$4:$G$203,采购录入!$D$4:$D$203,P64,采购录入!$A$4:$A$203,"&lt;="&amp;EOMONTH(首页!$B$4,0))-SUMIFS(销售录入!$G$4:$G$203,销售录入!$D$4:$D$203,P64,销售录入!$A$4:$A$203,"&lt;="&amp;EOMONTH(首页!$B$4,0))&lt;&gt;0,"显示",IF(COUNTIFS(采购录入!$D$4:$D$203,P64,采购录入!$B$4:$B$203,TEXT(首页!$B$4,"yyyy-mm"))+COUNTIFS(销售录入!$D$4:$D$203,P64,销售录入!$B$4:$B$203,TEXT(首页!$B$4,"yyyy-mm"))&gt;0,"显示","")))</f>
        <v/>
      </c>
      <c r="X64" s="54"/>
      <c r="Y64" s="54"/>
      <c r="Z64" s="54"/>
      <c r="AA64" s="54"/>
      <c r="AB64" s="54"/>
      <c r="AD64" s="54"/>
      <c r="AE64" s="54"/>
      <c r="AF64" s="54"/>
      <c r="AG64" s="54"/>
      <c r="AH64" s="54"/>
      <c r="AJ64" s="54"/>
      <c r="AK64" s="54"/>
      <c r="AL64" s="54"/>
      <c r="AM64" s="54"/>
      <c r="AO64" s="54" t="s">
        <v>341</v>
      </c>
      <c r="AP64" s="54" t="s">
        <v>342</v>
      </c>
      <c r="AQ64" s="54" t="s">
        <v>340</v>
      </c>
      <c r="AR64" s="54" t="s">
        <v>82</v>
      </c>
      <c r="AS64" s="54" t="s">
        <v>83</v>
      </c>
      <c r="AT64" s="54" t="s">
        <v>226</v>
      </c>
      <c r="AU64" s="54"/>
      <c r="AV64" s="54" t="s">
        <v>85</v>
      </c>
      <c r="AW64" s="54" t="s">
        <v>86</v>
      </c>
    </row>
    <row r="65" spans="1:49">
      <c r="A65" s="54"/>
      <c r="B65" s="54"/>
      <c r="C65" s="54"/>
      <c r="D65" s="54"/>
      <c r="F65" s="54"/>
      <c r="G65" s="54"/>
      <c r="H65" s="54"/>
      <c r="J65" s="54"/>
      <c r="K65" s="54"/>
      <c r="L65" s="54"/>
      <c r="M65" s="54"/>
      <c r="O65" s="54"/>
      <c r="P65" s="54"/>
      <c r="Q65" s="54"/>
      <c r="R65" s="54"/>
      <c r="S65" s="54"/>
      <c r="T65" s="54"/>
      <c r="U65" s="54"/>
      <c r="V65" s="54"/>
      <c r="W65" s="11" t="str">
        <f>IF(P65="","",IF(SUMIFS(期初数据!$S$5:$S$14,期初数据!$P$5:$P$14,P65)+SUMIFS(采购录入!$G$4:$G$203,采购录入!$D$4:$D$203,P65,采购录入!$A$4:$A$203,"&lt;="&amp;EOMONTH(首页!$B$4,0))-SUMIFS(销售录入!$G$4:$G$203,销售录入!$D$4:$D$203,P65,销售录入!$A$4:$A$203,"&lt;="&amp;EOMONTH(首页!$B$4,0))&lt;&gt;0,"显示",IF(COUNTIFS(采购录入!$D$4:$D$203,P65,采购录入!$B$4:$B$203,TEXT(首页!$B$4,"yyyy-mm"))+COUNTIFS(销售录入!$D$4:$D$203,P65,销售录入!$B$4:$B$203,TEXT(首页!$B$4,"yyyy-mm"))&gt;0,"显示","")))</f>
        <v/>
      </c>
      <c r="X65" s="54"/>
      <c r="Y65" s="54"/>
      <c r="Z65" s="54"/>
      <c r="AA65" s="54"/>
      <c r="AB65" s="54"/>
      <c r="AD65" s="54"/>
      <c r="AE65" s="54"/>
      <c r="AF65" s="54"/>
      <c r="AG65" s="54"/>
      <c r="AH65" s="54"/>
      <c r="AJ65" s="54"/>
      <c r="AK65" s="54"/>
      <c r="AL65" s="54"/>
      <c r="AM65" s="54"/>
      <c r="AO65" s="54" t="s">
        <v>343</v>
      </c>
      <c r="AP65" s="54" t="s">
        <v>344</v>
      </c>
      <c r="AQ65" s="54" t="s">
        <v>340</v>
      </c>
      <c r="AR65" s="54" t="s">
        <v>82</v>
      </c>
      <c r="AS65" s="54" t="s">
        <v>83</v>
      </c>
      <c r="AT65" s="54"/>
      <c r="AU65" s="54"/>
      <c r="AV65" s="54" t="s">
        <v>85</v>
      </c>
      <c r="AW65" s="54" t="s">
        <v>86</v>
      </c>
    </row>
    <row r="66" spans="1:49">
      <c r="A66" s="54"/>
      <c r="B66" s="54"/>
      <c r="C66" s="54"/>
      <c r="D66" s="54"/>
      <c r="F66" s="54"/>
      <c r="G66" s="54"/>
      <c r="H66" s="54"/>
      <c r="J66" s="54"/>
      <c r="K66" s="54"/>
      <c r="L66" s="54"/>
      <c r="M66" s="54"/>
      <c r="O66" s="54"/>
      <c r="P66" s="54"/>
      <c r="Q66" s="54"/>
      <c r="R66" s="54"/>
      <c r="S66" s="54"/>
      <c r="T66" s="54"/>
      <c r="U66" s="54"/>
      <c r="V66" s="54"/>
      <c r="W66" s="11" t="str">
        <f>IF(P66="","",IF(SUMIFS(期初数据!$S$5:$S$14,期初数据!$P$5:$P$14,P66)+SUMIFS(采购录入!$G$4:$G$203,采购录入!$D$4:$D$203,P66,采购录入!$A$4:$A$203,"&lt;="&amp;EOMONTH(首页!$B$4,0))-SUMIFS(销售录入!$G$4:$G$203,销售录入!$D$4:$D$203,P66,销售录入!$A$4:$A$203,"&lt;="&amp;EOMONTH(首页!$B$4,0))&lt;&gt;0,"显示",IF(COUNTIFS(采购录入!$D$4:$D$203,P66,采购录入!$B$4:$B$203,TEXT(首页!$B$4,"yyyy-mm"))+COUNTIFS(销售录入!$D$4:$D$203,P66,销售录入!$B$4:$B$203,TEXT(首页!$B$4,"yyyy-mm"))&gt;0,"显示","")))</f>
        <v/>
      </c>
      <c r="X66" s="54"/>
      <c r="Y66" s="54"/>
      <c r="Z66" s="54"/>
      <c r="AA66" s="54"/>
      <c r="AB66" s="54"/>
      <c r="AD66" s="54"/>
      <c r="AE66" s="54"/>
      <c r="AF66" s="54"/>
      <c r="AG66" s="54"/>
      <c r="AH66" s="54"/>
      <c r="AJ66" s="54"/>
      <c r="AK66" s="54"/>
      <c r="AL66" s="54"/>
      <c r="AM66" s="54"/>
      <c r="AO66" s="54" t="s">
        <v>345</v>
      </c>
      <c r="AP66" s="54" t="s">
        <v>346</v>
      </c>
      <c r="AQ66" s="54" t="s">
        <v>340</v>
      </c>
      <c r="AR66" s="54" t="s">
        <v>82</v>
      </c>
      <c r="AS66" s="54" t="s">
        <v>83</v>
      </c>
      <c r="AT66" s="54" t="s">
        <v>347</v>
      </c>
      <c r="AU66" s="54"/>
      <c r="AV66" s="54" t="s">
        <v>85</v>
      </c>
      <c r="AW66" s="54" t="s">
        <v>86</v>
      </c>
    </row>
    <row r="67" spans="1:49">
      <c r="A67" s="54"/>
      <c r="B67" s="54"/>
      <c r="C67" s="54"/>
      <c r="D67" s="54"/>
      <c r="F67" s="54"/>
      <c r="G67" s="54"/>
      <c r="H67" s="54"/>
      <c r="J67" s="54"/>
      <c r="K67" s="54"/>
      <c r="L67" s="54"/>
      <c r="M67" s="54"/>
      <c r="O67" s="54"/>
      <c r="P67" s="54"/>
      <c r="Q67" s="54"/>
      <c r="R67" s="54"/>
      <c r="S67" s="54"/>
      <c r="T67" s="54"/>
      <c r="U67" s="54"/>
      <c r="V67" s="54"/>
      <c r="W67" s="11" t="str">
        <f>IF(P67="","",IF(SUMIFS(期初数据!$S$5:$S$14,期初数据!$P$5:$P$14,P67)+SUMIFS(采购录入!$G$4:$G$203,采购录入!$D$4:$D$203,P67,采购录入!$A$4:$A$203,"&lt;="&amp;EOMONTH(首页!$B$4,0))-SUMIFS(销售录入!$G$4:$G$203,销售录入!$D$4:$D$203,P67,销售录入!$A$4:$A$203,"&lt;="&amp;EOMONTH(首页!$B$4,0))&lt;&gt;0,"显示",IF(COUNTIFS(采购录入!$D$4:$D$203,P67,采购录入!$B$4:$B$203,TEXT(首页!$B$4,"yyyy-mm"))+COUNTIFS(销售录入!$D$4:$D$203,P67,销售录入!$B$4:$B$203,TEXT(首页!$B$4,"yyyy-mm"))&gt;0,"显示","")))</f>
        <v/>
      </c>
      <c r="X67" s="54"/>
      <c r="Y67" s="54"/>
      <c r="Z67" s="54"/>
      <c r="AA67" s="54"/>
      <c r="AB67" s="54"/>
      <c r="AD67" s="54"/>
      <c r="AE67" s="54"/>
      <c r="AF67" s="54"/>
      <c r="AG67" s="54"/>
      <c r="AH67" s="54"/>
      <c r="AJ67" s="54"/>
      <c r="AK67" s="54"/>
      <c r="AL67" s="54"/>
      <c r="AM67" s="54"/>
      <c r="AO67" s="54" t="s">
        <v>348</v>
      </c>
      <c r="AP67" s="54" t="s">
        <v>349</v>
      </c>
      <c r="AQ67" s="54" t="s">
        <v>77</v>
      </c>
      <c r="AR67" s="54" t="s">
        <v>221</v>
      </c>
      <c r="AS67" s="54" t="s">
        <v>83</v>
      </c>
      <c r="AT67" s="54"/>
      <c r="AU67" s="54" t="s">
        <v>349</v>
      </c>
      <c r="AV67" s="54" t="s">
        <v>350</v>
      </c>
      <c r="AW67" s="54" t="s">
        <v>351</v>
      </c>
    </row>
    <row r="68" spans="1:49">
      <c r="A68" s="54"/>
      <c r="B68" s="54"/>
      <c r="C68" s="54"/>
      <c r="D68" s="54"/>
      <c r="F68" s="54"/>
      <c r="G68" s="54"/>
      <c r="H68" s="54"/>
      <c r="J68" s="54"/>
      <c r="K68" s="54"/>
      <c r="L68" s="54"/>
      <c r="M68" s="54"/>
      <c r="O68" s="54"/>
      <c r="P68" s="54"/>
      <c r="Q68" s="54"/>
      <c r="R68" s="54"/>
      <c r="S68" s="54"/>
      <c r="T68" s="54"/>
      <c r="U68" s="54"/>
      <c r="V68" s="54"/>
      <c r="W68" s="11" t="str">
        <f>IF(P68="","",IF(SUMIFS(期初数据!$S$5:$S$14,期初数据!$P$5:$P$14,P68)+SUMIFS(采购录入!$G$4:$G$203,采购录入!$D$4:$D$203,P68,采购录入!$A$4:$A$203,"&lt;="&amp;EOMONTH(首页!$B$4,0))-SUMIFS(销售录入!$G$4:$G$203,销售录入!$D$4:$D$203,P68,销售录入!$A$4:$A$203,"&lt;="&amp;EOMONTH(首页!$B$4,0))&lt;&gt;0,"显示",IF(COUNTIFS(采购录入!$D$4:$D$203,P68,采购录入!$B$4:$B$203,TEXT(首页!$B$4,"yyyy-mm"))+COUNTIFS(销售录入!$D$4:$D$203,P68,销售录入!$B$4:$B$203,TEXT(首页!$B$4,"yyyy-mm"))&gt;0,"显示","")))</f>
        <v/>
      </c>
      <c r="X68" s="54"/>
      <c r="Y68" s="54"/>
      <c r="Z68" s="54"/>
      <c r="AA68" s="54"/>
      <c r="AB68" s="54"/>
      <c r="AD68" s="54"/>
      <c r="AE68" s="54"/>
      <c r="AF68" s="54"/>
      <c r="AG68" s="54"/>
      <c r="AH68" s="54"/>
      <c r="AJ68" s="54"/>
      <c r="AK68" s="54"/>
      <c r="AL68" s="54"/>
      <c r="AM68" s="54"/>
      <c r="AO68" s="54" t="s">
        <v>99</v>
      </c>
      <c r="AP68" s="54" t="s">
        <v>112</v>
      </c>
      <c r="AQ68" s="54" t="s">
        <v>77</v>
      </c>
      <c r="AR68" s="54" t="s">
        <v>221</v>
      </c>
      <c r="AS68" s="54" t="s">
        <v>83</v>
      </c>
      <c r="AT68" s="54"/>
      <c r="AU68" s="54" t="s">
        <v>112</v>
      </c>
      <c r="AV68" s="54" t="s">
        <v>350</v>
      </c>
      <c r="AW68" s="54" t="s">
        <v>351</v>
      </c>
    </row>
    <row r="69" spans="1:49">
      <c r="A69" s="54"/>
      <c r="B69" s="54"/>
      <c r="C69" s="54"/>
      <c r="D69" s="54"/>
      <c r="F69" s="54"/>
      <c r="G69" s="54"/>
      <c r="H69" s="54"/>
      <c r="J69" s="54"/>
      <c r="K69" s="54"/>
      <c r="L69" s="54"/>
      <c r="M69" s="54"/>
      <c r="O69" s="54"/>
      <c r="P69" s="54"/>
      <c r="Q69" s="54"/>
      <c r="R69" s="54"/>
      <c r="S69" s="54"/>
      <c r="T69" s="54"/>
      <c r="U69" s="54"/>
      <c r="V69" s="54"/>
      <c r="W69" s="11" t="str">
        <f>IF(P69="","",IF(SUMIFS(期初数据!$S$5:$S$14,期初数据!$P$5:$P$14,P69)+SUMIFS(采购录入!$G$4:$G$203,采购录入!$D$4:$D$203,P69,采购录入!$A$4:$A$203,"&lt;="&amp;EOMONTH(首页!$B$4,0))-SUMIFS(销售录入!$G$4:$G$203,销售录入!$D$4:$D$203,P69,销售录入!$A$4:$A$203,"&lt;="&amp;EOMONTH(首页!$B$4,0))&lt;&gt;0,"显示",IF(COUNTIFS(采购录入!$D$4:$D$203,P69,采购录入!$B$4:$B$203,TEXT(首页!$B$4,"yyyy-mm"))+COUNTIFS(销售录入!$D$4:$D$203,P69,销售录入!$B$4:$B$203,TEXT(首页!$B$4,"yyyy-mm"))&gt;0,"显示","")))</f>
        <v/>
      </c>
      <c r="X69" s="54"/>
      <c r="Y69" s="54"/>
      <c r="Z69" s="54"/>
      <c r="AA69" s="54"/>
      <c r="AB69" s="54"/>
      <c r="AD69" s="54"/>
      <c r="AE69" s="54"/>
      <c r="AF69" s="54"/>
      <c r="AG69" s="54"/>
      <c r="AH69" s="54"/>
      <c r="AJ69" s="54"/>
      <c r="AK69" s="54"/>
      <c r="AL69" s="54"/>
      <c r="AM69" s="54"/>
      <c r="AO69" s="54" t="s">
        <v>352</v>
      </c>
      <c r="AP69" s="54" t="s">
        <v>353</v>
      </c>
      <c r="AQ69" s="54" t="s">
        <v>77</v>
      </c>
      <c r="AR69" s="54" t="s">
        <v>221</v>
      </c>
      <c r="AS69" s="54" t="s">
        <v>83</v>
      </c>
      <c r="AT69" s="54"/>
      <c r="AU69" s="54" t="s">
        <v>354</v>
      </c>
      <c r="AV69" s="54" t="s">
        <v>85</v>
      </c>
      <c r="AW69" s="54" t="s">
        <v>86</v>
      </c>
    </row>
    <row r="70" spans="1:49">
      <c r="A70" s="54"/>
      <c r="B70" s="54"/>
      <c r="C70" s="54"/>
      <c r="D70" s="54"/>
      <c r="F70" s="54"/>
      <c r="G70" s="54"/>
      <c r="H70" s="54"/>
      <c r="J70" s="54"/>
      <c r="K70" s="54"/>
      <c r="L70" s="54"/>
      <c r="M70" s="54"/>
      <c r="O70" s="54"/>
      <c r="P70" s="54"/>
      <c r="Q70" s="54"/>
      <c r="R70" s="54"/>
      <c r="S70" s="54"/>
      <c r="T70" s="54"/>
      <c r="U70" s="54"/>
      <c r="V70" s="54"/>
      <c r="W70" s="11" t="str">
        <f>IF(P70="","",IF(SUMIFS(期初数据!$S$5:$S$14,期初数据!$P$5:$P$14,P70)+SUMIFS(采购录入!$G$4:$G$203,采购录入!$D$4:$D$203,P70,采购录入!$A$4:$A$203,"&lt;="&amp;EOMONTH(首页!$B$4,0))-SUMIFS(销售录入!$G$4:$G$203,销售录入!$D$4:$D$203,P70,销售录入!$A$4:$A$203,"&lt;="&amp;EOMONTH(首页!$B$4,0))&lt;&gt;0,"显示",IF(COUNTIFS(采购录入!$D$4:$D$203,P70,采购录入!$B$4:$B$203,TEXT(首页!$B$4,"yyyy-mm"))+COUNTIFS(销售录入!$D$4:$D$203,P70,销售录入!$B$4:$B$203,TEXT(首页!$B$4,"yyyy-mm"))&gt;0,"显示","")))</f>
        <v/>
      </c>
      <c r="X70" s="54"/>
      <c r="Y70" s="54"/>
      <c r="Z70" s="54"/>
      <c r="AA70" s="54"/>
      <c r="AB70" s="54"/>
      <c r="AD70" s="54"/>
      <c r="AE70" s="54"/>
      <c r="AF70" s="54"/>
      <c r="AG70" s="54"/>
      <c r="AH70" s="54"/>
      <c r="AJ70" s="54"/>
      <c r="AK70" s="54"/>
      <c r="AL70" s="54"/>
      <c r="AM70" s="54"/>
      <c r="AO70" s="54" t="s">
        <v>355</v>
      </c>
      <c r="AP70" s="54" t="s">
        <v>356</v>
      </c>
      <c r="AQ70" s="54" t="s">
        <v>77</v>
      </c>
      <c r="AR70" s="54" t="s">
        <v>221</v>
      </c>
      <c r="AS70" s="54" t="s">
        <v>83</v>
      </c>
      <c r="AT70" s="54"/>
      <c r="AU70" s="54" t="s">
        <v>356</v>
      </c>
      <c r="AV70" s="54" t="s">
        <v>85</v>
      </c>
      <c r="AW70" s="54" t="s">
        <v>86</v>
      </c>
    </row>
    <row r="71" spans="1:49">
      <c r="A71" s="54"/>
      <c r="B71" s="54"/>
      <c r="C71" s="54"/>
      <c r="D71" s="54"/>
      <c r="F71" s="54"/>
      <c r="G71" s="54"/>
      <c r="H71" s="54"/>
      <c r="J71" s="54"/>
      <c r="K71" s="54"/>
      <c r="L71" s="54"/>
      <c r="M71" s="54"/>
      <c r="O71" s="54"/>
      <c r="P71" s="54"/>
      <c r="Q71" s="54"/>
      <c r="R71" s="54"/>
      <c r="S71" s="54"/>
      <c r="T71" s="54"/>
      <c r="U71" s="54"/>
      <c r="V71" s="54"/>
      <c r="W71" s="11" t="str">
        <f>IF(P71="","",IF(SUMIFS(期初数据!$S$5:$S$14,期初数据!$P$5:$P$14,P71)+SUMIFS(采购录入!$G$4:$G$203,采购录入!$D$4:$D$203,P71,采购录入!$A$4:$A$203,"&lt;="&amp;EOMONTH(首页!$B$4,0))-SUMIFS(销售录入!$G$4:$G$203,销售录入!$D$4:$D$203,P71,销售录入!$A$4:$A$203,"&lt;="&amp;EOMONTH(首页!$B$4,0))&lt;&gt;0,"显示",IF(COUNTIFS(采购录入!$D$4:$D$203,P71,采购录入!$B$4:$B$203,TEXT(首页!$B$4,"yyyy-mm"))+COUNTIFS(销售录入!$D$4:$D$203,P71,销售录入!$B$4:$B$203,TEXT(首页!$B$4,"yyyy-mm"))&gt;0,"显示","")))</f>
        <v/>
      </c>
      <c r="X71" s="54"/>
      <c r="Y71" s="54"/>
      <c r="Z71" s="54"/>
      <c r="AA71" s="54"/>
      <c r="AB71" s="54"/>
      <c r="AD71" s="54"/>
      <c r="AE71" s="54"/>
      <c r="AF71" s="54"/>
      <c r="AG71" s="54"/>
      <c r="AH71" s="54"/>
      <c r="AJ71" s="54"/>
      <c r="AK71" s="54"/>
      <c r="AL71" s="54"/>
      <c r="AM71" s="54"/>
      <c r="AO71" s="54" t="s">
        <v>357</v>
      </c>
      <c r="AP71" s="54" t="s">
        <v>358</v>
      </c>
      <c r="AQ71" s="54" t="s">
        <v>77</v>
      </c>
      <c r="AR71" s="54" t="s">
        <v>221</v>
      </c>
      <c r="AS71" s="54" t="s">
        <v>83</v>
      </c>
      <c r="AT71" s="54"/>
      <c r="AU71" s="54" t="s">
        <v>358</v>
      </c>
      <c r="AV71" s="54" t="s">
        <v>85</v>
      </c>
      <c r="AW71" s="54" t="s">
        <v>86</v>
      </c>
    </row>
    <row r="72" spans="1:49">
      <c r="A72" s="54"/>
      <c r="B72" s="54"/>
      <c r="C72" s="54"/>
      <c r="D72" s="54"/>
      <c r="F72" s="54"/>
      <c r="G72" s="54"/>
      <c r="H72" s="54"/>
      <c r="J72" s="54"/>
      <c r="K72" s="54"/>
      <c r="L72" s="54"/>
      <c r="M72" s="54"/>
      <c r="O72" s="54"/>
      <c r="P72" s="54"/>
      <c r="Q72" s="54"/>
      <c r="R72" s="54"/>
      <c r="S72" s="54"/>
      <c r="T72" s="54"/>
      <c r="U72" s="54"/>
      <c r="V72" s="54"/>
      <c r="W72" s="11" t="str">
        <f>IF(P72="","",IF(SUMIFS(期初数据!$S$5:$S$14,期初数据!$P$5:$P$14,P72)+SUMIFS(采购录入!$G$4:$G$203,采购录入!$D$4:$D$203,P72,采购录入!$A$4:$A$203,"&lt;="&amp;EOMONTH(首页!$B$4,0))-SUMIFS(销售录入!$G$4:$G$203,销售录入!$D$4:$D$203,P72,销售录入!$A$4:$A$203,"&lt;="&amp;EOMONTH(首页!$B$4,0))&lt;&gt;0,"显示",IF(COUNTIFS(采购录入!$D$4:$D$203,P72,采购录入!$B$4:$B$203,TEXT(首页!$B$4,"yyyy-mm"))+COUNTIFS(销售录入!$D$4:$D$203,P72,销售录入!$B$4:$B$203,TEXT(首页!$B$4,"yyyy-mm"))&gt;0,"显示","")))</f>
        <v/>
      </c>
      <c r="X72" s="54"/>
      <c r="Y72" s="54"/>
      <c r="Z72" s="54"/>
      <c r="AA72" s="54"/>
      <c r="AB72" s="54"/>
      <c r="AD72" s="54"/>
      <c r="AE72" s="54"/>
      <c r="AF72" s="54"/>
      <c r="AG72" s="54"/>
      <c r="AH72" s="54"/>
      <c r="AJ72" s="54"/>
      <c r="AK72" s="54"/>
      <c r="AL72" s="54"/>
      <c r="AM72" s="54"/>
      <c r="AO72" s="54" t="s">
        <v>359</v>
      </c>
      <c r="AP72" s="54" t="s">
        <v>360</v>
      </c>
      <c r="AQ72" s="54" t="s">
        <v>77</v>
      </c>
      <c r="AR72" s="54" t="s">
        <v>221</v>
      </c>
      <c r="AS72" s="54" t="s">
        <v>83</v>
      </c>
      <c r="AT72" s="54"/>
      <c r="AU72" s="54" t="s">
        <v>360</v>
      </c>
      <c r="AV72" s="54" t="s">
        <v>85</v>
      </c>
      <c r="AW72" s="54" t="s">
        <v>86</v>
      </c>
    </row>
    <row r="73" spans="1:49">
      <c r="A73" s="54"/>
      <c r="B73" s="54"/>
      <c r="C73" s="54"/>
      <c r="D73" s="54"/>
      <c r="F73" s="54"/>
      <c r="G73" s="54"/>
      <c r="H73" s="54"/>
      <c r="J73" s="54"/>
      <c r="K73" s="54"/>
      <c r="L73" s="54"/>
      <c r="M73" s="54"/>
      <c r="O73" s="54"/>
      <c r="P73" s="54"/>
      <c r="Q73" s="54"/>
      <c r="R73" s="54"/>
      <c r="S73" s="54"/>
      <c r="T73" s="54"/>
      <c r="U73" s="54"/>
      <c r="V73" s="54"/>
      <c r="W73" s="11" t="str">
        <f>IF(P73="","",IF(SUMIFS(期初数据!$S$5:$S$14,期初数据!$P$5:$P$14,P73)+SUMIFS(采购录入!$G$4:$G$203,采购录入!$D$4:$D$203,P73,采购录入!$A$4:$A$203,"&lt;="&amp;EOMONTH(首页!$B$4,0))-SUMIFS(销售录入!$G$4:$G$203,销售录入!$D$4:$D$203,P73,销售录入!$A$4:$A$203,"&lt;="&amp;EOMONTH(首页!$B$4,0))&lt;&gt;0,"显示",IF(COUNTIFS(采购录入!$D$4:$D$203,P73,采购录入!$B$4:$B$203,TEXT(首页!$B$4,"yyyy-mm"))+COUNTIFS(销售录入!$D$4:$D$203,P73,销售录入!$B$4:$B$203,TEXT(首页!$B$4,"yyyy-mm"))&gt;0,"显示","")))</f>
        <v/>
      </c>
      <c r="X73" s="54"/>
      <c r="Y73" s="54"/>
      <c r="Z73" s="54"/>
      <c r="AA73" s="54"/>
      <c r="AB73" s="54"/>
      <c r="AD73" s="54"/>
      <c r="AE73" s="54"/>
      <c r="AF73" s="54"/>
      <c r="AG73" s="54"/>
      <c r="AH73" s="54"/>
      <c r="AJ73" s="54"/>
      <c r="AK73" s="54"/>
      <c r="AL73" s="54"/>
      <c r="AM73" s="54"/>
      <c r="AO73" s="54" t="s">
        <v>361</v>
      </c>
      <c r="AP73" s="54" t="s">
        <v>362</v>
      </c>
      <c r="AQ73" s="54" t="s">
        <v>77</v>
      </c>
      <c r="AR73" s="54" t="s">
        <v>221</v>
      </c>
      <c r="AS73" s="54" t="s">
        <v>83</v>
      </c>
      <c r="AT73" s="54"/>
      <c r="AU73" s="54" t="s">
        <v>362</v>
      </c>
      <c r="AV73" s="54" t="s">
        <v>350</v>
      </c>
      <c r="AW73" s="54" t="s">
        <v>86</v>
      </c>
    </row>
    <row r="74" spans="1:49">
      <c r="A74" s="54"/>
      <c r="B74" s="54"/>
      <c r="C74" s="54"/>
      <c r="D74" s="54"/>
      <c r="F74" s="54"/>
      <c r="G74" s="54"/>
      <c r="H74" s="54"/>
      <c r="J74" s="54"/>
      <c r="K74" s="54"/>
      <c r="L74" s="54"/>
      <c r="M74" s="54"/>
      <c r="O74" s="54"/>
      <c r="P74" s="54"/>
      <c r="Q74" s="54"/>
      <c r="R74" s="54"/>
      <c r="S74" s="54"/>
      <c r="T74" s="54"/>
      <c r="U74" s="54"/>
      <c r="V74" s="54"/>
      <c r="W74" s="11" t="str">
        <f>IF(P74="","",IF(SUMIFS(期初数据!$S$5:$S$14,期初数据!$P$5:$P$14,P74)+SUMIFS(采购录入!$G$4:$G$203,采购录入!$D$4:$D$203,P74,采购录入!$A$4:$A$203,"&lt;="&amp;EOMONTH(首页!$B$4,0))-SUMIFS(销售录入!$G$4:$G$203,销售录入!$D$4:$D$203,P74,销售录入!$A$4:$A$203,"&lt;="&amp;EOMONTH(首页!$B$4,0))&lt;&gt;0,"显示",IF(COUNTIFS(采购录入!$D$4:$D$203,P74,采购录入!$B$4:$B$203,TEXT(首页!$B$4,"yyyy-mm"))+COUNTIFS(销售录入!$D$4:$D$203,P74,销售录入!$B$4:$B$203,TEXT(首页!$B$4,"yyyy-mm"))&gt;0,"显示","")))</f>
        <v/>
      </c>
      <c r="X74" s="54"/>
      <c r="Y74" s="54"/>
      <c r="Z74" s="54"/>
      <c r="AA74" s="54"/>
      <c r="AB74" s="54"/>
      <c r="AD74" s="54"/>
      <c r="AE74" s="54"/>
      <c r="AF74" s="54"/>
      <c r="AG74" s="54"/>
      <c r="AH74" s="54"/>
      <c r="AJ74" s="54"/>
      <c r="AK74" s="54"/>
      <c r="AL74" s="54"/>
      <c r="AM74" s="54"/>
      <c r="AO74" s="54" t="s">
        <v>363</v>
      </c>
      <c r="AP74" s="54" t="s">
        <v>364</v>
      </c>
      <c r="AQ74" s="54" t="s">
        <v>365</v>
      </c>
      <c r="AR74" s="54" t="s">
        <v>82</v>
      </c>
      <c r="AS74" s="54" t="s">
        <v>83</v>
      </c>
      <c r="AT74" s="54"/>
      <c r="AU74" s="54" t="s">
        <v>364</v>
      </c>
      <c r="AV74" s="54" t="s">
        <v>366</v>
      </c>
      <c r="AW74" s="54" t="s">
        <v>367</v>
      </c>
    </row>
    <row r="75" spans="1:49">
      <c r="A75" s="54"/>
      <c r="B75" s="54"/>
      <c r="C75" s="54"/>
      <c r="D75" s="54"/>
      <c r="F75" s="54"/>
      <c r="G75" s="54"/>
      <c r="H75" s="54"/>
      <c r="J75" s="54"/>
      <c r="K75" s="54"/>
      <c r="L75" s="54"/>
      <c r="M75" s="54"/>
      <c r="O75" s="54"/>
      <c r="P75" s="54"/>
      <c r="Q75" s="54"/>
      <c r="R75" s="54"/>
      <c r="S75" s="54"/>
      <c r="T75" s="54"/>
      <c r="U75" s="54"/>
      <c r="V75" s="54"/>
      <c r="W75" s="11" t="str">
        <f>IF(P75="","",IF(SUMIFS(期初数据!$S$5:$S$14,期初数据!$P$5:$P$14,P75)+SUMIFS(采购录入!$G$4:$G$203,采购录入!$D$4:$D$203,P75,采购录入!$A$4:$A$203,"&lt;="&amp;EOMONTH(首页!$B$4,0))-SUMIFS(销售录入!$G$4:$G$203,销售录入!$D$4:$D$203,P75,销售录入!$A$4:$A$203,"&lt;="&amp;EOMONTH(首页!$B$4,0))&lt;&gt;0,"显示",IF(COUNTIFS(采购录入!$D$4:$D$203,P75,采购录入!$B$4:$B$203,TEXT(首页!$B$4,"yyyy-mm"))+COUNTIFS(销售录入!$D$4:$D$203,P75,销售录入!$B$4:$B$203,TEXT(首页!$B$4,"yyyy-mm"))&gt;0,"显示","")))</f>
        <v/>
      </c>
      <c r="X75" s="54"/>
      <c r="Y75" s="54"/>
      <c r="Z75" s="54"/>
      <c r="AA75" s="54"/>
      <c r="AB75" s="54"/>
      <c r="AD75" s="54"/>
      <c r="AE75" s="54"/>
      <c r="AF75" s="54"/>
      <c r="AG75" s="54"/>
      <c r="AH75" s="54"/>
      <c r="AJ75" s="54"/>
      <c r="AK75" s="54"/>
      <c r="AL75" s="54"/>
      <c r="AM75" s="54"/>
      <c r="AO75" s="54" t="s">
        <v>368</v>
      </c>
      <c r="AP75" s="54" t="s">
        <v>369</v>
      </c>
      <c r="AQ75" s="54" t="s">
        <v>365</v>
      </c>
      <c r="AR75" s="54" t="s">
        <v>82</v>
      </c>
      <c r="AS75" s="54" t="s">
        <v>83</v>
      </c>
      <c r="AT75" s="54"/>
      <c r="AU75" s="54" t="s">
        <v>369</v>
      </c>
      <c r="AV75" s="54" t="s">
        <v>366</v>
      </c>
      <c r="AW75" s="54" t="s">
        <v>86</v>
      </c>
    </row>
    <row r="76" spans="1:49">
      <c r="A76" s="54"/>
      <c r="B76" s="54"/>
      <c r="C76" s="54"/>
      <c r="D76" s="54"/>
      <c r="F76" s="54"/>
      <c r="G76" s="54"/>
      <c r="H76" s="54"/>
      <c r="J76" s="54"/>
      <c r="K76" s="54"/>
      <c r="L76" s="54"/>
      <c r="M76" s="54"/>
      <c r="O76" s="54"/>
      <c r="P76" s="54"/>
      <c r="Q76" s="54"/>
      <c r="R76" s="54"/>
      <c r="S76" s="54"/>
      <c r="T76" s="54"/>
      <c r="U76" s="54"/>
      <c r="V76" s="54"/>
      <c r="W76" s="11" t="str">
        <f>IF(P76="","",IF(SUMIFS(期初数据!$S$5:$S$14,期初数据!$P$5:$P$14,P76)+SUMIFS(采购录入!$G$4:$G$203,采购录入!$D$4:$D$203,P76,采购录入!$A$4:$A$203,"&lt;="&amp;EOMONTH(首页!$B$4,0))-SUMIFS(销售录入!$G$4:$G$203,销售录入!$D$4:$D$203,P76,销售录入!$A$4:$A$203,"&lt;="&amp;EOMONTH(首页!$B$4,0))&lt;&gt;0,"显示",IF(COUNTIFS(采购录入!$D$4:$D$203,P76,采购录入!$B$4:$B$203,TEXT(首页!$B$4,"yyyy-mm"))+COUNTIFS(销售录入!$D$4:$D$203,P76,销售录入!$B$4:$B$203,TEXT(首页!$B$4,"yyyy-mm"))&gt;0,"显示","")))</f>
        <v/>
      </c>
      <c r="X76" s="54"/>
      <c r="Y76" s="54"/>
      <c r="Z76" s="54"/>
      <c r="AA76" s="54"/>
      <c r="AB76" s="54"/>
      <c r="AD76" s="54"/>
      <c r="AE76" s="54"/>
      <c r="AF76" s="54"/>
      <c r="AG76" s="54"/>
      <c r="AH76" s="54"/>
      <c r="AJ76" s="54"/>
      <c r="AK76" s="54"/>
      <c r="AL76" s="54"/>
      <c r="AM76" s="54"/>
      <c r="AO76" s="54" t="s">
        <v>370</v>
      </c>
      <c r="AP76" s="54" t="s">
        <v>371</v>
      </c>
      <c r="AQ76" s="54" t="s">
        <v>365</v>
      </c>
      <c r="AR76" s="54" t="s">
        <v>82</v>
      </c>
      <c r="AS76" s="54" t="s">
        <v>83</v>
      </c>
      <c r="AT76" s="54"/>
      <c r="AU76" s="54" t="s">
        <v>371</v>
      </c>
      <c r="AV76" s="54" t="s">
        <v>366</v>
      </c>
      <c r="AW76" s="54" t="s">
        <v>86</v>
      </c>
    </row>
    <row r="77" spans="1:49">
      <c r="A77" s="54"/>
      <c r="B77" s="54"/>
      <c r="C77" s="54"/>
      <c r="D77" s="54"/>
      <c r="F77" s="54"/>
      <c r="G77" s="54"/>
      <c r="H77" s="54"/>
      <c r="J77" s="54"/>
      <c r="K77" s="54"/>
      <c r="L77" s="54"/>
      <c r="M77" s="54"/>
      <c r="O77" s="54"/>
      <c r="P77" s="54"/>
      <c r="Q77" s="54"/>
      <c r="R77" s="54"/>
      <c r="S77" s="54"/>
      <c r="T77" s="54"/>
      <c r="U77" s="54"/>
      <c r="V77" s="54"/>
      <c r="W77" s="11" t="str">
        <f>IF(P77="","",IF(SUMIFS(期初数据!$S$5:$S$14,期初数据!$P$5:$P$14,P77)+SUMIFS(采购录入!$G$4:$G$203,采购录入!$D$4:$D$203,P77,采购录入!$A$4:$A$203,"&lt;="&amp;EOMONTH(首页!$B$4,0))-SUMIFS(销售录入!$G$4:$G$203,销售录入!$D$4:$D$203,P77,销售录入!$A$4:$A$203,"&lt;="&amp;EOMONTH(首页!$B$4,0))&lt;&gt;0,"显示",IF(COUNTIFS(采购录入!$D$4:$D$203,P77,采购录入!$B$4:$B$203,TEXT(首页!$B$4,"yyyy-mm"))+COUNTIFS(销售录入!$D$4:$D$203,P77,销售录入!$B$4:$B$203,TEXT(首页!$B$4,"yyyy-mm"))&gt;0,"显示","")))</f>
        <v/>
      </c>
      <c r="X77" s="54"/>
      <c r="Y77" s="54"/>
      <c r="Z77" s="54"/>
      <c r="AA77" s="54"/>
      <c r="AB77" s="54"/>
      <c r="AD77" s="54"/>
      <c r="AE77" s="54"/>
      <c r="AF77" s="54"/>
      <c r="AG77" s="54"/>
      <c r="AH77" s="54"/>
      <c r="AJ77" s="54"/>
      <c r="AK77" s="54"/>
      <c r="AL77" s="54"/>
      <c r="AM77" s="54"/>
      <c r="AO77" s="54" t="s">
        <v>246</v>
      </c>
      <c r="AP77" s="54" t="s">
        <v>372</v>
      </c>
      <c r="AQ77" s="54" t="s">
        <v>365</v>
      </c>
      <c r="AR77" s="54" t="s">
        <v>82</v>
      </c>
      <c r="AS77" s="54" t="s">
        <v>83</v>
      </c>
      <c r="AT77" s="54"/>
      <c r="AU77" s="54" t="s">
        <v>372</v>
      </c>
      <c r="AV77" s="54" t="s">
        <v>366</v>
      </c>
      <c r="AW77" s="54" t="s">
        <v>373</v>
      </c>
    </row>
    <row r="78" spans="1:49">
      <c r="A78" s="54"/>
      <c r="B78" s="54"/>
      <c r="C78" s="54"/>
      <c r="D78" s="54"/>
      <c r="F78" s="54"/>
      <c r="G78" s="54"/>
      <c r="H78" s="54"/>
      <c r="J78" s="54"/>
      <c r="K78" s="54"/>
      <c r="L78" s="54"/>
      <c r="M78" s="54"/>
      <c r="O78" s="54"/>
      <c r="P78" s="54"/>
      <c r="Q78" s="54"/>
      <c r="R78" s="54"/>
      <c r="S78" s="54"/>
      <c r="T78" s="54"/>
      <c r="U78" s="54"/>
      <c r="V78" s="54"/>
      <c r="W78" s="11" t="str">
        <f>IF(P78="","",IF(SUMIFS(期初数据!$S$5:$S$14,期初数据!$P$5:$P$14,P78)+SUMIFS(采购录入!$G$4:$G$203,采购录入!$D$4:$D$203,P78,采购录入!$A$4:$A$203,"&lt;="&amp;EOMONTH(首页!$B$4,0))-SUMIFS(销售录入!$G$4:$G$203,销售录入!$D$4:$D$203,P78,销售录入!$A$4:$A$203,"&lt;="&amp;EOMONTH(首页!$B$4,0))&lt;&gt;0,"显示",IF(COUNTIFS(采购录入!$D$4:$D$203,P78,采购录入!$B$4:$B$203,TEXT(首页!$B$4,"yyyy-mm"))+COUNTIFS(销售录入!$D$4:$D$203,P78,销售录入!$B$4:$B$203,TEXT(首页!$B$4,"yyyy-mm"))&gt;0,"显示","")))</f>
        <v/>
      </c>
      <c r="X78" s="54"/>
      <c r="Y78" s="54"/>
      <c r="Z78" s="54"/>
      <c r="AA78" s="54"/>
      <c r="AB78" s="54"/>
      <c r="AD78" s="54"/>
      <c r="AE78" s="54"/>
      <c r="AF78" s="54"/>
      <c r="AG78" s="54"/>
      <c r="AH78" s="54"/>
      <c r="AJ78" s="54"/>
      <c r="AK78" s="54"/>
      <c r="AL78" s="54"/>
      <c r="AM78" s="54"/>
      <c r="AO78" s="54" t="s">
        <v>223</v>
      </c>
      <c r="AP78" s="54" t="s">
        <v>374</v>
      </c>
      <c r="AQ78" s="54" t="s">
        <v>365</v>
      </c>
      <c r="AR78" s="54" t="s">
        <v>82</v>
      </c>
      <c r="AS78" s="54" t="s">
        <v>83</v>
      </c>
      <c r="AT78" s="54"/>
      <c r="AU78" s="54" t="s">
        <v>374</v>
      </c>
      <c r="AV78" s="54" t="s">
        <v>366</v>
      </c>
      <c r="AW78" s="54" t="s">
        <v>373</v>
      </c>
    </row>
    <row r="79" spans="1:49">
      <c r="A79" s="54"/>
      <c r="B79" s="54"/>
      <c r="C79" s="54"/>
      <c r="D79" s="54"/>
      <c r="F79" s="54"/>
      <c r="G79" s="54"/>
      <c r="H79" s="54"/>
      <c r="J79" s="54"/>
      <c r="K79" s="54"/>
      <c r="L79" s="54"/>
      <c r="M79" s="54"/>
      <c r="O79" s="54"/>
      <c r="P79" s="54"/>
      <c r="Q79" s="54"/>
      <c r="R79" s="54"/>
      <c r="S79" s="54"/>
      <c r="T79" s="54"/>
      <c r="U79" s="54"/>
      <c r="V79" s="54"/>
      <c r="W79" s="11" t="str">
        <f>IF(P79="","",IF(SUMIFS(期初数据!$S$5:$S$14,期初数据!$P$5:$P$14,P79)+SUMIFS(采购录入!$G$4:$G$203,采购录入!$D$4:$D$203,P79,采购录入!$A$4:$A$203,"&lt;="&amp;EOMONTH(首页!$B$4,0))-SUMIFS(销售录入!$G$4:$G$203,销售录入!$D$4:$D$203,P79,销售录入!$A$4:$A$203,"&lt;="&amp;EOMONTH(首页!$B$4,0))&lt;&gt;0,"显示",IF(COUNTIFS(采购录入!$D$4:$D$203,P79,采购录入!$B$4:$B$203,TEXT(首页!$B$4,"yyyy-mm"))+COUNTIFS(销售录入!$D$4:$D$203,P79,销售录入!$B$4:$B$203,TEXT(首页!$B$4,"yyyy-mm"))&gt;0,"显示","")))</f>
        <v/>
      </c>
      <c r="X79" s="54"/>
      <c r="Y79" s="54"/>
      <c r="Z79" s="54"/>
      <c r="AA79" s="54"/>
      <c r="AB79" s="54"/>
      <c r="AD79" s="54"/>
      <c r="AE79" s="54"/>
      <c r="AF79" s="54"/>
      <c r="AG79" s="54"/>
      <c r="AH79" s="54"/>
      <c r="AJ79" s="54"/>
      <c r="AK79" s="54"/>
      <c r="AL79" s="54"/>
      <c r="AM79" s="54"/>
      <c r="AO79" s="54" t="s">
        <v>253</v>
      </c>
      <c r="AP79" s="54" t="s">
        <v>375</v>
      </c>
      <c r="AQ79" s="54" t="s">
        <v>365</v>
      </c>
      <c r="AR79" s="54" t="s">
        <v>82</v>
      </c>
      <c r="AS79" s="54" t="s">
        <v>83</v>
      </c>
      <c r="AT79" s="54"/>
      <c r="AU79" s="54" t="s">
        <v>375</v>
      </c>
      <c r="AV79" s="54" t="s">
        <v>366</v>
      </c>
      <c r="AW79" s="54" t="s">
        <v>19</v>
      </c>
    </row>
    <row r="80" spans="1:49">
      <c r="A80" s="54"/>
      <c r="B80" s="54"/>
      <c r="C80" s="54"/>
      <c r="D80" s="54"/>
      <c r="F80" s="54"/>
      <c r="G80" s="54"/>
      <c r="H80" s="54"/>
      <c r="J80" s="54"/>
      <c r="K80" s="54"/>
      <c r="L80" s="54"/>
      <c r="M80" s="54"/>
      <c r="O80" s="54"/>
      <c r="P80" s="54"/>
      <c r="Q80" s="54"/>
      <c r="R80" s="54"/>
      <c r="S80" s="54"/>
      <c r="T80" s="54"/>
      <c r="U80" s="54"/>
      <c r="V80" s="54"/>
      <c r="W80" s="11" t="str">
        <f>IF(P80="","",IF(SUMIFS(期初数据!$S$5:$S$14,期初数据!$P$5:$P$14,P80)+SUMIFS(采购录入!$G$4:$G$203,采购录入!$D$4:$D$203,P80,采购录入!$A$4:$A$203,"&lt;="&amp;EOMONTH(首页!$B$4,0))-SUMIFS(销售录入!$G$4:$G$203,销售录入!$D$4:$D$203,P80,销售录入!$A$4:$A$203,"&lt;="&amp;EOMONTH(首页!$B$4,0))&lt;&gt;0,"显示",IF(COUNTIFS(采购录入!$D$4:$D$203,P80,采购录入!$B$4:$B$203,TEXT(首页!$B$4,"yyyy-mm"))+COUNTIFS(销售录入!$D$4:$D$203,P80,销售录入!$B$4:$B$203,TEXT(首页!$B$4,"yyyy-mm"))&gt;0,"显示","")))</f>
        <v/>
      </c>
      <c r="X80" s="54"/>
      <c r="Y80" s="54"/>
      <c r="Z80" s="54"/>
      <c r="AA80" s="54"/>
      <c r="AB80" s="54"/>
      <c r="AD80" s="54"/>
      <c r="AE80" s="54"/>
      <c r="AF80" s="54"/>
      <c r="AG80" s="54"/>
      <c r="AH80" s="54"/>
      <c r="AJ80" s="54"/>
      <c r="AK80" s="54"/>
      <c r="AL80" s="54"/>
      <c r="AM80" s="54"/>
      <c r="AO80" s="54" t="s">
        <v>376</v>
      </c>
      <c r="AP80" s="54" t="s">
        <v>377</v>
      </c>
      <c r="AQ80" s="54" t="s">
        <v>365</v>
      </c>
      <c r="AR80" s="54" t="s">
        <v>82</v>
      </c>
      <c r="AS80" s="54" t="s">
        <v>83</v>
      </c>
      <c r="AT80" s="54"/>
      <c r="AU80" s="54" t="s">
        <v>377</v>
      </c>
      <c r="AV80" s="54" t="s">
        <v>366</v>
      </c>
      <c r="AW80" s="54" t="s">
        <v>86</v>
      </c>
    </row>
    <row r="81" spans="1:49">
      <c r="A81" s="54"/>
      <c r="B81" s="54"/>
      <c r="C81" s="54"/>
      <c r="D81" s="54"/>
      <c r="F81" s="54"/>
      <c r="G81" s="54"/>
      <c r="H81" s="54"/>
      <c r="J81" s="54"/>
      <c r="K81" s="54"/>
      <c r="L81" s="54"/>
      <c r="M81" s="54"/>
      <c r="O81" s="54"/>
      <c r="P81" s="54"/>
      <c r="Q81" s="54"/>
      <c r="R81" s="54"/>
      <c r="S81" s="54"/>
      <c r="T81" s="54"/>
      <c r="U81" s="54"/>
      <c r="V81" s="54"/>
      <c r="W81" s="11" t="str">
        <f>IF(P81="","",IF(SUMIFS(期初数据!$S$5:$S$14,期初数据!$P$5:$P$14,P81)+SUMIFS(采购录入!$G$4:$G$203,采购录入!$D$4:$D$203,P81,采购录入!$A$4:$A$203,"&lt;="&amp;EOMONTH(首页!$B$4,0))-SUMIFS(销售录入!$G$4:$G$203,销售录入!$D$4:$D$203,P81,销售录入!$A$4:$A$203,"&lt;="&amp;EOMONTH(首页!$B$4,0))&lt;&gt;0,"显示",IF(COUNTIFS(采购录入!$D$4:$D$203,P81,采购录入!$B$4:$B$203,TEXT(首页!$B$4,"yyyy-mm"))+COUNTIFS(销售录入!$D$4:$D$203,P81,销售录入!$B$4:$B$203,TEXT(首页!$B$4,"yyyy-mm"))&gt;0,"显示","")))</f>
        <v/>
      </c>
      <c r="X81" s="54"/>
      <c r="Y81" s="54"/>
      <c r="Z81" s="54"/>
      <c r="AA81" s="54"/>
      <c r="AB81" s="54"/>
      <c r="AD81" s="54"/>
      <c r="AE81" s="54"/>
      <c r="AF81" s="54"/>
      <c r="AG81" s="54"/>
      <c r="AH81" s="54"/>
      <c r="AJ81" s="54"/>
      <c r="AK81" s="54"/>
      <c r="AL81" s="54"/>
      <c r="AM81" s="54"/>
      <c r="AO81" s="54" t="s">
        <v>378</v>
      </c>
      <c r="AP81" s="54" t="s">
        <v>379</v>
      </c>
      <c r="AQ81" s="54" t="s">
        <v>365</v>
      </c>
      <c r="AR81" s="54" t="s">
        <v>82</v>
      </c>
      <c r="AS81" s="54" t="s">
        <v>83</v>
      </c>
      <c r="AT81" s="54"/>
      <c r="AU81" s="54" t="s">
        <v>379</v>
      </c>
      <c r="AV81" s="54" t="s">
        <v>85</v>
      </c>
      <c r="AW81" s="54" t="s">
        <v>86</v>
      </c>
    </row>
    <row r="82" spans="1:49">
      <c r="A82" s="54"/>
      <c r="B82" s="54"/>
      <c r="C82" s="54"/>
      <c r="D82" s="54"/>
      <c r="F82" s="54"/>
      <c r="G82" s="54"/>
      <c r="H82" s="54"/>
      <c r="J82" s="54"/>
      <c r="K82" s="54"/>
      <c r="L82" s="54"/>
      <c r="M82" s="54"/>
      <c r="O82" s="54"/>
      <c r="P82" s="54"/>
      <c r="Q82" s="54"/>
      <c r="R82" s="54"/>
      <c r="S82" s="54"/>
      <c r="T82" s="54"/>
      <c r="U82" s="54"/>
      <c r="V82" s="54"/>
      <c r="W82" s="11" t="str">
        <f>IF(P82="","",IF(SUMIFS(期初数据!$S$5:$S$14,期初数据!$P$5:$P$14,P82)+SUMIFS(采购录入!$G$4:$G$203,采购录入!$D$4:$D$203,P82,采购录入!$A$4:$A$203,"&lt;="&amp;EOMONTH(首页!$B$4,0))-SUMIFS(销售录入!$G$4:$G$203,销售录入!$D$4:$D$203,P82,销售录入!$A$4:$A$203,"&lt;="&amp;EOMONTH(首页!$B$4,0))&lt;&gt;0,"显示",IF(COUNTIFS(采购录入!$D$4:$D$203,P82,采购录入!$B$4:$B$203,TEXT(首页!$B$4,"yyyy-mm"))+COUNTIFS(销售录入!$D$4:$D$203,P82,销售录入!$B$4:$B$203,TEXT(首页!$B$4,"yyyy-mm"))&gt;0,"显示","")))</f>
        <v/>
      </c>
      <c r="X82" s="54"/>
      <c r="Y82" s="54"/>
      <c r="Z82" s="54"/>
      <c r="AA82" s="54"/>
      <c r="AB82" s="54"/>
      <c r="AD82" s="54"/>
      <c r="AE82" s="54"/>
      <c r="AF82" s="54"/>
      <c r="AG82" s="54"/>
      <c r="AH82" s="54"/>
      <c r="AJ82" s="54"/>
      <c r="AK82" s="54"/>
      <c r="AL82" s="54"/>
      <c r="AM82" s="54"/>
      <c r="AO82" s="54" t="s">
        <v>380</v>
      </c>
      <c r="AP82" s="54" t="s">
        <v>381</v>
      </c>
      <c r="AQ82" s="54" t="s">
        <v>365</v>
      </c>
      <c r="AR82" s="54" t="s">
        <v>82</v>
      </c>
      <c r="AS82" s="54" t="s">
        <v>83</v>
      </c>
      <c r="AT82" s="54"/>
      <c r="AU82" s="54" t="s">
        <v>381</v>
      </c>
      <c r="AV82" s="54" t="s">
        <v>85</v>
      </c>
      <c r="AW82" s="54" t="s">
        <v>86</v>
      </c>
    </row>
    <row r="83" spans="1:49">
      <c r="A83" s="54"/>
      <c r="B83" s="54"/>
      <c r="C83" s="54"/>
      <c r="D83" s="54"/>
      <c r="F83" s="54"/>
      <c r="G83" s="54"/>
      <c r="H83" s="54"/>
      <c r="J83" s="54"/>
      <c r="K83" s="54"/>
      <c r="L83" s="54"/>
      <c r="M83" s="54"/>
      <c r="O83" s="54"/>
      <c r="P83" s="54"/>
      <c r="Q83" s="54"/>
      <c r="R83" s="54"/>
      <c r="S83" s="54"/>
      <c r="T83" s="54"/>
      <c r="U83" s="54"/>
      <c r="V83" s="54"/>
      <c r="W83" s="11" t="str">
        <f>IF(P83="","",IF(SUMIFS(期初数据!$S$5:$S$14,期初数据!$P$5:$P$14,P83)+SUMIFS(采购录入!$G$4:$G$203,采购录入!$D$4:$D$203,P83,采购录入!$A$4:$A$203,"&lt;="&amp;EOMONTH(首页!$B$4,0))-SUMIFS(销售录入!$G$4:$G$203,销售录入!$D$4:$D$203,P83,销售录入!$A$4:$A$203,"&lt;="&amp;EOMONTH(首页!$B$4,0))&lt;&gt;0,"显示",IF(COUNTIFS(采购录入!$D$4:$D$203,P83,采购录入!$B$4:$B$203,TEXT(首页!$B$4,"yyyy-mm"))+COUNTIFS(销售录入!$D$4:$D$203,P83,销售录入!$B$4:$B$203,TEXT(首页!$B$4,"yyyy-mm"))&gt;0,"显示","")))</f>
        <v/>
      </c>
      <c r="X83" s="54"/>
      <c r="Y83" s="54"/>
      <c r="Z83" s="54"/>
      <c r="AA83" s="54"/>
      <c r="AB83" s="54"/>
      <c r="AD83" s="54"/>
      <c r="AE83" s="54"/>
      <c r="AF83" s="54"/>
      <c r="AG83" s="54"/>
      <c r="AH83" s="54"/>
      <c r="AJ83" s="54"/>
      <c r="AK83" s="54"/>
      <c r="AL83" s="54"/>
      <c r="AM83" s="54"/>
      <c r="AO83" s="54" t="s">
        <v>382</v>
      </c>
      <c r="AP83" s="54" t="s">
        <v>383</v>
      </c>
      <c r="AQ83" s="54" t="s">
        <v>365</v>
      </c>
      <c r="AR83" s="54" t="s">
        <v>82</v>
      </c>
      <c r="AS83" s="54" t="s">
        <v>83</v>
      </c>
      <c r="AT83" s="54"/>
      <c r="AU83" s="54" t="s">
        <v>383</v>
      </c>
      <c r="AV83" s="54" t="s">
        <v>366</v>
      </c>
      <c r="AW83" s="54" t="s">
        <v>86</v>
      </c>
    </row>
    <row r="84" spans="1:49">
      <c r="A84" s="54"/>
      <c r="B84" s="54"/>
      <c r="C84" s="54"/>
      <c r="D84" s="54"/>
      <c r="F84" s="54"/>
      <c r="G84" s="54"/>
      <c r="H84" s="54"/>
      <c r="J84" s="54"/>
      <c r="K84" s="54"/>
      <c r="L84" s="54"/>
      <c r="M84" s="54"/>
      <c r="O84" s="54"/>
      <c r="P84" s="54"/>
      <c r="Q84" s="54"/>
      <c r="R84" s="54"/>
      <c r="S84" s="54"/>
      <c r="T84" s="54"/>
      <c r="U84" s="54"/>
      <c r="V84" s="54"/>
      <c r="W84" s="11" t="str">
        <f>IF(P84="","",IF(SUMIFS(期初数据!$S$5:$S$14,期初数据!$P$5:$P$14,P84)+SUMIFS(采购录入!$G$4:$G$203,采购录入!$D$4:$D$203,P84,采购录入!$A$4:$A$203,"&lt;="&amp;EOMONTH(首页!$B$4,0))-SUMIFS(销售录入!$G$4:$G$203,销售录入!$D$4:$D$203,P84,销售录入!$A$4:$A$203,"&lt;="&amp;EOMONTH(首页!$B$4,0))&lt;&gt;0,"显示",IF(COUNTIFS(采购录入!$D$4:$D$203,P84,采购录入!$B$4:$B$203,TEXT(首页!$B$4,"yyyy-mm"))+COUNTIFS(销售录入!$D$4:$D$203,P84,销售录入!$B$4:$B$203,TEXT(首页!$B$4,"yyyy-mm"))&gt;0,"显示","")))</f>
        <v/>
      </c>
      <c r="X84" s="54"/>
      <c r="Y84" s="54"/>
      <c r="Z84" s="54"/>
      <c r="AA84" s="54"/>
      <c r="AB84" s="54"/>
      <c r="AD84" s="54"/>
      <c r="AE84" s="54"/>
      <c r="AF84" s="54"/>
      <c r="AG84" s="54"/>
      <c r="AH84" s="54"/>
      <c r="AJ84" s="54"/>
      <c r="AK84" s="54"/>
      <c r="AL84" s="54"/>
      <c r="AM84" s="54"/>
      <c r="AO84" s="54" t="s">
        <v>384</v>
      </c>
      <c r="AP84" s="54" t="s">
        <v>385</v>
      </c>
      <c r="AQ84" s="54" t="s">
        <v>365</v>
      </c>
      <c r="AR84" s="54" t="s">
        <v>82</v>
      </c>
      <c r="AS84" s="54" t="s">
        <v>83</v>
      </c>
      <c r="AT84" s="54"/>
      <c r="AU84" s="54" t="s">
        <v>385</v>
      </c>
      <c r="AV84" s="54" t="s">
        <v>366</v>
      </c>
      <c r="AW84" s="54" t="s">
        <v>86</v>
      </c>
    </row>
    <row r="85" spans="1:49">
      <c r="A85" s="54"/>
      <c r="B85" s="54"/>
      <c r="C85" s="54"/>
      <c r="D85" s="54"/>
      <c r="F85" s="54"/>
      <c r="G85" s="54"/>
      <c r="H85" s="54"/>
      <c r="J85" s="54"/>
      <c r="K85" s="54"/>
      <c r="L85" s="54"/>
      <c r="M85" s="54"/>
      <c r="O85" s="54"/>
      <c r="P85" s="54"/>
      <c r="Q85" s="54"/>
      <c r="R85" s="54"/>
      <c r="S85" s="54"/>
      <c r="T85" s="54"/>
      <c r="U85" s="54"/>
      <c r="V85" s="54"/>
      <c r="W85" s="11" t="str">
        <f>IF(P85="","",IF(SUMIFS(期初数据!$S$5:$S$14,期初数据!$P$5:$P$14,P85)+SUMIFS(采购录入!$G$4:$G$203,采购录入!$D$4:$D$203,P85,采购录入!$A$4:$A$203,"&lt;="&amp;EOMONTH(首页!$B$4,0))-SUMIFS(销售录入!$G$4:$G$203,销售录入!$D$4:$D$203,P85,销售录入!$A$4:$A$203,"&lt;="&amp;EOMONTH(首页!$B$4,0))&lt;&gt;0,"显示",IF(COUNTIFS(采购录入!$D$4:$D$203,P85,采购录入!$B$4:$B$203,TEXT(首页!$B$4,"yyyy-mm"))+COUNTIFS(销售录入!$D$4:$D$203,P85,销售录入!$B$4:$B$203,TEXT(首页!$B$4,"yyyy-mm"))&gt;0,"显示","")))</f>
        <v/>
      </c>
      <c r="X85" s="54"/>
      <c r="Y85" s="54"/>
      <c r="Z85" s="54"/>
      <c r="AA85" s="54"/>
      <c r="AB85" s="54"/>
      <c r="AD85" s="54"/>
      <c r="AE85" s="54"/>
      <c r="AF85" s="54"/>
      <c r="AG85" s="54"/>
      <c r="AH85" s="54"/>
      <c r="AJ85" s="54"/>
      <c r="AK85" s="54"/>
      <c r="AL85" s="54"/>
      <c r="AM85" s="54"/>
      <c r="AO85" s="54"/>
      <c r="AP85" s="54"/>
      <c r="AQ85" s="54"/>
      <c r="AR85" s="54"/>
      <c r="AS85" s="54"/>
      <c r="AT85" s="54"/>
      <c r="AU85" s="54"/>
      <c r="AV85" s="54"/>
      <c r="AW85" s="54"/>
    </row>
    <row r="86" spans="1:49">
      <c r="A86" s="54"/>
      <c r="B86" s="54"/>
      <c r="C86" s="54"/>
      <c r="D86" s="54"/>
      <c r="F86" s="54"/>
      <c r="G86" s="54"/>
      <c r="H86" s="54"/>
      <c r="J86" s="54"/>
      <c r="K86" s="54"/>
      <c r="L86" s="54"/>
      <c r="M86" s="54"/>
      <c r="O86" s="54"/>
      <c r="P86" s="54"/>
      <c r="Q86" s="54"/>
      <c r="R86" s="54"/>
      <c r="S86" s="54"/>
      <c r="T86" s="54"/>
      <c r="U86" s="54"/>
      <c r="V86" s="54"/>
      <c r="W86" s="11" t="str">
        <f>IF(P86="","",IF(SUMIFS(期初数据!$S$5:$S$14,期初数据!$P$5:$P$14,P86)+SUMIFS(采购录入!$G$4:$G$203,采购录入!$D$4:$D$203,P86,采购录入!$A$4:$A$203,"&lt;="&amp;EOMONTH(首页!$B$4,0))-SUMIFS(销售录入!$G$4:$G$203,销售录入!$D$4:$D$203,P86,销售录入!$A$4:$A$203,"&lt;="&amp;EOMONTH(首页!$B$4,0))&lt;&gt;0,"显示",IF(COUNTIFS(采购录入!$D$4:$D$203,P86,采购录入!$B$4:$B$203,TEXT(首页!$B$4,"yyyy-mm"))+COUNTIFS(销售录入!$D$4:$D$203,P86,销售录入!$B$4:$B$203,TEXT(首页!$B$4,"yyyy-mm"))&gt;0,"显示","")))</f>
        <v/>
      </c>
      <c r="X86" s="54"/>
      <c r="Y86" s="54"/>
      <c r="Z86" s="54"/>
      <c r="AA86" s="54"/>
      <c r="AB86" s="54"/>
      <c r="AD86" s="54"/>
      <c r="AE86" s="54"/>
      <c r="AF86" s="54"/>
      <c r="AG86" s="54"/>
      <c r="AH86" s="54"/>
      <c r="AJ86" s="54"/>
      <c r="AK86" s="54"/>
      <c r="AL86" s="54"/>
      <c r="AM86" s="54"/>
      <c r="AO86" s="54"/>
      <c r="AP86" s="54"/>
      <c r="AQ86" s="54"/>
      <c r="AR86" s="54"/>
      <c r="AS86" s="54"/>
      <c r="AT86" s="54"/>
      <c r="AU86" s="54"/>
      <c r="AV86" s="54"/>
      <c r="AW86" s="54"/>
    </row>
    <row r="87" spans="1:49">
      <c r="A87" s="54"/>
      <c r="B87" s="54"/>
      <c r="C87" s="54"/>
      <c r="D87" s="54"/>
      <c r="F87" s="54"/>
      <c r="G87" s="54"/>
      <c r="H87" s="54"/>
      <c r="J87" s="54"/>
      <c r="K87" s="54"/>
      <c r="L87" s="54"/>
      <c r="M87" s="54"/>
      <c r="O87" s="54"/>
      <c r="P87" s="54"/>
      <c r="Q87" s="54"/>
      <c r="R87" s="54"/>
      <c r="S87" s="54"/>
      <c r="T87" s="54"/>
      <c r="U87" s="54"/>
      <c r="V87" s="54"/>
      <c r="W87" s="11" t="str">
        <f>IF(P87="","",IF(SUMIFS(期初数据!$S$5:$S$14,期初数据!$P$5:$P$14,P87)+SUMIFS(采购录入!$G$4:$G$203,采购录入!$D$4:$D$203,P87,采购录入!$A$4:$A$203,"&lt;="&amp;EOMONTH(首页!$B$4,0))-SUMIFS(销售录入!$G$4:$G$203,销售录入!$D$4:$D$203,P87,销售录入!$A$4:$A$203,"&lt;="&amp;EOMONTH(首页!$B$4,0))&lt;&gt;0,"显示",IF(COUNTIFS(采购录入!$D$4:$D$203,P87,采购录入!$B$4:$B$203,TEXT(首页!$B$4,"yyyy-mm"))+COUNTIFS(销售录入!$D$4:$D$203,P87,销售录入!$B$4:$B$203,TEXT(首页!$B$4,"yyyy-mm"))&gt;0,"显示","")))</f>
        <v/>
      </c>
      <c r="X87" s="54"/>
      <c r="Y87" s="54"/>
      <c r="Z87" s="54"/>
      <c r="AA87" s="54"/>
      <c r="AB87" s="54"/>
      <c r="AD87" s="54"/>
      <c r="AE87" s="54"/>
      <c r="AF87" s="54"/>
      <c r="AG87" s="54"/>
      <c r="AH87" s="54"/>
      <c r="AJ87" s="54"/>
      <c r="AK87" s="54"/>
      <c r="AL87" s="54"/>
      <c r="AM87" s="54"/>
      <c r="AO87" s="54"/>
      <c r="AP87" s="54"/>
      <c r="AQ87" s="54"/>
      <c r="AR87" s="54"/>
      <c r="AS87" s="54"/>
      <c r="AT87" s="54"/>
      <c r="AU87" s="54"/>
      <c r="AV87" s="54"/>
      <c r="AW87" s="54"/>
    </row>
    <row r="88" spans="1:49">
      <c r="A88" s="54"/>
      <c r="B88" s="54"/>
      <c r="C88" s="54"/>
      <c r="D88" s="54"/>
      <c r="F88" s="54"/>
      <c r="G88" s="54"/>
      <c r="H88" s="54"/>
      <c r="J88" s="54"/>
      <c r="K88" s="54"/>
      <c r="L88" s="54"/>
      <c r="M88" s="54"/>
      <c r="O88" s="54"/>
      <c r="P88" s="54"/>
      <c r="Q88" s="54"/>
      <c r="R88" s="54"/>
      <c r="S88" s="54"/>
      <c r="T88" s="54"/>
      <c r="U88" s="54"/>
      <c r="V88" s="54"/>
      <c r="W88" s="11" t="str">
        <f>IF(P88="","",IF(SUMIFS(期初数据!$S$5:$S$14,期初数据!$P$5:$P$14,P88)+SUMIFS(采购录入!$G$4:$G$203,采购录入!$D$4:$D$203,P88,采购录入!$A$4:$A$203,"&lt;="&amp;EOMONTH(首页!$B$4,0))-SUMIFS(销售录入!$G$4:$G$203,销售录入!$D$4:$D$203,P88,销售录入!$A$4:$A$203,"&lt;="&amp;EOMONTH(首页!$B$4,0))&lt;&gt;0,"显示",IF(COUNTIFS(采购录入!$D$4:$D$203,P88,采购录入!$B$4:$B$203,TEXT(首页!$B$4,"yyyy-mm"))+COUNTIFS(销售录入!$D$4:$D$203,P88,销售录入!$B$4:$B$203,TEXT(首页!$B$4,"yyyy-mm"))&gt;0,"显示","")))</f>
        <v/>
      </c>
      <c r="X88" s="54"/>
      <c r="Y88" s="54"/>
      <c r="Z88" s="54"/>
      <c r="AA88" s="54"/>
      <c r="AB88" s="54"/>
      <c r="AD88" s="54"/>
      <c r="AE88" s="54"/>
      <c r="AF88" s="54"/>
      <c r="AG88" s="54"/>
      <c r="AH88" s="54"/>
      <c r="AJ88" s="54"/>
      <c r="AK88" s="54"/>
      <c r="AL88" s="54"/>
      <c r="AM88" s="54"/>
      <c r="AO88" s="54"/>
      <c r="AP88" s="54"/>
      <c r="AQ88" s="54"/>
      <c r="AR88" s="54"/>
      <c r="AS88" s="54"/>
      <c r="AT88" s="54"/>
      <c r="AU88" s="54"/>
      <c r="AV88" s="54"/>
      <c r="AW88" s="54"/>
    </row>
    <row r="89" spans="1:49">
      <c r="A89" s="54"/>
      <c r="B89" s="54"/>
      <c r="C89" s="54"/>
      <c r="D89" s="54"/>
      <c r="F89" s="54"/>
      <c r="G89" s="54"/>
      <c r="H89" s="54"/>
      <c r="J89" s="54"/>
      <c r="K89" s="54"/>
      <c r="L89" s="54"/>
      <c r="M89" s="54"/>
      <c r="O89" s="54"/>
      <c r="P89" s="54"/>
      <c r="Q89" s="54"/>
      <c r="R89" s="54"/>
      <c r="S89" s="54"/>
      <c r="T89" s="54"/>
      <c r="U89" s="54"/>
      <c r="V89" s="54"/>
      <c r="W89" s="11" t="str">
        <f>IF(P89="","",IF(SUMIFS(期初数据!$S$5:$S$14,期初数据!$P$5:$P$14,P89)+SUMIFS(采购录入!$G$4:$G$203,采购录入!$D$4:$D$203,P89,采购录入!$A$4:$A$203,"&lt;="&amp;EOMONTH(首页!$B$4,0))-SUMIFS(销售录入!$G$4:$G$203,销售录入!$D$4:$D$203,P89,销售录入!$A$4:$A$203,"&lt;="&amp;EOMONTH(首页!$B$4,0))&lt;&gt;0,"显示",IF(COUNTIFS(采购录入!$D$4:$D$203,P89,采购录入!$B$4:$B$203,TEXT(首页!$B$4,"yyyy-mm"))+COUNTIFS(销售录入!$D$4:$D$203,P89,销售录入!$B$4:$B$203,TEXT(首页!$B$4,"yyyy-mm"))&gt;0,"显示","")))</f>
        <v/>
      </c>
      <c r="X89" s="54"/>
      <c r="Y89" s="54"/>
      <c r="Z89" s="54"/>
      <c r="AA89" s="54"/>
      <c r="AB89" s="54"/>
      <c r="AD89" s="54"/>
      <c r="AE89" s="54"/>
      <c r="AF89" s="54"/>
      <c r="AG89" s="54"/>
      <c r="AH89" s="54"/>
      <c r="AJ89" s="54"/>
      <c r="AK89" s="54"/>
      <c r="AL89" s="54"/>
      <c r="AM89" s="54"/>
      <c r="AO89" s="54"/>
      <c r="AP89" s="54"/>
      <c r="AQ89" s="54"/>
      <c r="AR89" s="54"/>
      <c r="AS89" s="54"/>
      <c r="AT89" s="54"/>
      <c r="AU89" s="54"/>
      <c r="AV89" s="54"/>
      <c r="AW89" s="54"/>
    </row>
    <row r="90" spans="1:49">
      <c r="A90" s="54"/>
      <c r="B90" s="54"/>
      <c r="C90" s="54"/>
      <c r="D90" s="54"/>
      <c r="F90" s="54"/>
      <c r="G90" s="54"/>
      <c r="H90" s="54"/>
      <c r="J90" s="54"/>
      <c r="K90" s="54"/>
      <c r="L90" s="54"/>
      <c r="M90" s="54"/>
      <c r="O90" s="54"/>
      <c r="P90" s="54"/>
      <c r="Q90" s="54"/>
      <c r="R90" s="54"/>
      <c r="S90" s="54"/>
      <c r="T90" s="54"/>
      <c r="U90" s="54"/>
      <c r="V90" s="54"/>
      <c r="W90" s="11" t="str">
        <f>IF(P90="","",IF(SUMIFS(期初数据!$S$5:$S$14,期初数据!$P$5:$P$14,P90)+SUMIFS(采购录入!$G$4:$G$203,采购录入!$D$4:$D$203,P90,采购录入!$A$4:$A$203,"&lt;="&amp;EOMONTH(首页!$B$4,0))-SUMIFS(销售录入!$G$4:$G$203,销售录入!$D$4:$D$203,P90,销售录入!$A$4:$A$203,"&lt;="&amp;EOMONTH(首页!$B$4,0))&lt;&gt;0,"显示",IF(COUNTIFS(采购录入!$D$4:$D$203,P90,采购录入!$B$4:$B$203,TEXT(首页!$B$4,"yyyy-mm"))+COUNTIFS(销售录入!$D$4:$D$203,P90,销售录入!$B$4:$B$203,TEXT(首页!$B$4,"yyyy-mm"))&gt;0,"显示","")))</f>
        <v/>
      </c>
      <c r="X90" s="54"/>
      <c r="Y90" s="54"/>
      <c r="Z90" s="54"/>
      <c r="AA90" s="54"/>
      <c r="AB90" s="54"/>
      <c r="AD90" s="54"/>
      <c r="AE90" s="54"/>
      <c r="AF90" s="54"/>
      <c r="AG90" s="54"/>
      <c r="AH90" s="54"/>
      <c r="AJ90" s="54"/>
      <c r="AK90" s="54"/>
      <c r="AL90" s="54"/>
      <c r="AM90" s="54"/>
      <c r="AO90" s="54"/>
      <c r="AP90" s="54"/>
      <c r="AQ90" s="54"/>
      <c r="AR90" s="54"/>
      <c r="AS90" s="54"/>
      <c r="AT90" s="54"/>
      <c r="AU90" s="54"/>
      <c r="AV90" s="54"/>
      <c r="AW90" s="54"/>
    </row>
    <row r="91" spans="1:49">
      <c r="A91" s="54"/>
      <c r="B91" s="54"/>
      <c r="C91" s="54"/>
      <c r="D91" s="54"/>
      <c r="F91" s="54"/>
      <c r="G91" s="54"/>
      <c r="H91" s="54"/>
      <c r="J91" s="54"/>
      <c r="K91" s="54"/>
      <c r="L91" s="54"/>
      <c r="M91" s="54"/>
      <c r="O91" s="54"/>
      <c r="P91" s="54"/>
      <c r="Q91" s="54"/>
      <c r="R91" s="54"/>
      <c r="S91" s="54"/>
      <c r="T91" s="54"/>
      <c r="U91" s="54"/>
      <c r="V91" s="54"/>
      <c r="W91" s="11" t="str">
        <f>IF(P91="","",IF(SUMIFS(期初数据!$S$5:$S$14,期初数据!$P$5:$P$14,P91)+SUMIFS(采购录入!$G$4:$G$203,采购录入!$D$4:$D$203,P91,采购录入!$A$4:$A$203,"&lt;="&amp;EOMONTH(首页!$B$4,0))-SUMIFS(销售录入!$G$4:$G$203,销售录入!$D$4:$D$203,P91,销售录入!$A$4:$A$203,"&lt;="&amp;EOMONTH(首页!$B$4,0))&lt;&gt;0,"显示",IF(COUNTIFS(采购录入!$D$4:$D$203,P91,采购录入!$B$4:$B$203,TEXT(首页!$B$4,"yyyy-mm"))+COUNTIFS(销售录入!$D$4:$D$203,P91,销售录入!$B$4:$B$203,TEXT(首页!$B$4,"yyyy-mm"))&gt;0,"显示","")))</f>
        <v/>
      </c>
      <c r="X91" s="54"/>
      <c r="Y91" s="54"/>
      <c r="Z91" s="54"/>
      <c r="AA91" s="54"/>
      <c r="AB91" s="54"/>
      <c r="AD91" s="54"/>
      <c r="AE91" s="54"/>
      <c r="AF91" s="54"/>
      <c r="AG91" s="54"/>
      <c r="AH91" s="54"/>
      <c r="AJ91" s="54"/>
      <c r="AK91" s="54"/>
      <c r="AL91" s="54"/>
      <c r="AM91" s="54"/>
      <c r="AO91" s="54"/>
      <c r="AP91" s="54"/>
      <c r="AQ91" s="54"/>
      <c r="AR91" s="54"/>
      <c r="AS91" s="54"/>
      <c r="AT91" s="54"/>
      <c r="AU91" s="54"/>
      <c r="AV91" s="54"/>
      <c r="AW91" s="54"/>
    </row>
    <row r="92" spans="1:49">
      <c r="A92" s="54"/>
      <c r="B92" s="54"/>
      <c r="C92" s="54"/>
      <c r="D92" s="54"/>
      <c r="F92" s="54"/>
      <c r="G92" s="54"/>
      <c r="H92" s="54"/>
      <c r="J92" s="54"/>
      <c r="K92" s="54"/>
      <c r="L92" s="54"/>
      <c r="M92" s="54"/>
      <c r="O92" s="54"/>
      <c r="P92" s="54"/>
      <c r="Q92" s="54"/>
      <c r="R92" s="54"/>
      <c r="S92" s="54"/>
      <c r="T92" s="54"/>
      <c r="U92" s="54"/>
      <c r="V92" s="54"/>
      <c r="W92" s="11" t="str">
        <f>IF(P92="","",IF(SUMIFS(期初数据!$S$5:$S$14,期初数据!$P$5:$P$14,P92)+SUMIFS(采购录入!$G$4:$G$203,采购录入!$D$4:$D$203,P92,采购录入!$A$4:$A$203,"&lt;="&amp;EOMONTH(首页!$B$4,0))-SUMIFS(销售录入!$G$4:$G$203,销售录入!$D$4:$D$203,P92,销售录入!$A$4:$A$203,"&lt;="&amp;EOMONTH(首页!$B$4,0))&lt;&gt;0,"显示",IF(COUNTIFS(采购录入!$D$4:$D$203,P92,采购录入!$B$4:$B$203,TEXT(首页!$B$4,"yyyy-mm"))+COUNTIFS(销售录入!$D$4:$D$203,P92,销售录入!$B$4:$B$203,TEXT(首页!$B$4,"yyyy-mm"))&gt;0,"显示","")))</f>
        <v/>
      </c>
      <c r="X92" s="54"/>
      <c r="Y92" s="54"/>
      <c r="Z92" s="54"/>
      <c r="AA92" s="54"/>
      <c r="AB92" s="54"/>
      <c r="AD92" s="54"/>
      <c r="AE92" s="54"/>
      <c r="AF92" s="54"/>
      <c r="AG92" s="54"/>
      <c r="AH92" s="54"/>
      <c r="AJ92" s="54"/>
      <c r="AK92" s="54"/>
      <c r="AL92" s="54"/>
      <c r="AM92" s="54"/>
      <c r="AO92" s="54"/>
      <c r="AP92" s="54"/>
      <c r="AQ92" s="54"/>
      <c r="AR92" s="54"/>
      <c r="AS92" s="54"/>
      <c r="AT92" s="54"/>
      <c r="AU92" s="54"/>
      <c r="AV92" s="54"/>
      <c r="AW92" s="54"/>
    </row>
    <row r="93" spans="1:49">
      <c r="A93" s="54"/>
      <c r="B93" s="54"/>
      <c r="C93" s="54"/>
      <c r="D93" s="54"/>
      <c r="F93" s="54"/>
      <c r="G93" s="54"/>
      <c r="H93" s="54"/>
      <c r="J93" s="54"/>
      <c r="K93" s="54"/>
      <c r="L93" s="54"/>
      <c r="M93" s="54"/>
      <c r="O93" s="54"/>
      <c r="P93" s="54"/>
      <c r="Q93" s="54"/>
      <c r="R93" s="54"/>
      <c r="S93" s="54"/>
      <c r="T93" s="54"/>
      <c r="U93" s="54"/>
      <c r="V93" s="54"/>
      <c r="W93" s="11" t="str">
        <f>IF(P93="","",IF(SUMIFS(期初数据!$S$5:$S$14,期初数据!$P$5:$P$14,P93)+SUMIFS(采购录入!$G$4:$G$203,采购录入!$D$4:$D$203,P93,采购录入!$A$4:$A$203,"&lt;="&amp;EOMONTH(首页!$B$4,0))-SUMIFS(销售录入!$G$4:$G$203,销售录入!$D$4:$D$203,P93,销售录入!$A$4:$A$203,"&lt;="&amp;EOMONTH(首页!$B$4,0))&lt;&gt;0,"显示",IF(COUNTIFS(采购录入!$D$4:$D$203,P93,采购录入!$B$4:$B$203,TEXT(首页!$B$4,"yyyy-mm"))+COUNTIFS(销售录入!$D$4:$D$203,P93,销售录入!$B$4:$B$203,TEXT(首页!$B$4,"yyyy-mm"))&gt;0,"显示","")))</f>
        <v/>
      </c>
      <c r="X93" s="54"/>
      <c r="Y93" s="54"/>
      <c r="Z93" s="54"/>
      <c r="AA93" s="54"/>
      <c r="AB93" s="54"/>
      <c r="AD93" s="54"/>
      <c r="AE93" s="54"/>
      <c r="AF93" s="54"/>
      <c r="AG93" s="54"/>
      <c r="AH93" s="54"/>
      <c r="AJ93" s="54"/>
      <c r="AK93" s="54"/>
      <c r="AL93" s="54"/>
      <c r="AM93" s="54"/>
      <c r="AO93" s="54"/>
      <c r="AP93" s="54"/>
      <c r="AQ93" s="54"/>
      <c r="AR93" s="54"/>
      <c r="AS93" s="54"/>
      <c r="AT93" s="54"/>
      <c r="AU93" s="54"/>
      <c r="AV93" s="54"/>
      <c r="AW93" s="54"/>
    </row>
    <row r="94" spans="1:49">
      <c r="A94" s="54"/>
      <c r="B94" s="54"/>
      <c r="C94" s="54"/>
      <c r="D94" s="54"/>
      <c r="F94" s="54"/>
      <c r="G94" s="54"/>
      <c r="H94" s="54"/>
      <c r="J94" s="54"/>
      <c r="K94" s="54"/>
      <c r="L94" s="54"/>
      <c r="M94" s="54"/>
      <c r="O94" s="54"/>
      <c r="P94" s="54"/>
      <c r="Q94" s="54"/>
      <c r="R94" s="54"/>
      <c r="S94" s="54"/>
      <c r="T94" s="54"/>
      <c r="U94" s="54"/>
      <c r="V94" s="54"/>
      <c r="W94" s="11" t="str">
        <f>IF(P94="","",IF(SUMIFS(期初数据!$S$5:$S$14,期初数据!$P$5:$P$14,P94)+SUMIFS(采购录入!$G$4:$G$203,采购录入!$D$4:$D$203,P94,采购录入!$A$4:$A$203,"&lt;="&amp;EOMONTH(首页!$B$4,0))-SUMIFS(销售录入!$G$4:$G$203,销售录入!$D$4:$D$203,P94,销售录入!$A$4:$A$203,"&lt;="&amp;EOMONTH(首页!$B$4,0))&lt;&gt;0,"显示",IF(COUNTIFS(采购录入!$D$4:$D$203,P94,采购录入!$B$4:$B$203,TEXT(首页!$B$4,"yyyy-mm"))+COUNTIFS(销售录入!$D$4:$D$203,P94,销售录入!$B$4:$B$203,TEXT(首页!$B$4,"yyyy-mm"))&gt;0,"显示","")))</f>
        <v/>
      </c>
      <c r="X94" s="54"/>
      <c r="Y94" s="54"/>
      <c r="Z94" s="54"/>
      <c r="AA94" s="54"/>
      <c r="AB94" s="54"/>
      <c r="AD94" s="54"/>
      <c r="AE94" s="54"/>
      <c r="AF94" s="54"/>
      <c r="AG94" s="54"/>
      <c r="AH94" s="54"/>
      <c r="AJ94" s="54"/>
      <c r="AK94" s="54"/>
      <c r="AL94" s="54"/>
      <c r="AM94" s="54"/>
      <c r="AO94" s="54"/>
      <c r="AP94" s="54"/>
      <c r="AQ94" s="54"/>
      <c r="AR94" s="54"/>
      <c r="AS94" s="54"/>
      <c r="AT94" s="54"/>
      <c r="AU94" s="54"/>
      <c r="AV94" s="54"/>
      <c r="AW94" s="54"/>
    </row>
    <row r="95" spans="1:49">
      <c r="A95" s="54"/>
      <c r="B95" s="54"/>
      <c r="C95" s="54"/>
      <c r="D95" s="54"/>
      <c r="F95" s="54"/>
      <c r="G95" s="54"/>
      <c r="H95" s="54"/>
      <c r="J95" s="54"/>
      <c r="K95" s="54"/>
      <c r="L95" s="54"/>
      <c r="M95" s="54"/>
      <c r="O95" s="54"/>
      <c r="P95" s="54"/>
      <c r="Q95" s="54"/>
      <c r="R95" s="54"/>
      <c r="S95" s="54"/>
      <c r="T95" s="54"/>
      <c r="U95" s="54"/>
      <c r="V95" s="54"/>
      <c r="W95" s="11" t="str">
        <f>IF(P95="","",IF(SUMIFS(期初数据!$S$5:$S$14,期初数据!$P$5:$P$14,P95)+SUMIFS(采购录入!$G$4:$G$203,采购录入!$D$4:$D$203,P95,采购录入!$A$4:$A$203,"&lt;="&amp;EOMONTH(首页!$B$4,0))-SUMIFS(销售录入!$G$4:$G$203,销售录入!$D$4:$D$203,P95,销售录入!$A$4:$A$203,"&lt;="&amp;EOMONTH(首页!$B$4,0))&lt;&gt;0,"显示",IF(COUNTIFS(采购录入!$D$4:$D$203,P95,采购录入!$B$4:$B$203,TEXT(首页!$B$4,"yyyy-mm"))+COUNTIFS(销售录入!$D$4:$D$203,P95,销售录入!$B$4:$B$203,TEXT(首页!$B$4,"yyyy-mm"))&gt;0,"显示","")))</f>
        <v/>
      </c>
      <c r="X95" s="54"/>
      <c r="Y95" s="54"/>
      <c r="Z95" s="54"/>
      <c r="AA95" s="54"/>
      <c r="AB95" s="54"/>
      <c r="AD95" s="54"/>
      <c r="AE95" s="54"/>
      <c r="AF95" s="54"/>
      <c r="AG95" s="54"/>
      <c r="AH95" s="54"/>
      <c r="AJ95" s="54"/>
      <c r="AK95" s="54"/>
      <c r="AL95" s="54"/>
      <c r="AM95" s="54"/>
      <c r="AO95" s="54"/>
      <c r="AP95" s="54"/>
      <c r="AQ95" s="54"/>
      <c r="AR95" s="54"/>
      <c r="AS95" s="54"/>
      <c r="AT95" s="54"/>
      <c r="AU95" s="54"/>
      <c r="AV95" s="54"/>
      <c r="AW95" s="54"/>
    </row>
    <row r="96" spans="1:49">
      <c r="A96" s="54"/>
      <c r="B96" s="54"/>
      <c r="C96" s="54"/>
      <c r="D96" s="54"/>
      <c r="F96" s="54"/>
      <c r="G96" s="54"/>
      <c r="H96" s="54"/>
      <c r="J96" s="54"/>
      <c r="K96" s="54"/>
      <c r="L96" s="54"/>
      <c r="M96" s="54"/>
      <c r="O96" s="54"/>
      <c r="P96" s="54"/>
      <c r="Q96" s="54"/>
      <c r="R96" s="54"/>
      <c r="S96" s="54"/>
      <c r="T96" s="54"/>
      <c r="U96" s="54"/>
      <c r="V96" s="54"/>
      <c r="W96" s="11" t="str">
        <f>IF(P96="","",IF(SUMIFS(期初数据!$S$5:$S$14,期初数据!$P$5:$P$14,P96)+SUMIFS(采购录入!$G$4:$G$203,采购录入!$D$4:$D$203,P96,采购录入!$A$4:$A$203,"&lt;="&amp;EOMONTH(首页!$B$4,0))-SUMIFS(销售录入!$G$4:$G$203,销售录入!$D$4:$D$203,P96,销售录入!$A$4:$A$203,"&lt;="&amp;EOMONTH(首页!$B$4,0))&lt;&gt;0,"显示",IF(COUNTIFS(采购录入!$D$4:$D$203,P96,采购录入!$B$4:$B$203,TEXT(首页!$B$4,"yyyy-mm"))+COUNTIFS(销售录入!$D$4:$D$203,P96,销售录入!$B$4:$B$203,TEXT(首页!$B$4,"yyyy-mm"))&gt;0,"显示","")))</f>
        <v/>
      </c>
      <c r="X96" s="54"/>
      <c r="Y96" s="54"/>
      <c r="Z96" s="54"/>
      <c r="AA96" s="54"/>
      <c r="AB96" s="54"/>
      <c r="AD96" s="54"/>
      <c r="AE96" s="54"/>
      <c r="AF96" s="54"/>
      <c r="AG96" s="54"/>
      <c r="AH96" s="54"/>
      <c r="AJ96" s="54"/>
      <c r="AK96" s="54"/>
      <c r="AL96" s="54"/>
      <c r="AM96" s="54"/>
      <c r="AO96" s="54"/>
      <c r="AP96" s="54"/>
      <c r="AQ96" s="54"/>
      <c r="AR96" s="54"/>
      <c r="AS96" s="54"/>
      <c r="AT96" s="54"/>
      <c r="AU96" s="54"/>
      <c r="AV96" s="54"/>
      <c r="AW96" s="54"/>
    </row>
    <row r="97" spans="1:49">
      <c r="A97" s="54"/>
      <c r="B97" s="54"/>
      <c r="C97" s="54"/>
      <c r="D97" s="54"/>
      <c r="F97" s="54"/>
      <c r="G97" s="54"/>
      <c r="H97" s="54"/>
      <c r="J97" s="54"/>
      <c r="K97" s="54"/>
      <c r="L97" s="54"/>
      <c r="M97" s="54"/>
      <c r="O97" s="54"/>
      <c r="P97" s="54"/>
      <c r="Q97" s="54"/>
      <c r="R97" s="54"/>
      <c r="S97" s="54"/>
      <c r="T97" s="54"/>
      <c r="U97" s="54"/>
      <c r="V97" s="54"/>
      <c r="W97" s="11" t="str">
        <f>IF(P97="","",IF(SUMIFS(期初数据!$S$5:$S$14,期初数据!$P$5:$P$14,P97)+SUMIFS(采购录入!$G$4:$G$203,采购录入!$D$4:$D$203,P97,采购录入!$A$4:$A$203,"&lt;="&amp;EOMONTH(首页!$B$4,0))-SUMIFS(销售录入!$G$4:$G$203,销售录入!$D$4:$D$203,P97,销售录入!$A$4:$A$203,"&lt;="&amp;EOMONTH(首页!$B$4,0))&lt;&gt;0,"显示",IF(COUNTIFS(采购录入!$D$4:$D$203,P97,采购录入!$B$4:$B$203,TEXT(首页!$B$4,"yyyy-mm"))+COUNTIFS(销售录入!$D$4:$D$203,P97,销售录入!$B$4:$B$203,TEXT(首页!$B$4,"yyyy-mm"))&gt;0,"显示","")))</f>
        <v/>
      </c>
      <c r="X97" s="54"/>
      <c r="Y97" s="54"/>
      <c r="Z97" s="54"/>
      <c r="AA97" s="54"/>
      <c r="AB97" s="54"/>
      <c r="AD97" s="54"/>
      <c r="AE97" s="54"/>
      <c r="AF97" s="54"/>
      <c r="AG97" s="54"/>
      <c r="AH97" s="54"/>
      <c r="AJ97" s="54"/>
      <c r="AK97" s="54"/>
      <c r="AL97" s="54"/>
      <c r="AM97" s="54"/>
      <c r="AO97" s="54"/>
      <c r="AP97" s="54"/>
      <c r="AQ97" s="54"/>
      <c r="AR97" s="54"/>
      <c r="AS97" s="54"/>
      <c r="AT97" s="54"/>
      <c r="AU97" s="54"/>
      <c r="AV97" s="54"/>
      <c r="AW97" s="54"/>
    </row>
    <row r="98" spans="1:49">
      <c r="A98" s="54"/>
      <c r="B98" s="54"/>
      <c r="C98" s="54"/>
      <c r="D98" s="54"/>
      <c r="F98" s="54"/>
      <c r="G98" s="54"/>
      <c r="H98" s="54"/>
      <c r="J98" s="54"/>
      <c r="K98" s="54"/>
      <c r="L98" s="54"/>
      <c r="M98" s="54"/>
      <c r="O98" s="54"/>
      <c r="P98" s="54"/>
      <c r="Q98" s="54"/>
      <c r="R98" s="54"/>
      <c r="S98" s="54"/>
      <c r="T98" s="54"/>
      <c r="U98" s="54"/>
      <c r="V98" s="54"/>
      <c r="W98" s="11" t="str">
        <f>IF(P98="","",IF(SUMIFS(期初数据!$S$5:$S$14,期初数据!$P$5:$P$14,P98)+SUMIFS(采购录入!$G$4:$G$203,采购录入!$D$4:$D$203,P98,采购录入!$A$4:$A$203,"&lt;="&amp;EOMONTH(首页!$B$4,0))-SUMIFS(销售录入!$G$4:$G$203,销售录入!$D$4:$D$203,P98,销售录入!$A$4:$A$203,"&lt;="&amp;EOMONTH(首页!$B$4,0))&lt;&gt;0,"显示",IF(COUNTIFS(采购录入!$D$4:$D$203,P98,采购录入!$B$4:$B$203,TEXT(首页!$B$4,"yyyy-mm"))+COUNTIFS(销售录入!$D$4:$D$203,P98,销售录入!$B$4:$B$203,TEXT(首页!$B$4,"yyyy-mm"))&gt;0,"显示","")))</f>
        <v/>
      </c>
      <c r="X98" s="54"/>
      <c r="Y98" s="54"/>
      <c r="Z98" s="54"/>
      <c r="AA98" s="54"/>
      <c r="AB98" s="54"/>
      <c r="AD98" s="54"/>
      <c r="AE98" s="54"/>
      <c r="AF98" s="54"/>
      <c r="AG98" s="54"/>
      <c r="AH98" s="54"/>
      <c r="AJ98" s="54"/>
      <c r="AK98" s="54"/>
      <c r="AL98" s="54"/>
      <c r="AM98" s="54"/>
      <c r="AO98" s="54"/>
      <c r="AP98" s="54"/>
      <c r="AQ98" s="54"/>
      <c r="AR98" s="54"/>
      <c r="AS98" s="54"/>
      <c r="AT98" s="54"/>
      <c r="AU98" s="54"/>
      <c r="AV98" s="54"/>
      <c r="AW98" s="54"/>
    </row>
    <row r="99" spans="1:49">
      <c r="A99" s="54"/>
      <c r="B99" s="54"/>
      <c r="C99" s="54"/>
      <c r="D99" s="54"/>
      <c r="F99" s="54"/>
      <c r="G99" s="54"/>
      <c r="H99" s="54"/>
      <c r="J99" s="54"/>
      <c r="K99" s="54"/>
      <c r="L99" s="54"/>
      <c r="M99" s="54"/>
      <c r="O99" s="54"/>
      <c r="P99" s="54"/>
      <c r="Q99" s="54"/>
      <c r="R99" s="54"/>
      <c r="S99" s="54"/>
      <c r="T99" s="54"/>
      <c r="U99" s="54"/>
      <c r="V99" s="54"/>
      <c r="W99" s="11" t="str">
        <f>IF(P99="","",IF(SUMIFS(期初数据!$S$5:$S$14,期初数据!$P$5:$P$14,P99)+SUMIFS(采购录入!$G$4:$G$203,采购录入!$D$4:$D$203,P99,采购录入!$A$4:$A$203,"&lt;="&amp;EOMONTH(首页!$B$4,0))-SUMIFS(销售录入!$G$4:$G$203,销售录入!$D$4:$D$203,P99,销售录入!$A$4:$A$203,"&lt;="&amp;EOMONTH(首页!$B$4,0))&lt;&gt;0,"显示",IF(COUNTIFS(采购录入!$D$4:$D$203,P99,采购录入!$B$4:$B$203,TEXT(首页!$B$4,"yyyy-mm"))+COUNTIFS(销售录入!$D$4:$D$203,P99,销售录入!$B$4:$B$203,TEXT(首页!$B$4,"yyyy-mm"))&gt;0,"显示","")))</f>
        <v/>
      </c>
      <c r="X99" s="54"/>
      <c r="Y99" s="54"/>
      <c r="Z99" s="54"/>
      <c r="AA99" s="54"/>
      <c r="AB99" s="54"/>
      <c r="AD99" s="54"/>
      <c r="AE99" s="54"/>
      <c r="AF99" s="54"/>
      <c r="AG99" s="54"/>
      <c r="AH99" s="54"/>
      <c r="AJ99" s="54"/>
      <c r="AK99" s="54"/>
      <c r="AL99" s="54"/>
      <c r="AM99" s="54"/>
      <c r="AO99" s="54"/>
      <c r="AP99" s="54"/>
      <c r="AQ99" s="54"/>
      <c r="AR99" s="54"/>
      <c r="AS99" s="54"/>
      <c r="AT99" s="54"/>
      <c r="AU99" s="54"/>
      <c r="AV99" s="54"/>
      <c r="AW99" s="54"/>
    </row>
    <row r="100" spans="1:49">
      <c r="A100" s="54"/>
      <c r="B100" s="54"/>
      <c r="C100" s="54"/>
      <c r="D100" s="54"/>
      <c r="F100" s="54"/>
      <c r="G100" s="54"/>
      <c r="H100" s="54"/>
      <c r="J100" s="54"/>
      <c r="K100" s="54"/>
      <c r="L100" s="54"/>
      <c r="M100" s="54"/>
      <c r="O100" s="54"/>
      <c r="P100" s="54"/>
      <c r="Q100" s="54"/>
      <c r="R100" s="54"/>
      <c r="S100" s="54"/>
      <c r="T100" s="54"/>
      <c r="U100" s="54"/>
      <c r="V100" s="54"/>
      <c r="W100" s="11" t="str">
        <f>IF(P100="","",IF(SUMIFS(期初数据!$S$5:$S$14,期初数据!$P$5:$P$14,P100)+SUMIFS(采购录入!$G$4:$G$203,采购录入!$D$4:$D$203,P100,采购录入!$A$4:$A$203,"&lt;="&amp;EOMONTH(首页!$B$4,0))-SUMIFS(销售录入!$G$4:$G$203,销售录入!$D$4:$D$203,P100,销售录入!$A$4:$A$203,"&lt;="&amp;EOMONTH(首页!$B$4,0))&lt;&gt;0,"显示",IF(COUNTIFS(采购录入!$D$4:$D$203,P100,采购录入!$B$4:$B$203,TEXT(首页!$B$4,"yyyy-mm"))+COUNTIFS(销售录入!$D$4:$D$203,P100,销售录入!$B$4:$B$203,TEXT(首页!$B$4,"yyyy-mm"))&gt;0,"显示","")))</f>
        <v/>
      </c>
      <c r="X100" s="54"/>
      <c r="Y100" s="54"/>
      <c r="Z100" s="54"/>
      <c r="AA100" s="54"/>
      <c r="AB100" s="54"/>
      <c r="AD100" s="54"/>
      <c r="AE100" s="54"/>
      <c r="AF100" s="54"/>
      <c r="AG100" s="54"/>
      <c r="AH100" s="54"/>
      <c r="AJ100" s="54"/>
      <c r="AK100" s="54"/>
      <c r="AL100" s="54"/>
      <c r="AM100" s="54"/>
      <c r="AO100" s="54"/>
      <c r="AP100" s="54"/>
      <c r="AQ100" s="54"/>
      <c r="AR100" s="54"/>
      <c r="AS100" s="54"/>
      <c r="AT100" s="54"/>
      <c r="AU100" s="54"/>
      <c r="AV100" s="54"/>
      <c r="AW100" s="54"/>
    </row>
    <row r="101" spans="1:49">
      <c r="A101" s="54"/>
      <c r="B101" s="54"/>
      <c r="C101" s="54"/>
      <c r="D101" s="54"/>
      <c r="F101" s="54"/>
      <c r="G101" s="54"/>
      <c r="H101" s="54"/>
      <c r="J101" s="54"/>
      <c r="K101" s="54"/>
      <c r="L101" s="54"/>
      <c r="M101" s="54"/>
      <c r="O101" s="54"/>
      <c r="P101" s="54"/>
      <c r="Q101" s="54"/>
      <c r="R101" s="54"/>
      <c r="S101" s="54"/>
      <c r="T101" s="54"/>
      <c r="U101" s="54"/>
      <c r="V101" s="54"/>
      <c r="W101" s="11" t="str">
        <f>IF(P101="","",IF(SUMIFS(期初数据!$S$5:$S$14,期初数据!$P$5:$P$14,P101)+SUMIFS(采购录入!$G$4:$G$203,采购录入!$D$4:$D$203,P101,采购录入!$A$4:$A$203,"&lt;="&amp;EOMONTH(首页!$B$4,0))-SUMIFS(销售录入!$G$4:$G$203,销售录入!$D$4:$D$203,P101,销售录入!$A$4:$A$203,"&lt;="&amp;EOMONTH(首页!$B$4,0))&lt;&gt;0,"显示",IF(COUNTIFS(采购录入!$D$4:$D$203,P101,采购录入!$B$4:$B$203,TEXT(首页!$B$4,"yyyy-mm"))+COUNTIFS(销售录入!$D$4:$D$203,P101,销售录入!$B$4:$B$203,TEXT(首页!$B$4,"yyyy-mm"))&gt;0,"显示","")))</f>
        <v/>
      </c>
      <c r="X101" s="54"/>
      <c r="Y101" s="54"/>
      <c r="Z101" s="54"/>
      <c r="AA101" s="54"/>
      <c r="AB101" s="54"/>
      <c r="AD101" s="54"/>
      <c r="AE101" s="54"/>
      <c r="AF101" s="54"/>
      <c r="AG101" s="54"/>
      <c r="AH101" s="54"/>
      <c r="AJ101" s="54"/>
      <c r="AK101" s="54"/>
      <c r="AL101" s="54"/>
      <c r="AM101" s="54"/>
      <c r="AO101" s="54"/>
      <c r="AP101" s="54"/>
      <c r="AQ101" s="54"/>
      <c r="AR101" s="54"/>
      <c r="AS101" s="54"/>
      <c r="AT101" s="54"/>
      <c r="AU101" s="54"/>
      <c r="AV101" s="54"/>
      <c r="AW101" s="54"/>
    </row>
    <row r="102" spans="1:49">
      <c r="A102" s="54"/>
      <c r="B102" s="54"/>
      <c r="C102" s="54"/>
      <c r="D102" s="54"/>
      <c r="F102" s="54"/>
      <c r="G102" s="54"/>
      <c r="H102" s="54"/>
      <c r="J102" s="54"/>
      <c r="K102" s="54"/>
      <c r="L102" s="54"/>
      <c r="M102" s="54"/>
      <c r="O102" s="54"/>
      <c r="P102" s="54"/>
      <c r="Q102" s="54"/>
      <c r="R102" s="54"/>
      <c r="S102" s="54"/>
      <c r="T102" s="54"/>
      <c r="U102" s="54"/>
      <c r="V102" s="54"/>
      <c r="W102" s="11" t="str">
        <f>IF(P102="","",IF(SUMIFS(期初数据!$S$5:$S$14,期初数据!$P$5:$P$14,P102)+SUMIFS(采购录入!$G$4:$G$203,采购录入!$D$4:$D$203,P102,采购录入!$A$4:$A$203,"&lt;="&amp;EOMONTH(首页!$B$4,0))-SUMIFS(销售录入!$G$4:$G$203,销售录入!$D$4:$D$203,P102,销售录入!$A$4:$A$203,"&lt;="&amp;EOMONTH(首页!$B$4,0))&lt;&gt;0,"显示",IF(COUNTIFS(采购录入!$D$4:$D$203,P102,采购录入!$B$4:$B$203,TEXT(首页!$B$4,"yyyy-mm"))+COUNTIFS(销售录入!$D$4:$D$203,P102,销售录入!$B$4:$B$203,TEXT(首页!$B$4,"yyyy-mm"))&gt;0,"显示","")))</f>
        <v/>
      </c>
      <c r="X102" s="54"/>
      <c r="Y102" s="54"/>
      <c r="Z102" s="54"/>
      <c r="AA102" s="54"/>
      <c r="AB102" s="54"/>
      <c r="AD102" s="54"/>
      <c r="AE102" s="54"/>
      <c r="AF102" s="54"/>
      <c r="AG102" s="54"/>
      <c r="AH102" s="54"/>
      <c r="AJ102" s="54"/>
      <c r="AK102" s="54"/>
      <c r="AL102" s="54"/>
      <c r="AM102" s="54"/>
      <c r="AO102" s="54"/>
      <c r="AP102" s="54"/>
      <c r="AQ102" s="54"/>
      <c r="AR102" s="54"/>
      <c r="AS102" s="54"/>
      <c r="AT102" s="54"/>
      <c r="AU102" s="54"/>
      <c r="AV102" s="54"/>
      <c r="AW102" s="54"/>
    </row>
    <row r="103" spans="1:49">
      <c r="A103" s="54"/>
      <c r="B103" s="54"/>
      <c r="C103" s="54"/>
      <c r="D103" s="54"/>
      <c r="F103" s="54"/>
      <c r="G103" s="54"/>
      <c r="H103" s="54"/>
      <c r="J103" s="54"/>
      <c r="K103" s="54"/>
      <c r="L103" s="54"/>
      <c r="M103" s="54"/>
      <c r="O103" s="54"/>
      <c r="P103" s="54"/>
      <c r="Q103" s="54"/>
      <c r="R103" s="54"/>
      <c r="S103" s="54"/>
      <c r="T103" s="54"/>
      <c r="U103" s="54"/>
      <c r="V103" s="54"/>
      <c r="W103" s="11" t="str">
        <f>IF(P103="","",IF(SUMIFS(期初数据!$S$5:$S$14,期初数据!$P$5:$P$14,P103)+SUMIFS(采购录入!$G$4:$G$203,采购录入!$D$4:$D$203,P103,采购录入!$A$4:$A$203,"&lt;="&amp;EOMONTH(首页!$B$4,0))-SUMIFS(销售录入!$G$4:$G$203,销售录入!$D$4:$D$203,P103,销售录入!$A$4:$A$203,"&lt;="&amp;EOMONTH(首页!$B$4,0))&lt;&gt;0,"显示",IF(COUNTIFS(采购录入!$D$4:$D$203,P103,采购录入!$B$4:$B$203,TEXT(首页!$B$4,"yyyy-mm"))+COUNTIFS(销售录入!$D$4:$D$203,P103,销售录入!$B$4:$B$203,TEXT(首页!$B$4,"yyyy-mm"))&gt;0,"显示","")))</f>
        <v/>
      </c>
      <c r="X103" s="54"/>
      <c r="Y103" s="54"/>
      <c r="Z103" s="54"/>
      <c r="AA103" s="54"/>
      <c r="AB103" s="54"/>
      <c r="AD103" s="54"/>
      <c r="AE103" s="54"/>
      <c r="AF103" s="54"/>
      <c r="AG103" s="54"/>
      <c r="AH103" s="54"/>
      <c r="AJ103" s="54"/>
      <c r="AK103" s="54"/>
      <c r="AL103" s="54"/>
      <c r="AM103" s="54"/>
      <c r="AO103" s="54"/>
      <c r="AP103" s="54"/>
      <c r="AQ103" s="54"/>
      <c r="AR103" s="54"/>
      <c r="AS103" s="54"/>
      <c r="AT103" s="54"/>
      <c r="AU103" s="54"/>
      <c r="AV103" s="54"/>
      <c r="AW103" s="54"/>
    </row>
    <row r="104" spans="1:49">
      <c r="A104" s="54"/>
      <c r="B104" s="54"/>
      <c r="C104" s="54"/>
      <c r="D104" s="54"/>
      <c r="F104" s="54"/>
      <c r="G104" s="54"/>
      <c r="H104" s="54"/>
      <c r="J104" s="54"/>
      <c r="K104" s="54"/>
      <c r="L104" s="54"/>
      <c r="M104" s="54"/>
      <c r="O104" s="54"/>
      <c r="P104" s="54"/>
      <c r="Q104" s="54"/>
      <c r="R104" s="54"/>
      <c r="S104" s="54"/>
      <c r="T104" s="54"/>
      <c r="U104" s="54"/>
      <c r="V104" s="54"/>
      <c r="W104" s="11" t="str">
        <f>IF(P104="","",IF(SUMIFS(期初数据!$S$5:$S$14,期初数据!$P$5:$P$14,P104)+SUMIFS(采购录入!$G$4:$G$203,采购录入!$D$4:$D$203,P104,采购录入!$A$4:$A$203,"&lt;="&amp;EOMONTH(首页!$B$4,0))-SUMIFS(销售录入!$G$4:$G$203,销售录入!$D$4:$D$203,P104,销售录入!$A$4:$A$203,"&lt;="&amp;EOMONTH(首页!$B$4,0))&lt;&gt;0,"显示",IF(COUNTIFS(采购录入!$D$4:$D$203,P104,采购录入!$B$4:$B$203,TEXT(首页!$B$4,"yyyy-mm"))+COUNTIFS(销售录入!$D$4:$D$203,P104,销售录入!$B$4:$B$203,TEXT(首页!$B$4,"yyyy-mm"))&gt;0,"显示","")))</f>
        <v/>
      </c>
      <c r="X104" s="54"/>
      <c r="Y104" s="54"/>
      <c r="Z104" s="54"/>
      <c r="AA104" s="54"/>
      <c r="AB104" s="54"/>
      <c r="AD104" s="54"/>
      <c r="AE104" s="54"/>
      <c r="AF104" s="54"/>
      <c r="AG104" s="54"/>
      <c r="AH104" s="54"/>
      <c r="AJ104" s="54"/>
      <c r="AK104" s="54"/>
      <c r="AL104" s="54"/>
      <c r="AM104" s="54"/>
      <c r="AO104" s="54"/>
      <c r="AP104" s="54"/>
      <c r="AQ104" s="54"/>
      <c r="AR104" s="54"/>
      <c r="AS104" s="54"/>
      <c r="AT104" s="54"/>
      <c r="AU104" s="54"/>
      <c r="AV104" s="54"/>
      <c r="AW104" s="54"/>
    </row>
    <row r="105" spans="1:49">
      <c r="W105" t="str">
        <f>IF(P105="","",IF(SUMIFS(期初数据!$S$5:$S$14,期初数据!$P$5:$P$14,P105)+SUMIFS(采购录入!$G$4:$G$203,采购录入!$D$4:$D$203,P105,采购录入!$A$4:$A$203,"&lt;="&amp;EOMONTH(首页!$B$4,0))-SUMIFS(销售录入!$G$4:$G$203,销售录入!$D$4:$D$203,P105,销售录入!$A$4:$A$203,"&lt;="&amp;EOMONTH(首页!$B$4,0))&lt;&gt;0,"显示",IF(COUNTIFS(采购录入!$D$4:$D$203,P105,采购录入!$B$4:$B$203,TEXT(首页!$B$4,"yyyy-mm"))+COUNTIFS(销售录入!$D$4:$D$203,P105,销售录入!$B$4:$B$203,TEXT(首页!$B$4,"yyyy-mm"))&gt;0,"显示","")))</f>
        <v/>
      </c>
    </row>
    <row r="106" spans="1:49">
      <c r="W106" t="str">
        <f>IF(P106="","",IF(SUMIFS(期初数据!$S$5:$S$14,期初数据!$P$5:$P$14,P106)+SUMIFS(采购录入!$G$4:$G$203,采购录入!$D$4:$D$203,P106,采购录入!$A$4:$A$203,"&lt;="&amp;EOMONTH(首页!$B$4,0))-SUMIFS(销售录入!$G$4:$G$203,销售录入!$D$4:$D$203,P106,销售录入!$A$4:$A$203,"&lt;="&amp;EOMONTH(首页!$B$4,0))&lt;&gt;0,"显示",IF(COUNTIFS(采购录入!$D$4:$D$203,P106,采购录入!$B$4:$B$203,TEXT(首页!$B$4,"yyyy-mm"))+COUNTIFS(销售录入!$D$4:$D$203,P106,销售录入!$B$4:$B$203,TEXT(首页!$B$4,"yyyy-mm"))&gt;0,"显示","")))</f>
        <v/>
      </c>
    </row>
    <row r="107" spans="1:49">
      <c r="W107" t="str">
        <f>IF(P107="","",IF(SUMIFS(期初数据!$S$5:$S$14,期初数据!$P$5:$P$14,P107)+SUMIFS(采购录入!$G$4:$G$203,采购录入!$D$4:$D$203,P107,采购录入!$A$4:$A$203,"&lt;="&amp;EOMONTH(首页!$B$4,0))-SUMIFS(销售录入!$G$4:$G$203,销售录入!$D$4:$D$203,P107,销售录入!$A$4:$A$203,"&lt;="&amp;EOMONTH(首页!$B$4,0))&lt;&gt;0,"显示",IF(COUNTIFS(采购录入!$D$4:$D$203,P107,采购录入!$B$4:$B$203,TEXT(首页!$B$4,"yyyy-mm"))+COUNTIFS(销售录入!$D$4:$D$203,P107,销售录入!$B$4:$B$203,TEXT(首页!$B$4,"yyyy-mm"))&gt;0,"显示","")))</f>
        <v/>
      </c>
    </row>
    <row r="108" spans="1:49">
      <c r="W108" t="str">
        <f>IF(P108="","",IF(SUMIFS(期初数据!$S$5:$S$14,期初数据!$P$5:$P$14,P108)+SUMIFS(采购录入!$G$4:$G$203,采购录入!$D$4:$D$203,P108,采购录入!$A$4:$A$203,"&lt;="&amp;EOMONTH(首页!$B$4,0))-SUMIFS(销售录入!$G$4:$G$203,销售录入!$D$4:$D$203,P108,销售录入!$A$4:$A$203,"&lt;="&amp;EOMONTH(首页!$B$4,0))&lt;&gt;0,"显示",IF(COUNTIFS(采购录入!$D$4:$D$203,P108,采购录入!$B$4:$B$203,TEXT(首页!$B$4,"yyyy-mm"))+COUNTIFS(销售录入!$D$4:$D$203,P108,销售录入!$B$4:$B$203,TEXT(首页!$B$4,"yyyy-mm"))&gt;0,"显示","")))</f>
        <v/>
      </c>
    </row>
    <row r="109" spans="1:49">
      <c r="W109" t="str">
        <f>IF(P109="","",IF(SUMIFS(期初数据!$S$5:$S$14,期初数据!$P$5:$P$14,P109)+SUMIFS(采购录入!$G$4:$G$203,采购录入!$D$4:$D$203,P109,采购录入!$A$4:$A$203,"&lt;="&amp;EOMONTH(首页!$B$4,0))-SUMIFS(销售录入!$G$4:$G$203,销售录入!$D$4:$D$203,P109,销售录入!$A$4:$A$203,"&lt;="&amp;EOMONTH(首页!$B$4,0))&lt;&gt;0,"显示",IF(COUNTIFS(采购录入!$D$4:$D$203,P109,采购录入!$B$4:$B$203,TEXT(首页!$B$4,"yyyy-mm"))+COUNTIFS(销售录入!$D$4:$D$203,P109,销售录入!$B$4:$B$203,TEXT(首页!$B$4,"yyyy-mm"))&gt;0,"显示","")))</f>
        <v/>
      </c>
    </row>
    <row r="110" spans="1:49">
      <c r="W110" t="str">
        <f>IF(P110="","",IF(SUMIFS(期初数据!$S$5:$S$14,期初数据!$P$5:$P$14,P110)+SUMIFS(采购录入!$G$4:$G$203,采购录入!$D$4:$D$203,P110,采购录入!$A$4:$A$203,"&lt;="&amp;EOMONTH(首页!$B$4,0))-SUMIFS(销售录入!$G$4:$G$203,销售录入!$D$4:$D$203,P110,销售录入!$A$4:$A$203,"&lt;="&amp;EOMONTH(首页!$B$4,0))&lt;&gt;0,"显示",IF(COUNTIFS(采购录入!$D$4:$D$203,P110,采购录入!$B$4:$B$203,TEXT(首页!$B$4,"yyyy-mm"))+COUNTIFS(销售录入!$D$4:$D$203,P110,销售录入!$B$4:$B$203,TEXT(首页!$B$4,"yyyy-mm"))&gt;0,"显示","")))</f>
        <v/>
      </c>
    </row>
    <row r="111" spans="1:49">
      <c r="W111" t="str">
        <f>IF(P111="","",IF(SUMIFS(期初数据!$S$5:$S$14,期初数据!$P$5:$P$14,P111)+SUMIFS(采购录入!$G$4:$G$203,采购录入!$D$4:$D$203,P111,采购录入!$A$4:$A$203,"&lt;="&amp;EOMONTH(首页!$B$4,0))-SUMIFS(销售录入!$G$4:$G$203,销售录入!$D$4:$D$203,P111,销售录入!$A$4:$A$203,"&lt;="&amp;EOMONTH(首页!$B$4,0))&lt;&gt;0,"显示",IF(COUNTIFS(采购录入!$D$4:$D$203,P111,采购录入!$B$4:$B$203,TEXT(首页!$B$4,"yyyy-mm"))+COUNTIFS(销售录入!$D$4:$D$203,P111,销售录入!$B$4:$B$203,TEXT(首页!$B$4,"yyyy-mm"))&gt;0,"显示","")))</f>
        <v/>
      </c>
    </row>
    <row r="112" spans="1:49">
      <c r="W112" t="str">
        <f>IF(P112="","",IF(SUMIFS(期初数据!$S$5:$S$14,期初数据!$P$5:$P$14,P112)+SUMIFS(采购录入!$G$4:$G$203,采购录入!$D$4:$D$203,P112,采购录入!$A$4:$A$203,"&lt;="&amp;EOMONTH(首页!$B$4,0))-SUMIFS(销售录入!$G$4:$G$203,销售录入!$D$4:$D$203,P112,销售录入!$A$4:$A$203,"&lt;="&amp;EOMONTH(首页!$B$4,0))&lt;&gt;0,"显示",IF(COUNTIFS(采购录入!$D$4:$D$203,P112,采购录入!$B$4:$B$203,TEXT(首页!$B$4,"yyyy-mm"))+COUNTIFS(销售录入!$D$4:$D$203,P112,销售录入!$B$4:$B$203,TEXT(首页!$B$4,"yyyy-mm"))&gt;0,"显示","")))</f>
        <v/>
      </c>
    </row>
    <row r="113" spans="23:23">
      <c r="W113" t="str">
        <f>IF(P113="","",IF(SUMIFS(期初数据!$S$5:$S$14,期初数据!$P$5:$P$14,P113)+SUMIFS(采购录入!$G$4:$G$203,采购录入!$D$4:$D$203,P113,采购录入!$A$4:$A$203,"&lt;="&amp;EOMONTH(首页!$B$4,0))-SUMIFS(销售录入!$G$4:$G$203,销售录入!$D$4:$D$203,P113,销售录入!$A$4:$A$203,"&lt;="&amp;EOMONTH(首页!$B$4,0))&lt;&gt;0,"显示",IF(COUNTIFS(采购录入!$D$4:$D$203,P113,采购录入!$B$4:$B$203,TEXT(首页!$B$4,"yyyy-mm"))+COUNTIFS(销售录入!$D$4:$D$203,P113,销售录入!$B$4:$B$203,TEXT(首页!$B$4,"yyyy-mm"))&gt;0,"显示","")))</f>
        <v/>
      </c>
    </row>
    <row r="114" spans="23:23">
      <c r="W114" t="str">
        <f>IF(P114="","",IF(SUMIFS(期初数据!$S$5:$S$14,期初数据!$P$5:$P$14,P114)+SUMIFS(采购录入!$G$4:$G$203,采购录入!$D$4:$D$203,P114,采购录入!$A$4:$A$203,"&lt;="&amp;EOMONTH(首页!$B$4,0))-SUMIFS(销售录入!$G$4:$G$203,销售录入!$D$4:$D$203,P114,销售录入!$A$4:$A$203,"&lt;="&amp;EOMONTH(首页!$B$4,0))&lt;&gt;0,"显示",IF(COUNTIFS(采购录入!$D$4:$D$203,P114,采购录入!$B$4:$B$203,TEXT(首页!$B$4,"yyyy-mm"))+COUNTIFS(销售录入!$D$4:$D$203,P114,销售录入!$B$4:$B$203,TEXT(首页!$B$4,"yyyy-mm"))&gt;0,"显示","")))</f>
        <v/>
      </c>
    </row>
    <row r="115" spans="23:23">
      <c r="W115" t="str">
        <f>IF(P115="","",IF(SUMIFS(期初数据!$S$5:$S$14,期初数据!$P$5:$P$14,P115)+SUMIFS(采购录入!$G$4:$G$203,采购录入!$D$4:$D$203,P115,采购录入!$A$4:$A$203,"&lt;="&amp;EOMONTH(首页!$B$4,0))-SUMIFS(销售录入!$G$4:$G$203,销售录入!$D$4:$D$203,P115,销售录入!$A$4:$A$203,"&lt;="&amp;EOMONTH(首页!$B$4,0))&lt;&gt;0,"显示",IF(COUNTIFS(采购录入!$D$4:$D$203,P115,采购录入!$B$4:$B$203,TEXT(首页!$B$4,"yyyy-mm"))+COUNTIFS(销售录入!$D$4:$D$203,P115,销售录入!$B$4:$B$203,TEXT(首页!$B$4,"yyyy-mm"))&gt;0,"显示","")))</f>
        <v/>
      </c>
    </row>
    <row r="116" spans="23:23">
      <c r="W116" t="str">
        <f>IF(P116="","",IF(SUMIFS(期初数据!$S$5:$S$14,期初数据!$P$5:$P$14,P116)+SUMIFS(采购录入!$G$4:$G$203,采购录入!$D$4:$D$203,P116,采购录入!$A$4:$A$203,"&lt;="&amp;EOMONTH(首页!$B$4,0))-SUMIFS(销售录入!$G$4:$G$203,销售录入!$D$4:$D$203,P116,销售录入!$A$4:$A$203,"&lt;="&amp;EOMONTH(首页!$B$4,0))&lt;&gt;0,"显示",IF(COUNTIFS(采购录入!$D$4:$D$203,P116,采购录入!$B$4:$B$203,TEXT(首页!$B$4,"yyyy-mm"))+COUNTIFS(销售录入!$D$4:$D$203,P116,销售录入!$B$4:$B$203,TEXT(首页!$B$4,"yyyy-mm"))&gt;0,"显示","")))</f>
        <v/>
      </c>
    </row>
    <row r="117" spans="23:23">
      <c r="W117" t="str">
        <f>IF(P117="","",IF(SUMIFS(期初数据!$S$5:$S$14,期初数据!$P$5:$P$14,P117)+SUMIFS(采购录入!$G$4:$G$203,采购录入!$D$4:$D$203,P117,采购录入!$A$4:$A$203,"&lt;="&amp;EOMONTH(首页!$B$4,0))-SUMIFS(销售录入!$G$4:$G$203,销售录入!$D$4:$D$203,P117,销售录入!$A$4:$A$203,"&lt;="&amp;EOMONTH(首页!$B$4,0))&lt;&gt;0,"显示",IF(COUNTIFS(采购录入!$D$4:$D$203,P117,采购录入!$B$4:$B$203,TEXT(首页!$B$4,"yyyy-mm"))+COUNTIFS(销售录入!$D$4:$D$203,P117,销售录入!$B$4:$B$203,TEXT(首页!$B$4,"yyyy-mm"))&gt;0,"显示","")))</f>
        <v/>
      </c>
    </row>
    <row r="118" spans="23:23">
      <c r="W118" t="str">
        <f>IF(P118="","",IF(SUMIFS(期初数据!$S$5:$S$14,期初数据!$P$5:$P$14,P118)+SUMIFS(采购录入!$G$4:$G$203,采购录入!$D$4:$D$203,P118,采购录入!$A$4:$A$203,"&lt;="&amp;EOMONTH(首页!$B$4,0))-SUMIFS(销售录入!$G$4:$G$203,销售录入!$D$4:$D$203,P118,销售录入!$A$4:$A$203,"&lt;="&amp;EOMONTH(首页!$B$4,0))&lt;&gt;0,"显示",IF(COUNTIFS(采购录入!$D$4:$D$203,P118,采购录入!$B$4:$B$203,TEXT(首页!$B$4,"yyyy-mm"))+COUNTIFS(销售录入!$D$4:$D$203,P118,销售录入!$B$4:$B$203,TEXT(首页!$B$4,"yyyy-mm"))&gt;0,"显示","")))</f>
        <v/>
      </c>
    </row>
    <row r="119" spans="23:23">
      <c r="W119" t="str">
        <f>IF(P119="","",IF(SUMIFS(期初数据!$S$5:$S$14,期初数据!$P$5:$P$14,P119)+SUMIFS(采购录入!$G$4:$G$203,采购录入!$D$4:$D$203,P119,采购录入!$A$4:$A$203,"&lt;="&amp;EOMONTH(首页!$B$4,0))-SUMIFS(销售录入!$G$4:$G$203,销售录入!$D$4:$D$203,P119,销售录入!$A$4:$A$203,"&lt;="&amp;EOMONTH(首页!$B$4,0))&lt;&gt;0,"显示",IF(COUNTIFS(采购录入!$D$4:$D$203,P119,采购录入!$B$4:$B$203,TEXT(首页!$B$4,"yyyy-mm"))+COUNTIFS(销售录入!$D$4:$D$203,P119,销售录入!$B$4:$B$203,TEXT(首页!$B$4,"yyyy-mm"))&gt;0,"显示","")))</f>
        <v/>
      </c>
    </row>
    <row r="120" spans="23:23">
      <c r="W120" t="str">
        <f>IF(P120="","",IF(SUMIFS(期初数据!$S$5:$S$14,期初数据!$P$5:$P$14,P120)+SUMIFS(采购录入!$G$4:$G$203,采购录入!$D$4:$D$203,P120,采购录入!$A$4:$A$203,"&lt;="&amp;EOMONTH(首页!$B$4,0))-SUMIFS(销售录入!$G$4:$G$203,销售录入!$D$4:$D$203,P120,销售录入!$A$4:$A$203,"&lt;="&amp;EOMONTH(首页!$B$4,0))&lt;&gt;0,"显示",IF(COUNTIFS(采购录入!$D$4:$D$203,P120,采购录入!$B$4:$B$203,TEXT(首页!$B$4,"yyyy-mm"))+COUNTIFS(销售录入!$D$4:$D$203,P120,销售录入!$B$4:$B$203,TEXT(首页!$B$4,"yyyy-mm"))&gt;0,"显示","")))</f>
        <v/>
      </c>
    </row>
    <row r="121" spans="23:23">
      <c r="W121" t="str">
        <f>IF(P121="","",IF(SUMIFS(期初数据!$S$5:$S$14,期初数据!$P$5:$P$14,P121)+SUMIFS(采购录入!$G$4:$G$203,采购录入!$D$4:$D$203,P121,采购录入!$A$4:$A$203,"&lt;="&amp;EOMONTH(首页!$B$4,0))-SUMIFS(销售录入!$G$4:$G$203,销售录入!$D$4:$D$203,P121,销售录入!$A$4:$A$203,"&lt;="&amp;EOMONTH(首页!$B$4,0))&lt;&gt;0,"显示",IF(COUNTIFS(采购录入!$D$4:$D$203,P121,采购录入!$B$4:$B$203,TEXT(首页!$B$4,"yyyy-mm"))+COUNTIFS(销售录入!$D$4:$D$203,P121,销售录入!$B$4:$B$203,TEXT(首页!$B$4,"yyyy-mm"))&gt;0,"显示","")))</f>
        <v/>
      </c>
    </row>
    <row r="122" spans="23:23">
      <c r="W122" t="str">
        <f>IF(P122="","",IF(SUMIFS(期初数据!$S$5:$S$14,期初数据!$P$5:$P$14,P122)+SUMIFS(采购录入!$G$4:$G$203,采购录入!$D$4:$D$203,P122,采购录入!$A$4:$A$203,"&lt;="&amp;EOMONTH(首页!$B$4,0))-SUMIFS(销售录入!$G$4:$G$203,销售录入!$D$4:$D$203,P122,销售录入!$A$4:$A$203,"&lt;="&amp;EOMONTH(首页!$B$4,0))&lt;&gt;0,"显示",IF(COUNTIFS(采购录入!$D$4:$D$203,P122,采购录入!$B$4:$B$203,TEXT(首页!$B$4,"yyyy-mm"))+COUNTIFS(销售录入!$D$4:$D$203,P122,销售录入!$B$4:$B$203,TEXT(首页!$B$4,"yyyy-mm"))&gt;0,"显示","")))</f>
        <v/>
      </c>
    </row>
    <row r="123" spans="23:23">
      <c r="W123" t="str">
        <f>IF(P123="","",IF(SUMIFS(期初数据!$S$5:$S$14,期初数据!$P$5:$P$14,P123)+SUMIFS(采购录入!$G$4:$G$203,采购录入!$D$4:$D$203,P123,采购录入!$A$4:$A$203,"&lt;="&amp;EOMONTH(首页!$B$4,0))-SUMIFS(销售录入!$G$4:$G$203,销售录入!$D$4:$D$203,P123,销售录入!$A$4:$A$203,"&lt;="&amp;EOMONTH(首页!$B$4,0))&lt;&gt;0,"显示",IF(COUNTIFS(采购录入!$D$4:$D$203,P123,采购录入!$B$4:$B$203,TEXT(首页!$B$4,"yyyy-mm"))+COUNTIFS(销售录入!$D$4:$D$203,P123,销售录入!$B$4:$B$203,TEXT(首页!$B$4,"yyyy-mm"))&gt;0,"显示","")))</f>
        <v/>
      </c>
    </row>
    <row r="124" spans="23:23">
      <c r="W124" t="str">
        <f>IF(P124="","",IF(SUMIFS(期初数据!$S$5:$S$14,期初数据!$P$5:$P$14,P124)+SUMIFS(采购录入!$G$4:$G$203,采购录入!$D$4:$D$203,P124,采购录入!$A$4:$A$203,"&lt;="&amp;EOMONTH(首页!$B$4,0))-SUMIFS(销售录入!$G$4:$G$203,销售录入!$D$4:$D$203,P124,销售录入!$A$4:$A$203,"&lt;="&amp;EOMONTH(首页!$B$4,0))&lt;&gt;0,"显示",IF(COUNTIFS(采购录入!$D$4:$D$203,P124,采购录入!$B$4:$B$203,TEXT(首页!$B$4,"yyyy-mm"))+COUNTIFS(销售录入!$D$4:$D$203,P124,销售录入!$B$4:$B$203,TEXT(首页!$B$4,"yyyy-mm"))&gt;0,"显示","")))</f>
        <v/>
      </c>
    </row>
    <row r="125" spans="23:23">
      <c r="W125" t="str">
        <f>IF(P125="","",IF(SUMIFS(期初数据!$S$5:$S$14,期初数据!$P$5:$P$14,P125)+SUMIFS(采购录入!$G$4:$G$203,采购录入!$D$4:$D$203,P125,采购录入!$A$4:$A$203,"&lt;="&amp;EOMONTH(首页!$B$4,0))-SUMIFS(销售录入!$G$4:$G$203,销售录入!$D$4:$D$203,P125,销售录入!$A$4:$A$203,"&lt;="&amp;EOMONTH(首页!$B$4,0))&lt;&gt;0,"显示",IF(COUNTIFS(采购录入!$D$4:$D$203,P125,采购录入!$B$4:$B$203,TEXT(首页!$B$4,"yyyy-mm"))+COUNTIFS(销售录入!$D$4:$D$203,P125,销售录入!$B$4:$B$203,TEXT(首页!$B$4,"yyyy-mm"))&gt;0,"显示","")))</f>
        <v/>
      </c>
    </row>
    <row r="126" spans="23:23">
      <c r="W126" t="str">
        <f>IF(P126="","",IF(SUMIFS(期初数据!$S$5:$S$14,期初数据!$P$5:$P$14,P126)+SUMIFS(采购录入!$G$4:$G$203,采购录入!$D$4:$D$203,P126,采购录入!$A$4:$A$203,"&lt;="&amp;EOMONTH(首页!$B$4,0))-SUMIFS(销售录入!$G$4:$G$203,销售录入!$D$4:$D$203,P126,销售录入!$A$4:$A$203,"&lt;="&amp;EOMONTH(首页!$B$4,0))&lt;&gt;0,"显示",IF(COUNTIFS(采购录入!$D$4:$D$203,P126,采购录入!$B$4:$B$203,TEXT(首页!$B$4,"yyyy-mm"))+COUNTIFS(销售录入!$D$4:$D$203,P126,销售录入!$B$4:$B$203,TEXT(首页!$B$4,"yyyy-mm"))&gt;0,"显示","")))</f>
        <v/>
      </c>
    </row>
    <row r="127" spans="23:23">
      <c r="W127" t="str">
        <f>IF(P127="","",IF(SUMIFS(期初数据!$S$5:$S$14,期初数据!$P$5:$P$14,P127)+SUMIFS(采购录入!$G$4:$G$203,采购录入!$D$4:$D$203,P127,采购录入!$A$4:$A$203,"&lt;="&amp;EOMONTH(首页!$B$4,0))-SUMIFS(销售录入!$G$4:$G$203,销售录入!$D$4:$D$203,P127,销售录入!$A$4:$A$203,"&lt;="&amp;EOMONTH(首页!$B$4,0))&lt;&gt;0,"显示",IF(COUNTIFS(采购录入!$D$4:$D$203,P127,采购录入!$B$4:$B$203,TEXT(首页!$B$4,"yyyy-mm"))+COUNTIFS(销售录入!$D$4:$D$203,P127,销售录入!$B$4:$B$203,TEXT(首页!$B$4,"yyyy-mm"))&gt;0,"显示","")))</f>
        <v/>
      </c>
    </row>
    <row r="128" spans="23:23">
      <c r="W128" t="str">
        <f>IF(P128="","",IF(SUMIFS(期初数据!$S$5:$S$14,期初数据!$P$5:$P$14,P128)+SUMIFS(采购录入!$G$4:$G$203,采购录入!$D$4:$D$203,P128,采购录入!$A$4:$A$203,"&lt;="&amp;EOMONTH(首页!$B$4,0))-SUMIFS(销售录入!$G$4:$G$203,销售录入!$D$4:$D$203,P128,销售录入!$A$4:$A$203,"&lt;="&amp;EOMONTH(首页!$B$4,0))&lt;&gt;0,"显示",IF(COUNTIFS(采购录入!$D$4:$D$203,P128,采购录入!$B$4:$B$203,TEXT(首页!$B$4,"yyyy-mm"))+COUNTIFS(销售录入!$D$4:$D$203,P128,销售录入!$B$4:$B$203,TEXT(首页!$B$4,"yyyy-mm"))&gt;0,"显示","")))</f>
        <v/>
      </c>
    </row>
    <row r="129" spans="23:23">
      <c r="W129" t="str">
        <f>IF(P129="","",IF(SUMIFS(期初数据!$S$5:$S$14,期初数据!$P$5:$P$14,P129)+SUMIFS(采购录入!$G$4:$G$203,采购录入!$D$4:$D$203,P129,采购录入!$A$4:$A$203,"&lt;="&amp;EOMONTH(首页!$B$4,0))-SUMIFS(销售录入!$G$4:$G$203,销售录入!$D$4:$D$203,P129,销售录入!$A$4:$A$203,"&lt;="&amp;EOMONTH(首页!$B$4,0))&lt;&gt;0,"显示",IF(COUNTIFS(采购录入!$D$4:$D$203,P129,采购录入!$B$4:$B$203,TEXT(首页!$B$4,"yyyy-mm"))+COUNTIFS(销售录入!$D$4:$D$203,P129,销售录入!$B$4:$B$203,TEXT(首页!$B$4,"yyyy-mm"))&gt;0,"显示","")))</f>
        <v/>
      </c>
    </row>
    <row r="130" spans="23:23">
      <c r="W130" t="str">
        <f>IF(P130="","",IF(SUMIFS(期初数据!$S$5:$S$14,期初数据!$P$5:$P$14,P130)+SUMIFS(采购录入!$G$4:$G$203,采购录入!$D$4:$D$203,P130,采购录入!$A$4:$A$203,"&lt;="&amp;EOMONTH(首页!$B$4,0))-SUMIFS(销售录入!$G$4:$G$203,销售录入!$D$4:$D$203,P130,销售录入!$A$4:$A$203,"&lt;="&amp;EOMONTH(首页!$B$4,0))&lt;&gt;0,"显示",IF(COUNTIFS(采购录入!$D$4:$D$203,P130,采购录入!$B$4:$B$203,TEXT(首页!$B$4,"yyyy-mm"))+COUNTIFS(销售录入!$D$4:$D$203,P130,销售录入!$B$4:$B$203,TEXT(首页!$B$4,"yyyy-mm"))&gt;0,"显示","")))</f>
        <v/>
      </c>
    </row>
    <row r="131" spans="23:23">
      <c r="W131" t="str">
        <f>IF(P131="","",IF(SUMIFS(期初数据!$S$5:$S$14,期初数据!$P$5:$P$14,P131)+SUMIFS(采购录入!$G$4:$G$203,采购录入!$D$4:$D$203,P131,采购录入!$A$4:$A$203,"&lt;="&amp;EOMONTH(首页!$B$4,0))-SUMIFS(销售录入!$G$4:$G$203,销售录入!$D$4:$D$203,P131,销售录入!$A$4:$A$203,"&lt;="&amp;EOMONTH(首页!$B$4,0))&lt;&gt;0,"显示",IF(COUNTIFS(采购录入!$D$4:$D$203,P131,采购录入!$B$4:$B$203,TEXT(首页!$B$4,"yyyy-mm"))+COUNTIFS(销售录入!$D$4:$D$203,P131,销售录入!$B$4:$B$203,TEXT(首页!$B$4,"yyyy-mm"))&gt;0,"显示","")))</f>
        <v/>
      </c>
    </row>
    <row r="132" spans="23:23">
      <c r="W132" t="str">
        <f>IF(P132="","",IF(SUMIFS(期初数据!$S$5:$S$14,期初数据!$P$5:$P$14,P132)+SUMIFS(采购录入!$G$4:$G$203,采购录入!$D$4:$D$203,P132,采购录入!$A$4:$A$203,"&lt;="&amp;EOMONTH(首页!$B$4,0))-SUMIFS(销售录入!$G$4:$G$203,销售录入!$D$4:$D$203,P132,销售录入!$A$4:$A$203,"&lt;="&amp;EOMONTH(首页!$B$4,0))&lt;&gt;0,"显示",IF(COUNTIFS(采购录入!$D$4:$D$203,P132,采购录入!$B$4:$B$203,TEXT(首页!$B$4,"yyyy-mm"))+COUNTIFS(销售录入!$D$4:$D$203,P132,销售录入!$B$4:$B$203,TEXT(首页!$B$4,"yyyy-mm"))&gt;0,"显示","")))</f>
        <v/>
      </c>
    </row>
    <row r="133" spans="23:23">
      <c r="W133" t="str">
        <f>IF(P133="","",IF(SUMIFS(期初数据!$S$5:$S$14,期初数据!$P$5:$P$14,P133)+SUMIFS(采购录入!$G$4:$G$203,采购录入!$D$4:$D$203,P133,采购录入!$A$4:$A$203,"&lt;="&amp;EOMONTH(首页!$B$4,0))-SUMIFS(销售录入!$G$4:$G$203,销售录入!$D$4:$D$203,P133,销售录入!$A$4:$A$203,"&lt;="&amp;EOMONTH(首页!$B$4,0))&lt;&gt;0,"显示",IF(COUNTIFS(采购录入!$D$4:$D$203,P133,采购录入!$B$4:$B$203,TEXT(首页!$B$4,"yyyy-mm"))+COUNTIFS(销售录入!$D$4:$D$203,P133,销售录入!$B$4:$B$203,TEXT(首页!$B$4,"yyyy-mm"))&gt;0,"显示","")))</f>
        <v/>
      </c>
    </row>
    <row r="134" spans="23:23">
      <c r="W134" t="str">
        <f>IF(P134="","",IF(SUMIFS(期初数据!$S$5:$S$14,期初数据!$P$5:$P$14,P134)+SUMIFS(采购录入!$G$4:$G$203,采购录入!$D$4:$D$203,P134,采购录入!$A$4:$A$203,"&lt;="&amp;EOMONTH(首页!$B$4,0))-SUMIFS(销售录入!$G$4:$G$203,销售录入!$D$4:$D$203,P134,销售录入!$A$4:$A$203,"&lt;="&amp;EOMONTH(首页!$B$4,0))&lt;&gt;0,"显示",IF(COUNTIFS(采购录入!$D$4:$D$203,P134,采购录入!$B$4:$B$203,TEXT(首页!$B$4,"yyyy-mm"))+COUNTIFS(销售录入!$D$4:$D$203,P134,销售录入!$B$4:$B$203,TEXT(首页!$B$4,"yyyy-mm"))&gt;0,"显示","")))</f>
        <v/>
      </c>
    </row>
    <row r="135" spans="23:23">
      <c r="W135" t="str">
        <f>IF(P135="","",IF(SUMIFS(期初数据!$S$5:$S$14,期初数据!$P$5:$P$14,P135)+SUMIFS(采购录入!$G$4:$G$203,采购录入!$D$4:$D$203,P135,采购录入!$A$4:$A$203,"&lt;="&amp;EOMONTH(首页!$B$4,0))-SUMIFS(销售录入!$G$4:$G$203,销售录入!$D$4:$D$203,P135,销售录入!$A$4:$A$203,"&lt;="&amp;EOMONTH(首页!$B$4,0))&lt;&gt;0,"显示",IF(COUNTIFS(采购录入!$D$4:$D$203,P135,采购录入!$B$4:$B$203,TEXT(首页!$B$4,"yyyy-mm"))+COUNTIFS(销售录入!$D$4:$D$203,P135,销售录入!$B$4:$B$203,TEXT(首页!$B$4,"yyyy-mm"))&gt;0,"显示","")))</f>
        <v/>
      </c>
    </row>
    <row r="136" spans="23:23">
      <c r="W136" t="str">
        <f>IF(P136="","",IF(SUMIFS(期初数据!$S$5:$S$14,期初数据!$P$5:$P$14,P136)+SUMIFS(采购录入!$G$4:$G$203,采购录入!$D$4:$D$203,P136,采购录入!$A$4:$A$203,"&lt;="&amp;EOMONTH(首页!$B$4,0))-SUMIFS(销售录入!$G$4:$G$203,销售录入!$D$4:$D$203,P136,销售录入!$A$4:$A$203,"&lt;="&amp;EOMONTH(首页!$B$4,0))&lt;&gt;0,"显示",IF(COUNTIFS(采购录入!$D$4:$D$203,P136,采购录入!$B$4:$B$203,TEXT(首页!$B$4,"yyyy-mm"))+COUNTIFS(销售录入!$D$4:$D$203,P136,销售录入!$B$4:$B$203,TEXT(首页!$B$4,"yyyy-mm"))&gt;0,"显示","")))</f>
        <v/>
      </c>
    </row>
    <row r="137" spans="23:23">
      <c r="W137" t="str">
        <f>IF(P137="","",IF(SUMIFS(期初数据!$S$5:$S$14,期初数据!$P$5:$P$14,P137)+SUMIFS(采购录入!$G$4:$G$203,采购录入!$D$4:$D$203,P137,采购录入!$A$4:$A$203,"&lt;="&amp;EOMONTH(首页!$B$4,0))-SUMIFS(销售录入!$G$4:$G$203,销售录入!$D$4:$D$203,P137,销售录入!$A$4:$A$203,"&lt;="&amp;EOMONTH(首页!$B$4,0))&lt;&gt;0,"显示",IF(COUNTIFS(采购录入!$D$4:$D$203,P137,采购录入!$B$4:$B$203,TEXT(首页!$B$4,"yyyy-mm"))+COUNTIFS(销售录入!$D$4:$D$203,P137,销售录入!$B$4:$B$203,TEXT(首页!$B$4,"yyyy-mm"))&gt;0,"显示","")))</f>
        <v/>
      </c>
    </row>
    <row r="138" spans="23:23">
      <c r="W138" t="str">
        <f>IF(P138="","",IF(SUMIFS(期初数据!$S$5:$S$14,期初数据!$P$5:$P$14,P138)+SUMIFS(采购录入!$G$4:$G$203,采购录入!$D$4:$D$203,P138,采购录入!$A$4:$A$203,"&lt;="&amp;EOMONTH(首页!$B$4,0))-SUMIFS(销售录入!$G$4:$G$203,销售录入!$D$4:$D$203,P138,销售录入!$A$4:$A$203,"&lt;="&amp;EOMONTH(首页!$B$4,0))&lt;&gt;0,"显示",IF(COUNTIFS(采购录入!$D$4:$D$203,P138,采购录入!$B$4:$B$203,TEXT(首页!$B$4,"yyyy-mm"))+COUNTIFS(销售录入!$D$4:$D$203,P138,销售录入!$B$4:$B$203,TEXT(首页!$B$4,"yyyy-mm"))&gt;0,"显示","")))</f>
        <v/>
      </c>
    </row>
    <row r="139" spans="23:23">
      <c r="W139" t="str">
        <f>IF(P139="","",IF(SUMIFS(期初数据!$S$5:$S$14,期初数据!$P$5:$P$14,P139)+SUMIFS(采购录入!$G$4:$G$203,采购录入!$D$4:$D$203,P139,采购录入!$A$4:$A$203,"&lt;="&amp;EOMONTH(首页!$B$4,0))-SUMIFS(销售录入!$G$4:$G$203,销售录入!$D$4:$D$203,P139,销售录入!$A$4:$A$203,"&lt;="&amp;EOMONTH(首页!$B$4,0))&lt;&gt;0,"显示",IF(COUNTIFS(采购录入!$D$4:$D$203,P139,采购录入!$B$4:$B$203,TEXT(首页!$B$4,"yyyy-mm"))+COUNTIFS(销售录入!$D$4:$D$203,P139,销售录入!$B$4:$B$203,TEXT(首页!$B$4,"yyyy-mm"))&gt;0,"显示","")))</f>
        <v/>
      </c>
    </row>
    <row r="140" spans="23:23">
      <c r="W140" t="str">
        <f>IF(P140="","",IF(SUMIFS(期初数据!$S$5:$S$14,期初数据!$P$5:$P$14,P140)+SUMIFS(采购录入!$G$4:$G$203,采购录入!$D$4:$D$203,P140,采购录入!$A$4:$A$203,"&lt;="&amp;EOMONTH(首页!$B$4,0))-SUMIFS(销售录入!$G$4:$G$203,销售录入!$D$4:$D$203,P140,销售录入!$A$4:$A$203,"&lt;="&amp;EOMONTH(首页!$B$4,0))&lt;&gt;0,"显示",IF(COUNTIFS(采购录入!$D$4:$D$203,P140,采购录入!$B$4:$B$203,TEXT(首页!$B$4,"yyyy-mm"))+COUNTIFS(销售录入!$D$4:$D$203,P140,销售录入!$B$4:$B$203,TEXT(首页!$B$4,"yyyy-mm"))&gt;0,"显示","")))</f>
        <v/>
      </c>
    </row>
    <row r="141" spans="23:23">
      <c r="W141" t="str">
        <f>IF(P141="","",IF(SUMIFS(期初数据!$S$5:$S$14,期初数据!$P$5:$P$14,P141)+SUMIFS(采购录入!$G$4:$G$203,采购录入!$D$4:$D$203,P141,采购录入!$A$4:$A$203,"&lt;="&amp;EOMONTH(首页!$B$4,0))-SUMIFS(销售录入!$G$4:$G$203,销售录入!$D$4:$D$203,P141,销售录入!$A$4:$A$203,"&lt;="&amp;EOMONTH(首页!$B$4,0))&lt;&gt;0,"显示",IF(COUNTIFS(采购录入!$D$4:$D$203,P141,采购录入!$B$4:$B$203,TEXT(首页!$B$4,"yyyy-mm"))+COUNTIFS(销售录入!$D$4:$D$203,P141,销售录入!$B$4:$B$203,TEXT(首页!$B$4,"yyyy-mm"))&gt;0,"显示","")))</f>
        <v/>
      </c>
    </row>
    <row r="142" spans="23:23">
      <c r="W142" t="str">
        <f>IF(P142="","",IF(SUMIFS(期初数据!$S$5:$S$14,期初数据!$P$5:$P$14,P142)+SUMIFS(采购录入!$G$4:$G$203,采购录入!$D$4:$D$203,P142,采购录入!$A$4:$A$203,"&lt;="&amp;EOMONTH(首页!$B$4,0))-SUMIFS(销售录入!$G$4:$G$203,销售录入!$D$4:$D$203,P142,销售录入!$A$4:$A$203,"&lt;="&amp;EOMONTH(首页!$B$4,0))&lt;&gt;0,"显示",IF(COUNTIFS(采购录入!$D$4:$D$203,P142,采购录入!$B$4:$B$203,TEXT(首页!$B$4,"yyyy-mm"))+COUNTIFS(销售录入!$D$4:$D$203,P142,销售录入!$B$4:$B$203,TEXT(首页!$B$4,"yyyy-mm"))&gt;0,"显示","")))</f>
        <v/>
      </c>
    </row>
    <row r="143" spans="23:23">
      <c r="W143" t="str">
        <f>IF(P143="","",IF(SUMIFS(期初数据!$S$5:$S$14,期初数据!$P$5:$P$14,P143)+SUMIFS(采购录入!$G$4:$G$203,采购录入!$D$4:$D$203,P143,采购录入!$A$4:$A$203,"&lt;="&amp;EOMONTH(首页!$B$4,0))-SUMIFS(销售录入!$G$4:$G$203,销售录入!$D$4:$D$203,P143,销售录入!$A$4:$A$203,"&lt;="&amp;EOMONTH(首页!$B$4,0))&lt;&gt;0,"显示",IF(COUNTIFS(采购录入!$D$4:$D$203,P143,采购录入!$B$4:$B$203,TEXT(首页!$B$4,"yyyy-mm"))+COUNTIFS(销售录入!$D$4:$D$203,P143,销售录入!$B$4:$B$203,TEXT(首页!$B$4,"yyyy-mm"))&gt;0,"显示","")))</f>
        <v/>
      </c>
    </row>
    <row r="144" spans="23:23">
      <c r="W144" t="str">
        <f>IF(P144="","",IF(SUMIFS(期初数据!$S$5:$S$14,期初数据!$P$5:$P$14,P144)+SUMIFS(采购录入!$G$4:$G$203,采购录入!$D$4:$D$203,P144,采购录入!$A$4:$A$203,"&lt;="&amp;EOMONTH(首页!$B$4,0))-SUMIFS(销售录入!$G$4:$G$203,销售录入!$D$4:$D$203,P144,销售录入!$A$4:$A$203,"&lt;="&amp;EOMONTH(首页!$B$4,0))&lt;&gt;0,"显示",IF(COUNTIFS(采购录入!$D$4:$D$203,P144,采购录入!$B$4:$B$203,TEXT(首页!$B$4,"yyyy-mm"))+COUNTIFS(销售录入!$D$4:$D$203,P144,销售录入!$B$4:$B$203,TEXT(首页!$B$4,"yyyy-mm"))&gt;0,"显示","")))</f>
        <v/>
      </c>
    </row>
    <row r="145" spans="23:23">
      <c r="W145" t="str">
        <f>IF(P145="","",IF(SUMIFS(期初数据!$S$5:$S$14,期初数据!$P$5:$P$14,P145)+SUMIFS(采购录入!$G$4:$G$203,采购录入!$D$4:$D$203,P145,采购录入!$A$4:$A$203,"&lt;="&amp;EOMONTH(首页!$B$4,0))-SUMIFS(销售录入!$G$4:$G$203,销售录入!$D$4:$D$203,P145,销售录入!$A$4:$A$203,"&lt;="&amp;EOMONTH(首页!$B$4,0))&lt;&gt;0,"显示",IF(COUNTIFS(采购录入!$D$4:$D$203,P145,采购录入!$B$4:$B$203,TEXT(首页!$B$4,"yyyy-mm"))+COUNTIFS(销售录入!$D$4:$D$203,P145,销售录入!$B$4:$B$203,TEXT(首页!$B$4,"yyyy-mm"))&gt;0,"显示","")))</f>
        <v/>
      </c>
    </row>
    <row r="146" spans="23:23">
      <c r="W146" t="str">
        <f>IF(P146="","",IF(SUMIFS(期初数据!$S$5:$S$14,期初数据!$P$5:$P$14,P146)+SUMIFS(采购录入!$G$4:$G$203,采购录入!$D$4:$D$203,P146,采购录入!$A$4:$A$203,"&lt;="&amp;EOMONTH(首页!$B$4,0))-SUMIFS(销售录入!$G$4:$G$203,销售录入!$D$4:$D$203,P146,销售录入!$A$4:$A$203,"&lt;="&amp;EOMONTH(首页!$B$4,0))&lt;&gt;0,"显示",IF(COUNTIFS(采购录入!$D$4:$D$203,P146,采购录入!$B$4:$B$203,TEXT(首页!$B$4,"yyyy-mm"))+COUNTIFS(销售录入!$D$4:$D$203,P146,销售录入!$B$4:$B$203,TEXT(首页!$B$4,"yyyy-mm"))&gt;0,"显示","")))</f>
        <v/>
      </c>
    </row>
    <row r="147" spans="23:23">
      <c r="W147" t="str">
        <f>IF(P147="","",IF(SUMIFS(期初数据!$S$5:$S$14,期初数据!$P$5:$P$14,P147)+SUMIFS(采购录入!$G$4:$G$203,采购录入!$D$4:$D$203,P147,采购录入!$A$4:$A$203,"&lt;="&amp;EOMONTH(首页!$B$4,0))-SUMIFS(销售录入!$G$4:$G$203,销售录入!$D$4:$D$203,P147,销售录入!$A$4:$A$203,"&lt;="&amp;EOMONTH(首页!$B$4,0))&lt;&gt;0,"显示",IF(COUNTIFS(采购录入!$D$4:$D$203,P147,采购录入!$B$4:$B$203,TEXT(首页!$B$4,"yyyy-mm"))+COUNTIFS(销售录入!$D$4:$D$203,P147,销售录入!$B$4:$B$203,TEXT(首页!$B$4,"yyyy-mm"))&gt;0,"显示","")))</f>
        <v/>
      </c>
    </row>
    <row r="148" spans="23:23">
      <c r="W148" t="str">
        <f>IF(P148="","",IF(SUMIFS(期初数据!$S$5:$S$14,期初数据!$P$5:$P$14,P148)+SUMIFS(采购录入!$G$4:$G$203,采购录入!$D$4:$D$203,P148,采购录入!$A$4:$A$203,"&lt;="&amp;EOMONTH(首页!$B$4,0))-SUMIFS(销售录入!$G$4:$G$203,销售录入!$D$4:$D$203,P148,销售录入!$A$4:$A$203,"&lt;="&amp;EOMONTH(首页!$B$4,0))&lt;&gt;0,"显示",IF(COUNTIFS(采购录入!$D$4:$D$203,P148,采购录入!$B$4:$B$203,TEXT(首页!$B$4,"yyyy-mm"))+COUNTIFS(销售录入!$D$4:$D$203,P148,销售录入!$B$4:$B$203,TEXT(首页!$B$4,"yyyy-mm"))&gt;0,"显示","")))</f>
        <v/>
      </c>
    </row>
    <row r="149" spans="23:23">
      <c r="W149" t="str">
        <f>IF(P149="","",IF(SUMIFS(期初数据!$S$5:$S$14,期初数据!$P$5:$P$14,P149)+SUMIFS(采购录入!$G$4:$G$203,采购录入!$D$4:$D$203,P149,采购录入!$A$4:$A$203,"&lt;="&amp;EOMONTH(首页!$B$4,0))-SUMIFS(销售录入!$G$4:$G$203,销售录入!$D$4:$D$203,P149,销售录入!$A$4:$A$203,"&lt;="&amp;EOMONTH(首页!$B$4,0))&lt;&gt;0,"显示",IF(COUNTIFS(采购录入!$D$4:$D$203,P149,采购录入!$B$4:$B$203,TEXT(首页!$B$4,"yyyy-mm"))+COUNTIFS(销售录入!$D$4:$D$203,P149,销售录入!$B$4:$B$203,TEXT(首页!$B$4,"yyyy-mm"))&gt;0,"显示","")))</f>
        <v/>
      </c>
    </row>
    <row r="150" spans="23:23">
      <c r="W150" t="str">
        <f>IF(P150="","",IF(SUMIFS(期初数据!$S$5:$S$14,期初数据!$P$5:$P$14,P150)+SUMIFS(采购录入!$G$4:$G$203,采购录入!$D$4:$D$203,P150,采购录入!$A$4:$A$203,"&lt;="&amp;EOMONTH(首页!$B$4,0))-SUMIFS(销售录入!$G$4:$G$203,销售录入!$D$4:$D$203,P150,销售录入!$A$4:$A$203,"&lt;="&amp;EOMONTH(首页!$B$4,0))&lt;&gt;0,"显示",IF(COUNTIFS(采购录入!$D$4:$D$203,P150,采购录入!$B$4:$B$203,TEXT(首页!$B$4,"yyyy-mm"))+COUNTIFS(销售录入!$D$4:$D$203,P150,销售录入!$B$4:$B$203,TEXT(首页!$B$4,"yyyy-mm"))&gt;0,"显示","")))</f>
        <v/>
      </c>
    </row>
    <row r="151" spans="23:23">
      <c r="W151" t="str">
        <f>IF(P151="","",IF(SUMIFS(期初数据!$S$5:$S$14,期初数据!$P$5:$P$14,P151)+SUMIFS(采购录入!$G$4:$G$203,采购录入!$D$4:$D$203,P151,采购录入!$A$4:$A$203,"&lt;="&amp;EOMONTH(首页!$B$4,0))-SUMIFS(销售录入!$G$4:$G$203,销售录入!$D$4:$D$203,P151,销售录入!$A$4:$A$203,"&lt;="&amp;EOMONTH(首页!$B$4,0))&lt;&gt;0,"显示",IF(COUNTIFS(采购录入!$D$4:$D$203,P151,采购录入!$B$4:$B$203,TEXT(首页!$B$4,"yyyy-mm"))+COUNTIFS(销售录入!$D$4:$D$203,P151,销售录入!$B$4:$B$203,TEXT(首页!$B$4,"yyyy-mm"))&gt;0,"显示","")))</f>
        <v/>
      </c>
    </row>
    <row r="152" spans="23:23">
      <c r="W152" t="str">
        <f>IF(P152="","",IF(SUMIFS(期初数据!$S$5:$S$14,期初数据!$P$5:$P$14,P152)+SUMIFS(采购录入!$G$4:$G$203,采购录入!$D$4:$D$203,P152,采购录入!$A$4:$A$203,"&lt;="&amp;EOMONTH(首页!$B$4,0))-SUMIFS(销售录入!$G$4:$G$203,销售录入!$D$4:$D$203,P152,销售录入!$A$4:$A$203,"&lt;="&amp;EOMONTH(首页!$B$4,0))&lt;&gt;0,"显示",IF(COUNTIFS(采购录入!$D$4:$D$203,P152,采购录入!$B$4:$B$203,TEXT(首页!$B$4,"yyyy-mm"))+COUNTIFS(销售录入!$D$4:$D$203,P152,销售录入!$B$4:$B$203,TEXT(首页!$B$4,"yyyy-mm"))&gt;0,"显示","")))</f>
        <v/>
      </c>
    </row>
    <row r="153" spans="23:23">
      <c r="W153" t="str">
        <f>IF(P153="","",IF(SUMIFS(期初数据!$S$5:$S$14,期初数据!$P$5:$P$14,P153)+SUMIFS(采购录入!$G$4:$G$203,采购录入!$D$4:$D$203,P153,采购录入!$A$4:$A$203,"&lt;="&amp;EOMONTH(首页!$B$4,0))-SUMIFS(销售录入!$G$4:$G$203,销售录入!$D$4:$D$203,P153,销售录入!$A$4:$A$203,"&lt;="&amp;EOMONTH(首页!$B$4,0))&lt;&gt;0,"显示",IF(COUNTIFS(采购录入!$D$4:$D$203,P153,采购录入!$B$4:$B$203,TEXT(首页!$B$4,"yyyy-mm"))+COUNTIFS(销售录入!$D$4:$D$203,P153,销售录入!$B$4:$B$203,TEXT(首页!$B$4,"yyyy-mm"))&gt;0,"显示","")))</f>
        <v/>
      </c>
    </row>
    <row r="154" spans="23:23">
      <c r="W154" t="str">
        <f>IF(P154="","",IF(SUMIFS(期初数据!$S$5:$S$14,期初数据!$P$5:$P$14,P154)+SUMIFS(采购录入!$G$4:$G$203,采购录入!$D$4:$D$203,P154,采购录入!$A$4:$A$203,"&lt;="&amp;EOMONTH(首页!$B$4,0))-SUMIFS(销售录入!$G$4:$G$203,销售录入!$D$4:$D$203,P154,销售录入!$A$4:$A$203,"&lt;="&amp;EOMONTH(首页!$B$4,0))&lt;&gt;0,"显示",IF(COUNTIFS(采购录入!$D$4:$D$203,P154,采购录入!$B$4:$B$203,TEXT(首页!$B$4,"yyyy-mm"))+COUNTIFS(销售录入!$D$4:$D$203,P154,销售录入!$B$4:$B$203,TEXT(首页!$B$4,"yyyy-mm"))&gt;0,"显示","")))</f>
        <v/>
      </c>
    </row>
    <row r="155" spans="23:23">
      <c r="W155" t="str">
        <f>IF(P155="","",IF(SUMIFS(期初数据!$S$5:$S$14,期初数据!$P$5:$P$14,P155)+SUMIFS(采购录入!$G$4:$G$203,采购录入!$D$4:$D$203,P155,采购录入!$A$4:$A$203,"&lt;="&amp;EOMONTH(首页!$B$4,0))-SUMIFS(销售录入!$G$4:$G$203,销售录入!$D$4:$D$203,P155,销售录入!$A$4:$A$203,"&lt;="&amp;EOMONTH(首页!$B$4,0))&lt;&gt;0,"显示",IF(COUNTIFS(采购录入!$D$4:$D$203,P155,采购录入!$B$4:$B$203,TEXT(首页!$B$4,"yyyy-mm"))+COUNTIFS(销售录入!$D$4:$D$203,P155,销售录入!$B$4:$B$203,TEXT(首页!$B$4,"yyyy-mm"))&gt;0,"显示","")))</f>
        <v/>
      </c>
    </row>
    <row r="156" spans="23:23">
      <c r="W156" t="str">
        <f>IF(P156="","",IF(SUMIFS(期初数据!$S$5:$S$14,期初数据!$P$5:$P$14,P156)+SUMIFS(采购录入!$G$4:$G$203,采购录入!$D$4:$D$203,P156,采购录入!$A$4:$A$203,"&lt;="&amp;EOMONTH(首页!$B$4,0))-SUMIFS(销售录入!$G$4:$G$203,销售录入!$D$4:$D$203,P156,销售录入!$A$4:$A$203,"&lt;="&amp;EOMONTH(首页!$B$4,0))&lt;&gt;0,"显示",IF(COUNTIFS(采购录入!$D$4:$D$203,P156,采购录入!$B$4:$B$203,TEXT(首页!$B$4,"yyyy-mm"))+COUNTIFS(销售录入!$D$4:$D$203,P156,销售录入!$B$4:$B$203,TEXT(首页!$B$4,"yyyy-mm"))&gt;0,"显示","")))</f>
        <v/>
      </c>
    </row>
    <row r="157" spans="23:23">
      <c r="W157" t="str">
        <f>IF(P157="","",IF(SUMIFS(期初数据!$S$5:$S$14,期初数据!$P$5:$P$14,P157)+SUMIFS(采购录入!$G$4:$G$203,采购录入!$D$4:$D$203,P157,采购录入!$A$4:$A$203,"&lt;="&amp;EOMONTH(首页!$B$4,0))-SUMIFS(销售录入!$G$4:$G$203,销售录入!$D$4:$D$203,P157,销售录入!$A$4:$A$203,"&lt;="&amp;EOMONTH(首页!$B$4,0))&lt;&gt;0,"显示",IF(COUNTIFS(采购录入!$D$4:$D$203,P157,采购录入!$B$4:$B$203,TEXT(首页!$B$4,"yyyy-mm"))+COUNTIFS(销售录入!$D$4:$D$203,P157,销售录入!$B$4:$B$203,TEXT(首页!$B$4,"yyyy-mm"))&gt;0,"显示","")))</f>
        <v/>
      </c>
    </row>
    <row r="158" spans="23:23">
      <c r="W158" t="str">
        <f>IF(P158="","",IF(SUMIFS(期初数据!$S$5:$S$14,期初数据!$P$5:$P$14,P158)+SUMIFS(采购录入!$G$4:$G$203,采购录入!$D$4:$D$203,P158,采购录入!$A$4:$A$203,"&lt;="&amp;EOMONTH(首页!$B$4,0))-SUMIFS(销售录入!$G$4:$G$203,销售录入!$D$4:$D$203,P158,销售录入!$A$4:$A$203,"&lt;="&amp;EOMONTH(首页!$B$4,0))&lt;&gt;0,"显示",IF(COUNTIFS(采购录入!$D$4:$D$203,P158,采购录入!$B$4:$B$203,TEXT(首页!$B$4,"yyyy-mm"))+COUNTIFS(销售录入!$D$4:$D$203,P158,销售录入!$B$4:$B$203,TEXT(首页!$B$4,"yyyy-mm"))&gt;0,"显示","")))</f>
        <v/>
      </c>
    </row>
    <row r="159" spans="23:23">
      <c r="W159" t="str">
        <f>IF(P159="","",IF(SUMIFS(期初数据!$S$5:$S$14,期初数据!$P$5:$P$14,P159)+SUMIFS(采购录入!$G$4:$G$203,采购录入!$D$4:$D$203,P159,采购录入!$A$4:$A$203,"&lt;="&amp;EOMONTH(首页!$B$4,0))-SUMIFS(销售录入!$G$4:$G$203,销售录入!$D$4:$D$203,P159,销售录入!$A$4:$A$203,"&lt;="&amp;EOMONTH(首页!$B$4,0))&lt;&gt;0,"显示",IF(COUNTIFS(采购录入!$D$4:$D$203,P159,采购录入!$B$4:$B$203,TEXT(首页!$B$4,"yyyy-mm"))+COUNTIFS(销售录入!$D$4:$D$203,P159,销售录入!$B$4:$B$203,TEXT(首页!$B$4,"yyyy-mm"))&gt;0,"显示","")))</f>
        <v/>
      </c>
    </row>
    <row r="160" spans="23:23">
      <c r="W160" t="str">
        <f>IF(P160="","",IF(SUMIFS(期初数据!$S$5:$S$14,期初数据!$P$5:$P$14,P160)+SUMIFS(采购录入!$G$4:$G$203,采购录入!$D$4:$D$203,P160,采购录入!$A$4:$A$203,"&lt;="&amp;EOMONTH(首页!$B$4,0))-SUMIFS(销售录入!$G$4:$G$203,销售录入!$D$4:$D$203,P160,销售录入!$A$4:$A$203,"&lt;="&amp;EOMONTH(首页!$B$4,0))&lt;&gt;0,"显示",IF(COUNTIFS(采购录入!$D$4:$D$203,P160,采购录入!$B$4:$B$203,TEXT(首页!$B$4,"yyyy-mm"))+COUNTIFS(销售录入!$D$4:$D$203,P160,销售录入!$B$4:$B$203,TEXT(首页!$B$4,"yyyy-mm"))&gt;0,"显示","")))</f>
        <v/>
      </c>
    </row>
    <row r="161" spans="23:23">
      <c r="W161" t="str">
        <f>IF(P161="","",IF(SUMIFS(期初数据!$S$5:$S$14,期初数据!$P$5:$P$14,P161)+SUMIFS(采购录入!$G$4:$G$203,采购录入!$D$4:$D$203,P161,采购录入!$A$4:$A$203,"&lt;="&amp;EOMONTH(首页!$B$4,0))-SUMIFS(销售录入!$G$4:$G$203,销售录入!$D$4:$D$203,P161,销售录入!$A$4:$A$203,"&lt;="&amp;EOMONTH(首页!$B$4,0))&lt;&gt;0,"显示",IF(COUNTIFS(采购录入!$D$4:$D$203,P161,采购录入!$B$4:$B$203,TEXT(首页!$B$4,"yyyy-mm"))+COUNTIFS(销售录入!$D$4:$D$203,P161,销售录入!$B$4:$B$203,TEXT(首页!$B$4,"yyyy-mm"))&gt;0,"显示","")))</f>
        <v/>
      </c>
    </row>
    <row r="162" spans="23:23">
      <c r="W162" t="str">
        <f>IF(P162="","",IF(SUMIFS(期初数据!$S$5:$S$14,期初数据!$P$5:$P$14,P162)+SUMIFS(采购录入!$G$4:$G$203,采购录入!$D$4:$D$203,P162,采购录入!$A$4:$A$203,"&lt;="&amp;EOMONTH(首页!$B$4,0))-SUMIFS(销售录入!$G$4:$G$203,销售录入!$D$4:$D$203,P162,销售录入!$A$4:$A$203,"&lt;="&amp;EOMONTH(首页!$B$4,0))&lt;&gt;0,"显示",IF(COUNTIFS(采购录入!$D$4:$D$203,P162,采购录入!$B$4:$B$203,TEXT(首页!$B$4,"yyyy-mm"))+COUNTIFS(销售录入!$D$4:$D$203,P162,销售录入!$B$4:$B$203,TEXT(首页!$B$4,"yyyy-mm"))&gt;0,"显示","")))</f>
        <v/>
      </c>
    </row>
    <row r="163" spans="23:23">
      <c r="W163" t="str">
        <f>IF(P163="","",IF(SUMIFS(期初数据!$S$5:$S$14,期初数据!$P$5:$P$14,P163)+SUMIFS(采购录入!$G$4:$G$203,采购录入!$D$4:$D$203,P163,采购录入!$A$4:$A$203,"&lt;="&amp;EOMONTH(首页!$B$4,0))-SUMIFS(销售录入!$G$4:$G$203,销售录入!$D$4:$D$203,P163,销售录入!$A$4:$A$203,"&lt;="&amp;EOMONTH(首页!$B$4,0))&lt;&gt;0,"显示",IF(COUNTIFS(采购录入!$D$4:$D$203,P163,采购录入!$B$4:$B$203,TEXT(首页!$B$4,"yyyy-mm"))+COUNTIFS(销售录入!$D$4:$D$203,P163,销售录入!$B$4:$B$203,TEXT(首页!$B$4,"yyyy-mm"))&gt;0,"显示","")))</f>
        <v/>
      </c>
    </row>
    <row r="164" spans="23:23">
      <c r="W164" t="str">
        <f>IF(P164="","",IF(SUMIFS(期初数据!$S$5:$S$14,期初数据!$P$5:$P$14,P164)+SUMIFS(采购录入!$G$4:$G$203,采购录入!$D$4:$D$203,P164,采购录入!$A$4:$A$203,"&lt;="&amp;EOMONTH(首页!$B$4,0))-SUMIFS(销售录入!$G$4:$G$203,销售录入!$D$4:$D$203,P164,销售录入!$A$4:$A$203,"&lt;="&amp;EOMONTH(首页!$B$4,0))&lt;&gt;0,"显示",IF(COUNTIFS(采购录入!$D$4:$D$203,P164,采购录入!$B$4:$B$203,TEXT(首页!$B$4,"yyyy-mm"))+COUNTIFS(销售录入!$D$4:$D$203,P164,销售录入!$B$4:$B$203,TEXT(首页!$B$4,"yyyy-mm"))&gt;0,"显示","")))</f>
        <v/>
      </c>
    </row>
    <row r="165" spans="23:23">
      <c r="W165" t="str">
        <f>IF(P165="","",IF(SUMIFS(期初数据!$S$5:$S$14,期初数据!$P$5:$P$14,P165)+SUMIFS(采购录入!$G$4:$G$203,采购录入!$D$4:$D$203,P165,采购录入!$A$4:$A$203,"&lt;="&amp;EOMONTH(首页!$B$4,0))-SUMIFS(销售录入!$G$4:$G$203,销售录入!$D$4:$D$203,P165,销售录入!$A$4:$A$203,"&lt;="&amp;EOMONTH(首页!$B$4,0))&lt;&gt;0,"显示",IF(COUNTIFS(采购录入!$D$4:$D$203,P165,采购录入!$B$4:$B$203,TEXT(首页!$B$4,"yyyy-mm"))+COUNTIFS(销售录入!$D$4:$D$203,P165,销售录入!$B$4:$B$203,TEXT(首页!$B$4,"yyyy-mm"))&gt;0,"显示","")))</f>
        <v/>
      </c>
    </row>
    <row r="166" spans="23:23">
      <c r="W166" t="str">
        <f>IF(P166="","",IF(SUMIFS(期初数据!$S$5:$S$14,期初数据!$P$5:$P$14,P166)+SUMIFS(采购录入!$G$4:$G$203,采购录入!$D$4:$D$203,P166,采购录入!$A$4:$A$203,"&lt;="&amp;EOMONTH(首页!$B$4,0))-SUMIFS(销售录入!$G$4:$G$203,销售录入!$D$4:$D$203,P166,销售录入!$A$4:$A$203,"&lt;="&amp;EOMONTH(首页!$B$4,0))&lt;&gt;0,"显示",IF(COUNTIFS(采购录入!$D$4:$D$203,P166,采购录入!$B$4:$B$203,TEXT(首页!$B$4,"yyyy-mm"))+COUNTIFS(销售录入!$D$4:$D$203,P166,销售录入!$B$4:$B$203,TEXT(首页!$B$4,"yyyy-mm"))&gt;0,"显示","")))</f>
        <v/>
      </c>
    </row>
    <row r="167" spans="23:23">
      <c r="W167" t="str">
        <f>IF(P167="","",IF(SUMIFS(期初数据!$S$5:$S$14,期初数据!$P$5:$P$14,P167)+SUMIFS(采购录入!$G$4:$G$203,采购录入!$D$4:$D$203,P167,采购录入!$A$4:$A$203,"&lt;="&amp;EOMONTH(首页!$B$4,0))-SUMIFS(销售录入!$G$4:$G$203,销售录入!$D$4:$D$203,P167,销售录入!$A$4:$A$203,"&lt;="&amp;EOMONTH(首页!$B$4,0))&lt;&gt;0,"显示",IF(COUNTIFS(采购录入!$D$4:$D$203,P167,采购录入!$B$4:$B$203,TEXT(首页!$B$4,"yyyy-mm"))+COUNTIFS(销售录入!$D$4:$D$203,P167,销售录入!$B$4:$B$203,TEXT(首页!$B$4,"yyyy-mm"))&gt;0,"显示","")))</f>
        <v/>
      </c>
    </row>
    <row r="168" spans="23:23">
      <c r="W168" t="str">
        <f>IF(P168="","",IF(SUMIFS(期初数据!$S$5:$S$14,期初数据!$P$5:$P$14,P168)+SUMIFS(采购录入!$G$4:$G$203,采购录入!$D$4:$D$203,P168,采购录入!$A$4:$A$203,"&lt;="&amp;EOMONTH(首页!$B$4,0))-SUMIFS(销售录入!$G$4:$G$203,销售录入!$D$4:$D$203,P168,销售录入!$A$4:$A$203,"&lt;="&amp;EOMONTH(首页!$B$4,0))&lt;&gt;0,"显示",IF(COUNTIFS(采购录入!$D$4:$D$203,P168,采购录入!$B$4:$B$203,TEXT(首页!$B$4,"yyyy-mm"))+COUNTIFS(销售录入!$D$4:$D$203,P168,销售录入!$B$4:$B$203,TEXT(首页!$B$4,"yyyy-mm"))&gt;0,"显示","")))</f>
        <v/>
      </c>
    </row>
    <row r="169" spans="23:23">
      <c r="W169" t="str">
        <f>IF(P169="","",IF(SUMIFS(期初数据!$S$5:$S$14,期初数据!$P$5:$P$14,P169)+SUMIFS(采购录入!$G$4:$G$203,采购录入!$D$4:$D$203,P169,采购录入!$A$4:$A$203,"&lt;="&amp;EOMONTH(首页!$B$4,0))-SUMIFS(销售录入!$G$4:$G$203,销售录入!$D$4:$D$203,P169,销售录入!$A$4:$A$203,"&lt;="&amp;EOMONTH(首页!$B$4,0))&lt;&gt;0,"显示",IF(COUNTIFS(采购录入!$D$4:$D$203,P169,采购录入!$B$4:$B$203,TEXT(首页!$B$4,"yyyy-mm"))+COUNTIFS(销售录入!$D$4:$D$203,P169,销售录入!$B$4:$B$203,TEXT(首页!$B$4,"yyyy-mm"))&gt;0,"显示","")))</f>
        <v/>
      </c>
    </row>
    <row r="170" spans="23:23">
      <c r="W170" t="str">
        <f>IF(P170="","",IF(SUMIFS(期初数据!$S$5:$S$14,期初数据!$P$5:$P$14,P170)+SUMIFS(采购录入!$G$4:$G$203,采购录入!$D$4:$D$203,P170,采购录入!$A$4:$A$203,"&lt;="&amp;EOMONTH(首页!$B$4,0))-SUMIFS(销售录入!$G$4:$G$203,销售录入!$D$4:$D$203,P170,销售录入!$A$4:$A$203,"&lt;="&amp;EOMONTH(首页!$B$4,0))&lt;&gt;0,"显示",IF(COUNTIFS(采购录入!$D$4:$D$203,P170,采购录入!$B$4:$B$203,TEXT(首页!$B$4,"yyyy-mm"))+COUNTIFS(销售录入!$D$4:$D$203,P170,销售录入!$B$4:$B$203,TEXT(首页!$B$4,"yyyy-mm"))&gt;0,"显示","")))</f>
        <v/>
      </c>
    </row>
    <row r="171" spans="23:23">
      <c r="W171" t="str">
        <f>IF(P171="","",IF(SUMIFS(期初数据!$S$5:$S$14,期初数据!$P$5:$P$14,P171)+SUMIFS(采购录入!$G$4:$G$203,采购录入!$D$4:$D$203,P171,采购录入!$A$4:$A$203,"&lt;="&amp;EOMONTH(首页!$B$4,0))-SUMIFS(销售录入!$G$4:$G$203,销售录入!$D$4:$D$203,P171,销售录入!$A$4:$A$203,"&lt;="&amp;EOMONTH(首页!$B$4,0))&lt;&gt;0,"显示",IF(COUNTIFS(采购录入!$D$4:$D$203,P171,采购录入!$B$4:$B$203,TEXT(首页!$B$4,"yyyy-mm"))+COUNTIFS(销售录入!$D$4:$D$203,P171,销售录入!$B$4:$B$203,TEXT(首页!$B$4,"yyyy-mm"))&gt;0,"显示","")))</f>
        <v/>
      </c>
    </row>
    <row r="172" spans="23:23">
      <c r="W172" t="str">
        <f>IF(P172="","",IF(SUMIFS(期初数据!$S$5:$S$14,期初数据!$P$5:$P$14,P172)+SUMIFS(采购录入!$G$4:$G$203,采购录入!$D$4:$D$203,P172,采购录入!$A$4:$A$203,"&lt;="&amp;EOMONTH(首页!$B$4,0))-SUMIFS(销售录入!$G$4:$G$203,销售录入!$D$4:$D$203,P172,销售录入!$A$4:$A$203,"&lt;="&amp;EOMONTH(首页!$B$4,0))&lt;&gt;0,"显示",IF(COUNTIFS(采购录入!$D$4:$D$203,P172,采购录入!$B$4:$B$203,TEXT(首页!$B$4,"yyyy-mm"))+COUNTIFS(销售录入!$D$4:$D$203,P172,销售录入!$B$4:$B$203,TEXT(首页!$B$4,"yyyy-mm"))&gt;0,"显示","")))</f>
        <v/>
      </c>
    </row>
    <row r="173" spans="23:23">
      <c r="W173" t="str">
        <f>IF(P173="","",IF(SUMIFS(期初数据!$S$5:$S$14,期初数据!$P$5:$P$14,P173)+SUMIFS(采购录入!$G$4:$G$203,采购录入!$D$4:$D$203,P173,采购录入!$A$4:$A$203,"&lt;="&amp;EOMONTH(首页!$B$4,0))-SUMIFS(销售录入!$G$4:$G$203,销售录入!$D$4:$D$203,P173,销售录入!$A$4:$A$203,"&lt;="&amp;EOMONTH(首页!$B$4,0))&lt;&gt;0,"显示",IF(COUNTIFS(采购录入!$D$4:$D$203,P173,采购录入!$B$4:$B$203,TEXT(首页!$B$4,"yyyy-mm"))+COUNTIFS(销售录入!$D$4:$D$203,P173,销售录入!$B$4:$B$203,TEXT(首页!$B$4,"yyyy-mm"))&gt;0,"显示","")))</f>
        <v/>
      </c>
    </row>
    <row r="174" spans="23:23">
      <c r="W174" t="str">
        <f>IF(P174="","",IF(SUMIFS(期初数据!$S$5:$S$14,期初数据!$P$5:$P$14,P174)+SUMIFS(采购录入!$G$4:$G$203,采购录入!$D$4:$D$203,P174,采购录入!$A$4:$A$203,"&lt;="&amp;EOMONTH(首页!$B$4,0))-SUMIFS(销售录入!$G$4:$G$203,销售录入!$D$4:$D$203,P174,销售录入!$A$4:$A$203,"&lt;="&amp;EOMONTH(首页!$B$4,0))&lt;&gt;0,"显示",IF(COUNTIFS(采购录入!$D$4:$D$203,P174,采购录入!$B$4:$B$203,TEXT(首页!$B$4,"yyyy-mm"))+COUNTIFS(销售录入!$D$4:$D$203,P174,销售录入!$B$4:$B$203,TEXT(首页!$B$4,"yyyy-mm"))&gt;0,"显示","")))</f>
        <v/>
      </c>
    </row>
    <row r="175" spans="23:23">
      <c r="W175" t="str">
        <f>IF(P175="","",IF(SUMIFS(期初数据!$S$5:$S$14,期初数据!$P$5:$P$14,P175)+SUMIFS(采购录入!$G$4:$G$203,采购录入!$D$4:$D$203,P175,采购录入!$A$4:$A$203,"&lt;="&amp;EOMONTH(首页!$B$4,0))-SUMIFS(销售录入!$G$4:$G$203,销售录入!$D$4:$D$203,P175,销售录入!$A$4:$A$203,"&lt;="&amp;EOMONTH(首页!$B$4,0))&lt;&gt;0,"显示",IF(COUNTIFS(采购录入!$D$4:$D$203,P175,采购录入!$B$4:$B$203,TEXT(首页!$B$4,"yyyy-mm"))+COUNTIFS(销售录入!$D$4:$D$203,P175,销售录入!$B$4:$B$203,TEXT(首页!$B$4,"yyyy-mm"))&gt;0,"显示","")))</f>
        <v/>
      </c>
    </row>
    <row r="176" spans="23:23">
      <c r="W176" t="str">
        <f>IF(P176="","",IF(SUMIFS(期初数据!$S$5:$S$14,期初数据!$P$5:$P$14,P176)+SUMIFS(采购录入!$G$4:$G$203,采购录入!$D$4:$D$203,P176,采购录入!$A$4:$A$203,"&lt;="&amp;EOMONTH(首页!$B$4,0))-SUMIFS(销售录入!$G$4:$G$203,销售录入!$D$4:$D$203,P176,销售录入!$A$4:$A$203,"&lt;="&amp;EOMONTH(首页!$B$4,0))&lt;&gt;0,"显示",IF(COUNTIFS(采购录入!$D$4:$D$203,P176,采购录入!$B$4:$B$203,TEXT(首页!$B$4,"yyyy-mm"))+COUNTIFS(销售录入!$D$4:$D$203,P176,销售录入!$B$4:$B$203,TEXT(首页!$B$4,"yyyy-mm"))&gt;0,"显示","")))</f>
        <v/>
      </c>
    </row>
    <row r="177" spans="23:23">
      <c r="W177" t="str">
        <f>IF(P177="","",IF(SUMIFS(期初数据!$S$5:$S$14,期初数据!$P$5:$P$14,P177)+SUMIFS(采购录入!$G$4:$G$203,采购录入!$D$4:$D$203,P177,采购录入!$A$4:$A$203,"&lt;="&amp;EOMONTH(首页!$B$4,0))-SUMIFS(销售录入!$G$4:$G$203,销售录入!$D$4:$D$203,P177,销售录入!$A$4:$A$203,"&lt;="&amp;EOMONTH(首页!$B$4,0))&lt;&gt;0,"显示",IF(COUNTIFS(采购录入!$D$4:$D$203,P177,采购录入!$B$4:$B$203,TEXT(首页!$B$4,"yyyy-mm"))+COUNTIFS(销售录入!$D$4:$D$203,P177,销售录入!$B$4:$B$203,TEXT(首页!$B$4,"yyyy-mm"))&gt;0,"显示","")))</f>
        <v/>
      </c>
    </row>
    <row r="178" spans="23:23">
      <c r="W178" t="str">
        <f>IF(P178="","",IF(SUMIFS(期初数据!$S$5:$S$14,期初数据!$P$5:$P$14,P178)+SUMIFS(采购录入!$G$4:$G$203,采购录入!$D$4:$D$203,P178,采购录入!$A$4:$A$203,"&lt;="&amp;EOMONTH(首页!$B$4,0))-SUMIFS(销售录入!$G$4:$G$203,销售录入!$D$4:$D$203,P178,销售录入!$A$4:$A$203,"&lt;="&amp;EOMONTH(首页!$B$4,0))&lt;&gt;0,"显示",IF(COUNTIFS(采购录入!$D$4:$D$203,P178,采购录入!$B$4:$B$203,TEXT(首页!$B$4,"yyyy-mm"))+COUNTIFS(销售录入!$D$4:$D$203,P178,销售录入!$B$4:$B$203,TEXT(首页!$B$4,"yyyy-mm"))&gt;0,"显示","")))</f>
        <v/>
      </c>
    </row>
    <row r="179" spans="23:23">
      <c r="W179" t="str">
        <f>IF(P179="","",IF(SUMIFS(期初数据!$S$5:$S$14,期初数据!$P$5:$P$14,P179)+SUMIFS(采购录入!$G$4:$G$203,采购录入!$D$4:$D$203,P179,采购录入!$A$4:$A$203,"&lt;="&amp;EOMONTH(首页!$B$4,0))-SUMIFS(销售录入!$G$4:$G$203,销售录入!$D$4:$D$203,P179,销售录入!$A$4:$A$203,"&lt;="&amp;EOMONTH(首页!$B$4,0))&lt;&gt;0,"显示",IF(COUNTIFS(采购录入!$D$4:$D$203,P179,采购录入!$B$4:$B$203,TEXT(首页!$B$4,"yyyy-mm"))+COUNTIFS(销售录入!$D$4:$D$203,P179,销售录入!$B$4:$B$203,TEXT(首页!$B$4,"yyyy-mm"))&gt;0,"显示","")))</f>
        <v/>
      </c>
    </row>
    <row r="180" spans="23:23">
      <c r="W180" t="str">
        <f>IF(P180="","",IF(SUMIFS(期初数据!$S$5:$S$14,期初数据!$P$5:$P$14,P180)+SUMIFS(采购录入!$G$4:$G$203,采购录入!$D$4:$D$203,P180,采购录入!$A$4:$A$203,"&lt;="&amp;EOMONTH(首页!$B$4,0))-SUMIFS(销售录入!$G$4:$G$203,销售录入!$D$4:$D$203,P180,销售录入!$A$4:$A$203,"&lt;="&amp;EOMONTH(首页!$B$4,0))&lt;&gt;0,"显示",IF(COUNTIFS(采购录入!$D$4:$D$203,P180,采购录入!$B$4:$B$203,TEXT(首页!$B$4,"yyyy-mm"))+COUNTIFS(销售录入!$D$4:$D$203,P180,销售录入!$B$4:$B$203,TEXT(首页!$B$4,"yyyy-mm"))&gt;0,"显示","")))</f>
        <v/>
      </c>
    </row>
    <row r="181" spans="23:23">
      <c r="W181" t="str">
        <f>IF(P181="","",IF(SUMIFS(期初数据!$S$5:$S$14,期初数据!$P$5:$P$14,P181)+SUMIFS(采购录入!$G$4:$G$203,采购录入!$D$4:$D$203,P181,采购录入!$A$4:$A$203,"&lt;="&amp;EOMONTH(首页!$B$4,0))-SUMIFS(销售录入!$G$4:$G$203,销售录入!$D$4:$D$203,P181,销售录入!$A$4:$A$203,"&lt;="&amp;EOMONTH(首页!$B$4,0))&lt;&gt;0,"显示",IF(COUNTIFS(采购录入!$D$4:$D$203,P181,采购录入!$B$4:$B$203,TEXT(首页!$B$4,"yyyy-mm"))+COUNTIFS(销售录入!$D$4:$D$203,P181,销售录入!$B$4:$B$203,TEXT(首页!$B$4,"yyyy-mm"))&gt;0,"显示","")))</f>
        <v/>
      </c>
    </row>
    <row r="182" spans="23:23">
      <c r="W182" t="str">
        <f>IF(P182="","",IF(SUMIFS(期初数据!$S$5:$S$14,期初数据!$P$5:$P$14,P182)+SUMIFS(采购录入!$G$4:$G$203,采购录入!$D$4:$D$203,P182,采购录入!$A$4:$A$203,"&lt;="&amp;EOMONTH(首页!$B$4,0))-SUMIFS(销售录入!$G$4:$G$203,销售录入!$D$4:$D$203,P182,销售录入!$A$4:$A$203,"&lt;="&amp;EOMONTH(首页!$B$4,0))&lt;&gt;0,"显示",IF(COUNTIFS(采购录入!$D$4:$D$203,P182,采购录入!$B$4:$B$203,TEXT(首页!$B$4,"yyyy-mm"))+COUNTIFS(销售录入!$D$4:$D$203,P182,销售录入!$B$4:$B$203,TEXT(首页!$B$4,"yyyy-mm"))&gt;0,"显示","")))</f>
        <v/>
      </c>
    </row>
    <row r="183" spans="23:23">
      <c r="W183" t="str">
        <f>IF(P183="","",IF(SUMIFS(期初数据!$S$5:$S$14,期初数据!$P$5:$P$14,P183)+SUMIFS(采购录入!$G$4:$G$203,采购录入!$D$4:$D$203,P183,采购录入!$A$4:$A$203,"&lt;="&amp;EOMONTH(首页!$B$4,0))-SUMIFS(销售录入!$G$4:$G$203,销售录入!$D$4:$D$203,P183,销售录入!$A$4:$A$203,"&lt;="&amp;EOMONTH(首页!$B$4,0))&lt;&gt;0,"显示",IF(COUNTIFS(采购录入!$D$4:$D$203,P183,采购录入!$B$4:$B$203,TEXT(首页!$B$4,"yyyy-mm"))+COUNTIFS(销售录入!$D$4:$D$203,P183,销售录入!$B$4:$B$203,TEXT(首页!$B$4,"yyyy-mm"))&gt;0,"显示","")))</f>
        <v/>
      </c>
    </row>
    <row r="184" spans="23:23">
      <c r="W184" t="str">
        <f>IF(P184="","",IF(SUMIFS(期初数据!$S$5:$S$14,期初数据!$P$5:$P$14,P184)+SUMIFS(采购录入!$G$4:$G$203,采购录入!$D$4:$D$203,P184,采购录入!$A$4:$A$203,"&lt;="&amp;EOMONTH(首页!$B$4,0))-SUMIFS(销售录入!$G$4:$G$203,销售录入!$D$4:$D$203,P184,销售录入!$A$4:$A$203,"&lt;="&amp;EOMONTH(首页!$B$4,0))&lt;&gt;0,"显示",IF(COUNTIFS(采购录入!$D$4:$D$203,P184,采购录入!$B$4:$B$203,TEXT(首页!$B$4,"yyyy-mm"))+COUNTIFS(销售录入!$D$4:$D$203,P184,销售录入!$B$4:$B$203,TEXT(首页!$B$4,"yyyy-mm"))&gt;0,"显示","")))</f>
        <v/>
      </c>
    </row>
    <row r="185" spans="23:23">
      <c r="W185" t="str">
        <f>IF(P185="","",IF(SUMIFS(期初数据!$S$5:$S$14,期初数据!$P$5:$P$14,P185)+SUMIFS(采购录入!$G$4:$G$203,采购录入!$D$4:$D$203,P185,采购录入!$A$4:$A$203,"&lt;="&amp;EOMONTH(首页!$B$4,0))-SUMIFS(销售录入!$G$4:$G$203,销售录入!$D$4:$D$203,P185,销售录入!$A$4:$A$203,"&lt;="&amp;EOMONTH(首页!$B$4,0))&lt;&gt;0,"显示",IF(COUNTIFS(采购录入!$D$4:$D$203,P185,采购录入!$B$4:$B$203,TEXT(首页!$B$4,"yyyy-mm"))+COUNTIFS(销售录入!$D$4:$D$203,P185,销售录入!$B$4:$B$203,TEXT(首页!$B$4,"yyyy-mm"))&gt;0,"显示","")))</f>
        <v/>
      </c>
    </row>
    <row r="186" spans="23:23">
      <c r="W186" t="str">
        <f>IF(P186="","",IF(SUMIFS(期初数据!$S$5:$S$14,期初数据!$P$5:$P$14,P186)+SUMIFS(采购录入!$G$4:$G$203,采购录入!$D$4:$D$203,P186,采购录入!$A$4:$A$203,"&lt;="&amp;EOMONTH(首页!$B$4,0))-SUMIFS(销售录入!$G$4:$G$203,销售录入!$D$4:$D$203,P186,销售录入!$A$4:$A$203,"&lt;="&amp;EOMONTH(首页!$B$4,0))&lt;&gt;0,"显示",IF(COUNTIFS(采购录入!$D$4:$D$203,P186,采购录入!$B$4:$B$203,TEXT(首页!$B$4,"yyyy-mm"))+COUNTIFS(销售录入!$D$4:$D$203,P186,销售录入!$B$4:$B$203,TEXT(首页!$B$4,"yyyy-mm"))&gt;0,"显示","")))</f>
        <v/>
      </c>
    </row>
    <row r="187" spans="23:23">
      <c r="W187" t="str">
        <f>IF(P187="","",IF(SUMIFS(期初数据!$S$5:$S$14,期初数据!$P$5:$P$14,P187)+SUMIFS(采购录入!$G$4:$G$203,采购录入!$D$4:$D$203,P187,采购录入!$A$4:$A$203,"&lt;="&amp;EOMONTH(首页!$B$4,0))-SUMIFS(销售录入!$G$4:$G$203,销售录入!$D$4:$D$203,P187,销售录入!$A$4:$A$203,"&lt;="&amp;EOMONTH(首页!$B$4,0))&lt;&gt;0,"显示",IF(COUNTIFS(采购录入!$D$4:$D$203,P187,采购录入!$B$4:$B$203,TEXT(首页!$B$4,"yyyy-mm"))+COUNTIFS(销售录入!$D$4:$D$203,P187,销售录入!$B$4:$B$203,TEXT(首页!$B$4,"yyyy-mm"))&gt;0,"显示","")))</f>
        <v/>
      </c>
    </row>
    <row r="188" spans="23:23">
      <c r="W188" t="str">
        <f>IF(P188="","",IF(SUMIFS(期初数据!$S$5:$S$14,期初数据!$P$5:$P$14,P188)+SUMIFS(采购录入!$G$4:$G$203,采购录入!$D$4:$D$203,P188,采购录入!$A$4:$A$203,"&lt;="&amp;EOMONTH(首页!$B$4,0))-SUMIFS(销售录入!$G$4:$G$203,销售录入!$D$4:$D$203,P188,销售录入!$A$4:$A$203,"&lt;="&amp;EOMONTH(首页!$B$4,0))&lt;&gt;0,"显示",IF(COUNTIFS(采购录入!$D$4:$D$203,P188,采购录入!$B$4:$B$203,TEXT(首页!$B$4,"yyyy-mm"))+COUNTIFS(销售录入!$D$4:$D$203,P188,销售录入!$B$4:$B$203,TEXT(首页!$B$4,"yyyy-mm"))&gt;0,"显示","")))</f>
        <v/>
      </c>
    </row>
    <row r="189" spans="23:23">
      <c r="W189" t="str">
        <f>IF(P189="","",IF(SUMIFS(期初数据!$S$5:$S$14,期初数据!$P$5:$P$14,P189)+SUMIFS(采购录入!$G$4:$G$203,采购录入!$D$4:$D$203,P189,采购录入!$A$4:$A$203,"&lt;="&amp;EOMONTH(首页!$B$4,0))-SUMIFS(销售录入!$G$4:$G$203,销售录入!$D$4:$D$203,P189,销售录入!$A$4:$A$203,"&lt;="&amp;EOMONTH(首页!$B$4,0))&lt;&gt;0,"显示",IF(COUNTIFS(采购录入!$D$4:$D$203,P189,采购录入!$B$4:$B$203,TEXT(首页!$B$4,"yyyy-mm"))+COUNTIFS(销售录入!$D$4:$D$203,P189,销售录入!$B$4:$B$203,TEXT(首页!$B$4,"yyyy-mm"))&gt;0,"显示","")))</f>
        <v/>
      </c>
    </row>
    <row r="190" spans="23:23">
      <c r="W190" t="str">
        <f>IF(P190="","",IF(SUMIFS(期初数据!$S$5:$S$14,期初数据!$P$5:$P$14,P190)+SUMIFS(采购录入!$G$4:$G$203,采购录入!$D$4:$D$203,P190,采购录入!$A$4:$A$203,"&lt;="&amp;EOMONTH(首页!$B$4,0))-SUMIFS(销售录入!$G$4:$G$203,销售录入!$D$4:$D$203,P190,销售录入!$A$4:$A$203,"&lt;="&amp;EOMONTH(首页!$B$4,0))&lt;&gt;0,"显示",IF(COUNTIFS(采购录入!$D$4:$D$203,P190,采购录入!$B$4:$B$203,TEXT(首页!$B$4,"yyyy-mm"))+COUNTIFS(销售录入!$D$4:$D$203,P190,销售录入!$B$4:$B$203,TEXT(首页!$B$4,"yyyy-mm"))&gt;0,"显示","")))</f>
        <v/>
      </c>
    </row>
    <row r="191" spans="23:23">
      <c r="W191" t="str">
        <f>IF(P191="","",IF(SUMIFS(期初数据!$S$5:$S$14,期初数据!$P$5:$P$14,P191)+SUMIFS(采购录入!$G$4:$G$203,采购录入!$D$4:$D$203,P191,采购录入!$A$4:$A$203,"&lt;="&amp;EOMONTH(首页!$B$4,0))-SUMIFS(销售录入!$G$4:$G$203,销售录入!$D$4:$D$203,P191,销售录入!$A$4:$A$203,"&lt;="&amp;EOMONTH(首页!$B$4,0))&lt;&gt;0,"显示",IF(COUNTIFS(采购录入!$D$4:$D$203,P191,采购录入!$B$4:$B$203,TEXT(首页!$B$4,"yyyy-mm"))+COUNTIFS(销售录入!$D$4:$D$203,P191,销售录入!$B$4:$B$203,TEXT(首页!$B$4,"yyyy-mm"))&gt;0,"显示","")))</f>
        <v/>
      </c>
    </row>
    <row r="192" spans="23:23">
      <c r="W192" t="str">
        <f>IF(P192="","",IF(SUMIFS(期初数据!$S$5:$S$14,期初数据!$P$5:$P$14,P192)+SUMIFS(采购录入!$G$4:$G$203,采购录入!$D$4:$D$203,P192,采购录入!$A$4:$A$203,"&lt;="&amp;EOMONTH(首页!$B$4,0))-SUMIFS(销售录入!$G$4:$G$203,销售录入!$D$4:$D$203,P192,销售录入!$A$4:$A$203,"&lt;="&amp;EOMONTH(首页!$B$4,0))&lt;&gt;0,"显示",IF(COUNTIFS(采购录入!$D$4:$D$203,P192,采购录入!$B$4:$B$203,TEXT(首页!$B$4,"yyyy-mm"))+COUNTIFS(销售录入!$D$4:$D$203,P192,销售录入!$B$4:$B$203,TEXT(首页!$B$4,"yyyy-mm"))&gt;0,"显示","")))</f>
        <v/>
      </c>
    </row>
    <row r="193" spans="23:23">
      <c r="W193" t="str">
        <f>IF(P193="","",IF(SUMIFS(期初数据!$S$5:$S$14,期初数据!$P$5:$P$14,P193)+SUMIFS(采购录入!$G$4:$G$203,采购录入!$D$4:$D$203,P193,采购录入!$A$4:$A$203,"&lt;="&amp;EOMONTH(首页!$B$4,0))-SUMIFS(销售录入!$G$4:$G$203,销售录入!$D$4:$D$203,P193,销售录入!$A$4:$A$203,"&lt;="&amp;EOMONTH(首页!$B$4,0))&lt;&gt;0,"显示",IF(COUNTIFS(采购录入!$D$4:$D$203,P193,采购录入!$B$4:$B$203,TEXT(首页!$B$4,"yyyy-mm"))+COUNTIFS(销售录入!$D$4:$D$203,P193,销售录入!$B$4:$B$203,TEXT(首页!$B$4,"yyyy-mm"))&gt;0,"显示","")))</f>
        <v/>
      </c>
    </row>
    <row r="194" spans="23:23">
      <c r="W194" t="str">
        <f>IF(P194="","",IF(SUMIFS(期初数据!$S$5:$S$14,期初数据!$P$5:$P$14,P194)+SUMIFS(采购录入!$G$4:$G$203,采购录入!$D$4:$D$203,P194,采购录入!$A$4:$A$203,"&lt;="&amp;EOMONTH(首页!$B$4,0))-SUMIFS(销售录入!$G$4:$G$203,销售录入!$D$4:$D$203,P194,销售录入!$A$4:$A$203,"&lt;="&amp;EOMONTH(首页!$B$4,0))&lt;&gt;0,"显示",IF(COUNTIFS(采购录入!$D$4:$D$203,P194,采购录入!$B$4:$B$203,TEXT(首页!$B$4,"yyyy-mm"))+COUNTIFS(销售录入!$D$4:$D$203,P194,销售录入!$B$4:$B$203,TEXT(首页!$B$4,"yyyy-mm"))&gt;0,"显示","")))</f>
        <v/>
      </c>
    </row>
    <row r="195" spans="23:23">
      <c r="W195" t="str">
        <f>IF(P195="","",IF(SUMIFS(期初数据!$S$5:$S$14,期初数据!$P$5:$P$14,P195)+SUMIFS(采购录入!$G$4:$G$203,采购录入!$D$4:$D$203,P195,采购录入!$A$4:$A$203,"&lt;="&amp;EOMONTH(首页!$B$4,0))-SUMIFS(销售录入!$G$4:$G$203,销售录入!$D$4:$D$203,P195,销售录入!$A$4:$A$203,"&lt;="&amp;EOMONTH(首页!$B$4,0))&lt;&gt;0,"显示",IF(COUNTIFS(采购录入!$D$4:$D$203,P195,采购录入!$B$4:$B$203,TEXT(首页!$B$4,"yyyy-mm"))+COUNTIFS(销售录入!$D$4:$D$203,P195,销售录入!$B$4:$B$203,TEXT(首页!$B$4,"yyyy-mm"))&gt;0,"显示","")))</f>
        <v/>
      </c>
    </row>
    <row r="196" spans="23:23">
      <c r="W196" t="str">
        <f>IF(P196="","",IF(SUMIFS(期初数据!$S$5:$S$14,期初数据!$P$5:$P$14,P196)+SUMIFS(采购录入!$G$4:$G$203,采购录入!$D$4:$D$203,P196,采购录入!$A$4:$A$203,"&lt;="&amp;EOMONTH(首页!$B$4,0))-SUMIFS(销售录入!$G$4:$G$203,销售录入!$D$4:$D$203,P196,销售录入!$A$4:$A$203,"&lt;="&amp;EOMONTH(首页!$B$4,0))&lt;&gt;0,"显示",IF(COUNTIFS(采购录入!$D$4:$D$203,P196,采购录入!$B$4:$B$203,TEXT(首页!$B$4,"yyyy-mm"))+COUNTIFS(销售录入!$D$4:$D$203,P196,销售录入!$B$4:$B$203,TEXT(首页!$B$4,"yyyy-mm"))&gt;0,"显示","")))</f>
        <v/>
      </c>
    </row>
    <row r="197" spans="23:23">
      <c r="W197" t="str">
        <f>IF(P197="","",IF(SUMIFS(期初数据!$S$5:$S$14,期初数据!$P$5:$P$14,P197)+SUMIFS(采购录入!$G$4:$G$203,采购录入!$D$4:$D$203,P197,采购录入!$A$4:$A$203,"&lt;="&amp;EOMONTH(首页!$B$4,0))-SUMIFS(销售录入!$G$4:$G$203,销售录入!$D$4:$D$203,P197,销售录入!$A$4:$A$203,"&lt;="&amp;EOMONTH(首页!$B$4,0))&lt;&gt;0,"显示",IF(COUNTIFS(采购录入!$D$4:$D$203,P197,采购录入!$B$4:$B$203,TEXT(首页!$B$4,"yyyy-mm"))+COUNTIFS(销售录入!$D$4:$D$203,P197,销售录入!$B$4:$B$203,TEXT(首页!$B$4,"yyyy-mm"))&gt;0,"显示","")))</f>
        <v/>
      </c>
    </row>
    <row r="198" spans="23:23">
      <c r="W198" t="str">
        <f>IF(P198="","",IF(SUMIFS(期初数据!$S$5:$S$14,期初数据!$P$5:$P$14,P198)+SUMIFS(采购录入!$G$4:$G$203,采购录入!$D$4:$D$203,P198,采购录入!$A$4:$A$203,"&lt;="&amp;EOMONTH(首页!$B$4,0))-SUMIFS(销售录入!$G$4:$G$203,销售录入!$D$4:$D$203,P198,销售录入!$A$4:$A$203,"&lt;="&amp;EOMONTH(首页!$B$4,0))&lt;&gt;0,"显示",IF(COUNTIFS(采购录入!$D$4:$D$203,P198,采购录入!$B$4:$B$203,TEXT(首页!$B$4,"yyyy-mm"))+COUNTIFS(销售录入!$D$4:$D$203,P198,销售录入!$B$4:$B$203,TEXT(首页!$B$4,"yyyy-mm"))&gt;0,"显示","")))</f>
        <v/>
      </c>
    </row>
    <row r="199" spans="23:23">
      <c r="W199" t="str">
        <f>IF(P199="","",IF(SUMIFS(期初数据!$S$5:$S$14,期初数据!$P$5:$P$14,P199)+SUMIFS(采购录入!$G$4:$G$203,采购录入!$D$4:$D$203,P199,采购录入!$A$4:$A$203,"&lt;="&amp;EOMONTH(首页!$B$4,0))-SUMIFS(销售录入!$G$4:$G$203,销售录入!$D$4:$D$203,P199,销售录入!$A$4:$A$203,"&lt;="&amp;EOMONTH(首页!$B$4,0))&lt;&gt;0,"显示",IF(COUNTIFS(采购录入!$D$4:$D$203,P199,采购录入!$B$4:$B$203,TEXT(首页!$B$4,"yyyy-mm"))+COUNTIFS(销售录入!$D$4:$D$203,P199,销售录入!$B$4:$B$203,TEXT(首页!$B$4,"yyyy-mm"))&gt;0,"显示","")))</f>
        <v/>
      </c>
    </row>
    <row r="200" spans="23:23">
      <c r="W200" t="str">
        <f>IF(P200="","",IF(SUMIFS(期初数据!$S$5:$S$14,期初数据!$P$5:$P$14,P200)+SUMIFS(采购录入!$G$4:$G$203,采购录入!$D$4:$D$203,P200,采购录入!$A$4:$A$203,"&lt;="&amp;EOMONTH(首页!$B$4,0))-SUMIFS(销售录入!$G$4:$G$203,销售录入!$D$4:$D$203,P200,销售录入!$A$4:$A$203,"&lt;="&amp;EOMONTH(首页!$B$4,0))&lt;&gt;0,"显示",IF(COUNTIFS(采购录入!$D$4:$D$203,P200,采购录入!$B$4:$B$203,TEXT(首页!$B$4,"yyyy-mm"))+COUNTIFS(销售录入!$D$4:$D$203,P200,销售录入!$B$4:$B$203,TEXT(首页!$B$4,"yyyy-mm"))&gt;0,"显示","")))</f>
        <v/>
      </c>
    </row>
    <row r="201" spans="23:23">
      <c r="W201" t="str">
        <f>IF(P201="","",IF(SUMIFS(期初数据!$S$5:$S$14,期初数据!$P$5:$P$14,P201)+SUMIFS(采购录入!$G$4:$G$203,采购录入!$D$4:$D$203,P201,采购录入!$A$4:$A$203,"&lt;="&amp;EOMONTH(首页!$B$4,0))-SUMIFS(销售录入!$G$4:$G$203,销售录入!$D$4:$D$203,P201,销售录入!$A$4:$A$203,"&lt;="&amp;EOMONTH(首页!$B$4,0))&lt;&gt;0,"显示",IF(COUNTIFS(采购录入!$D$4:$D$203,P201,采购录入!$B$4:$B$203,TEXT(首页!$B$4,"yyyy-mm"))+COUNTIFS(销售录入!$D$4:$D$203,P201,销售录入!$B$4:$B$203,TEXT(首页!$B$4,"yyyy-mm"))&gt;0,"显示","")))</f>
        <v/>
      </c>
    </row>
    <row r="202" spans="23:23">
      <c r="W202" t="str">
        <f>IF(P202="","",IF(SUMIFS(期初数据!$S$5:$S$14,期初数据!$P$5:$P$14,P202)+SUMIFS(采购录入!$G$4:$G$203,采购录入!$D$4:$D$203,P202,采购录入!$A$4:$A$203,"&lt;="&amp;EOMONTH(首页!$B$4,0))-SUMIFS(销售录入!$G$4:$G$203,销售录入!$D$4:$D$203,P202,销售录入!$A$4:$A$203,"&lt;="&amp;EOMONTH(首页!$B$4,0))&lt;&gt;0,"显示",IF(COUNTIFS(采购录入!$D$4:$D$203,P202,采购录入!$B$4:$B$203,TEXT(首页!$B$4,"yyyy-mm"))+COUNTIFS(销售录入!$D$4:$D$203,P202,销售录入!$B$4:$B$203,TEXT(首页!$B$4,"yyyy-mm"))&gt;0,"显示","")))</f>
        <v/>
      </c>
    </row>
    <row r="203" spans="23:23">
      <c r="W203" t="str">
        <f>IF(P203="","",IF(SUMIFS(期初数据!$S$5:$S$14,期初数据!$P$5:$P$14,P203)+SUMIFS(采购录入!$G$4:$G$203,采购录入!$D$4:$D$203,P203,采购录入!$A$4:$A$203,"&lt;="&amp;EOMONTH(首页!$B$4,0))-SUMIFS(销售录入!$G$4:$G$203,销售录入!$D$4:$D$203,P203,销售录入!$A$4:$A$203,"&lt;="&amp;EOMONTH(首页!$B$4,0))&lt;&gt;0,"显示",IF(COUNTIFS(采购录入!$D$4:$D$203,P203,采购录入!$B$4:$B$203,TEXT(首页!$B$4,"yyyy-mm"))+COUNTIFS(销售录入!$D$4:$D$203,P203,销售录入!$B$4:$B$203,TEXT(首页!$B$4,"yyyy-mm"))&gt;0,"显示","")))</f>
        <v/>
      </c>
    </row>
    <row r="204" spans="23:23">
      <c r="W204" t="str">
        <f>IF(P204="","",IF(SUMIFS(期初数据!$S$5:$S$14,期初数据!$P$5:$P$14,P204)+SUMIFS(采购录入!$G$4:$G$203,采购录入!$D$4:$D$203,P204,采购录入!$A$4:$A$203,"&lt;="&amp;EOMONTH(首页!$B$4,0))-SUMIFS(销售录入!$G$4:$G$203,销售录入!$D$4:$D$203,P204,销售录入!$A$4:$A$203,"&lt;="&amp;EOMONTH(首页!$B$4,0))&lt;&gt;0,"显示",IF(COUNTIFS(采购录入!$D$4:$D$203,P204,采购录入!$B$4:$B$203,TEXT(首页!$B$4,"yyyy-mm"))+COUNTIFS(销售录入!$D$4:$D$203,P204,销售录入!$B$4:$B$203,TEXT(首页!$B$4,"yyyy-mm"))&gt;0,"显示","")))</f>
        <v/>
      </c>
    </row>
  </sheetData>
  <dataValidations count="3">
    <dataValidation type="list" allowBlank="1" sqref="AQ5:AQ204">
      <formula1>"资产,负债,权益,成本,收入,费用"</formula1>
    </dataValidation>
    <dataValidation type="list" allowBlank="1" sqref="AR5:AR204">
      <formula1>"借,贷"</formula1>
    </dataValidation>
    <dataValidation type="list" allowBlank="1" sqref="AS5:AS204">
      <formula1>"启用,停用"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4"/>
  <sheetViews>
    <sheetView workbookViewId="0">
      <selection activeCell="A1" sqref="A1"/>
    </sheetView>
  </sheetViews>
  <sheetFormatPr defaultColWidth="9" defaultRowHeight="14.25"/>
  <sheetData>
    <row r="1" ht="21.75" spans="1:30">
      <c r="A1" s="56" t="s">
        <v>386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</row>
    <row r="3" ht="15" spans="1:30">
      <c r="A3" s="64" t="s">
        <v>387</v>
      </c>
      <c r="B3" s="64"/>
      <c r="C3" s="64"/>
      <c r="D3" s="64"/>
      <c r="F3" s="64" t="s">
        <v>388</v>
      </c>
      <c r="G3" s="64"/>
      <c r="H3" s="64"/>
      <c r="I3" s="64"/>
      <c r="K3" s="19" t="s">
        <v>389</v>
      </c>
      <c r="L3" s="19"/>
      <c r="M3" s="19"/>
      <c r="N3" s="19"/>
      <c r="P3" s="65" t="s">
        <v>390</v>
      </c>
      <c r="Q3" s="65"/>
      <c r="R3" s="65"/>
      <c r="S3" s="65"/>
      <c r="T3" s="65"/>
      <c r="U3" s="65"/>
      <c r="V3" s="65"/>
      <c r="X3" s="40" t="s">
        <v>391</v>
      </c>
      <c r="Y3" s="40"/>
      <c r="Z3" s="40"/>
      <c r="AA3" s="40"/>
      <c r="AB3" s="40"/>
      <c r="AC3" s="40"/>
      <c r="AD3" s="40"/>
    </row>
    <row r="4" ht="27" spans="1:30">
      <c r="A4" s="66" t="s">
        <v>392</v>
      </c>
      <c r="B4" s="66" t="s">
        <v>393</v>
      </c>
      <c r="C4" s="66" t="s">
        <v>394</v>
      </c>
      <c r="D4" s="66" t="s">
        <v>31</v>
      </c>
      <c r="F4" s="66" t="s">
        <v>156</v>
      </c>
      <c r="G4" s="66" t="s">
        <v>395</v>
      </c>
      <c r="H4" s="66" t="s">
        <v>396</v>
      </c>
      <c r="I4" s="66" t="s">
        <v>31</v>
      </c>
      <c r="K4" s="66" t="s">
        <v>172</v>
      </c>
      <c r="L4" s="66" t="s">
        <v>395</v>
      </c>
      <c r="M4" s="66" t="s">
        <v>397</v>
      </c>
      <c r="N4" s="66" t="s">
        <v>31</v>
      </c>
      <c r="P4" s="66" t="s">
        <v>398</v>
      </c>
      <c r="Q4" s="66" t="s">
        <v>399</v>
      </c>
      <c r="R4" s="66" t="s">
        <v>37</v>
      </c>
      <c r="S4" s="66" t="s">
        <v>400</v>
      </c>
      <c r="T4" s="66" t="s">
        <v>401</v>
      </c>
      <c r="U4" s="66" t="s">
        <v>402</v>
      </c>
      <c r="V4" s="66" t="s">
        <v>31</v>
      </c>
      <c r="X4" s="66" t="s">
        <v>52</v>
      </c>
      <c r="Y4" s="66" t="s">
        <v>53</v>
      </c>
      <c r="Z4" s="66" t="s">
        <v>54</v>
      </c>
      <c r="AA4" s="66" t="s">
        <v>403</v>
      </c>
      <c r="AB4" s="66" t="s">
        <v>404</v>
      </c>
      <c r="AC4" s="66" t="s">
        <v>405</v>
      </c>
      <c r="AD4" s="66" t="s">
        <v>31</v>
      </c>
    </row>
    <row r="5" spans="1:30">
      <c r="A5" s="54" t="s">
        <v>61</v>
      </c>
      <c r="B5" s="54" t="s">
        <v>62</v>
      </c>
      <c r="C5" s="54">
        <v>50000</v>
      </c>
      <c r="D5" s="54" t="s">
        <v>406</v>
      </c>
      <c r="F5" s="54" t="s">
        <v>73</v>
      </c>
      <c r="G5" s="54">
        <v>46023</v>
      </c>
      <c r="H5" s="54">
        <v>15000</v>
      </c>
      <c r="I5" s="54" t="s">
        <v>406</v>
      </c>
      <c r="K5" s="54" t="s">
        <v>75</v>
      </c>
      <c r="L5" s="54">
        <v>46023</v>
      </c>
      <c r="M5" s="54">
        <v>25000</v>
      </c>
      <c r="N5" s="54" t="s">
        <v>406</v>
      </c>
      <c r="P5" s="54" t="s">
        <v>69</v>
      </c>
      <c r="Q5" s="54" t="s">
        <v>70</v>
      </c>
      <c r="R5" s="54" t="s">
        <v>71</v>
      </c>
      <c r="S5" s="54">
        <v>100</v>
      </c>
      <c r="T5" s="54">
        <v>100</v>
      </c>
      <c r="U5" s="54">
        <v>10000</v>
      </c>
      <c r="V5" s="54" t="s">
        <v>406</v>
      </c>
      <c r="X5" s="54" t="s">
        <v>63</v>
      </c>
      <c r="Y5" s="54" t="s">
        <v>80</v>
      </c>
      <c r="Z5" s="54" t="s">
        <v>81</v>
      </c>
      <c r="AA5" s="54" t="s">
        <v>82</v>
      </c>
      <c r="AB5" s="54">
        <v>55000</v>
      </c>
      <c r="AC5" s="54">
        <v>0</v>
      </c>
      <c r="AD5" s="54" t="s">
        <v>406</v>
      </c>
    </row>
    <row r="6" spans="1:30">
      <c r="A6" s="54" t="s">
        <v>87</v>
      </c>
      <c r="B6" s="54" t="s">
        <v>88</v>
      </c>
      <c r="C6" s="54">
        <v>300000</v>
      </c>
      <c r="D6" s="54" t="s">
        <v>406</v>
      </c>
      <c r="F6" s="54" t="s">
        <v>95</v>
      </c>
      <c r="G6" s="54">
        <v>46023</v>
      </c>
      <c r="H6" s="54">
        <v>12000</v>
      </c>
      <c r="I6" s="54" t="s">
        <v>406</v>
      </c>
      <c r="K6" s="54" t="s">
        <v>97</v>
      </c>
      <c r="L6" s="54">
        <v>46023</v>
      </c>
      <c r="M6" s="54">
        <v>22000</v>
      </c>
      <c r="N6" s="54" t="s">
        <v>406</v>
      </c>
      <c r="P6" s="54" t="s">
        <v>92</v>
      </c>
      <c r="Q6" s="54" t="s">
        <v>93</v>
      </c>
      <c r="R6" s="54" t="s">
        <v>71</v>
      </c>
      <c r="S6" s="54">
        <v>80</v>
      </c>
      <c r="T6" s="54">
        <v>125</v>
      </c>
      <c r="U6" s="54">
        <v>10000</v>
      </c>
      <c r="V6" s="54" t="s">
        <v>406</v>
      </c>
      <c r="X6" s="54" t="s">
        <v>78</v>
      </c>
      <c r="Y6" s="54" t="s">
        <v>100</v>
      </c>
      <c r="Z6" s="54" t="s">
        <v>81</v>
      </c>
      <c r="AA6" s="54" t="s">
        <v>82</v>
      </c>
      <c r="AB6" s="54">
        <v>805000</v>
      </c>
      <c r="AC6" s="54">
        <v>0</v>
      </c>
      <c r="AD6" s="54" t="s">
        <v>406</v>
      </c>
    </row>
    <row r="7" spans="1:30">
      <c r="A7" s="54" t="s">
        <v>101</v>
      </c>
      <c r="B7" s="54" t="s">
        <v>88</v>
      </c>
      <c r="C7" s="54">
        <v>200000</v>
      </c>
      <c r="D7" s="54" t="s">
        <v>406</v>
      </c>
      <c r="F7" s="54" t="s">
        <v>109</v>
      </c>
      <c r="G7" s="54">
        <v>46023</v>
      </c>
      <c r="H7" s="54">
        <v>18000</v>
      </c>
      <c r="I7" s="54" t="s">
        <v>406</v>
      </c>
      <c r="K7" s="54" t="s">
        <v>111</v>
      </c>
      <c r="L7" s="54">
        <v>46023</v>
      </c>
      <c r="M7" s="54">
        <v>18000</v>
      </c>
      <c r="N7" s="54" t="s">
        <v>406</v>
      </c>
      <c r="P7" s="54" t="s">
        <v>106</v>
      </c>
      <c r="Q7" s="54" t="s">
        <v>107</v>
      </c>
      <c r="R7" s="54" t="s">
        <v>71</v>
      </c>
      <c r="S7" s="54">
        <v>200</v>
      </c>
      <c r="T7" s="54">
        <v>50</v>
      </c>
      <c r="U7" s="54">
        <v>10000</v>
      </c>
      <c r="V7" s="54" t="s">
        <v>406</v>
      </c>
      <c r="X7" s="54" t="s">
        <v>113</v>
      </c>
      <c r="Y7" s="54" t="s">
        <v>114</v>
      </c>
      <c r="Z7" s="54" t="s">
        <v>81</v>
      </c>
      <c r="AA7" s="54" t="s">
        <v>82</v>
      </c>
      <c r="AB7" s="54">
        <v>0</v>
      </c>
      <c r="AC7" s="54">
        <v>0</v>
      </c>
      <c r="AD7" s="54"/>
    </row>
    <row r="8" spans="1:30">
      <c r="A8" s="54" t="s">
        <v>115</v>
      </c>
      <c r="B8" s="54" t="s">
        <v>88</v>
      </c>
      <c r="C8" s="54">
        <v>120000</v>
      </c>
      <c r="D8" s="54" t="s">
        <v>406</v>
      </c>
      <c r="F8" s="54" t="s">
        <v>122</v>
      </c>
      <c r="G8" s="54">
        <v>46023</v>
      </c>
      <c r="H8" s="54">
        <v>8000</v>
      </c>
      <c r="I8" s="54" t="s">
        <v>406</v>
      </c>
      <c r="K8" s="54" t="s">
        <v>124</v>
      </c>
      <c r="L8" s="54">
        <v>46023</v>
      </c>
      <c r="M8" s="54">
        <v>30000</v>
      </c>
      <c r="N8" s="54" t="s">
        <v>406</v>
      </c>
      <c r="P8" s="54" t="s">
        <v>119</v>
      </c>
      <c r="Q8" s="54" t="s">
        <v>120</v>
      </c>
      <c r="R8" s="54" t="s">
        <v>71</v>
      </c>
      <c r="S8" s="54">
        <v>50</v>
      </c>
      <c r="T8" s="54">
        <v>200</v>
      </c>
      <c r="U8" s="54">
        <v>10000</v>
      </c>
      <c r="V8" s="54" t="s">
        <v>406</v>
      </c>
      <c r="X8" s="54" t="s">
        <v>126</v>
      </c>
      <c r="Y8" s="54" t="s">
        <v>127</v>
      </c>
      <c r="Z8" s="54" t="s">
        <v>81</v>
      </c>
      <c r="AA8" s="54" t="s">
        <v>82</v>
      </c>
      <c r="AB8" s="54">
        <v>0</v>
      </c>
      <c r="AC8" s="54">
        <v>0</v>
      </c>
      <c r="AD8" s="54"/>
    </row>
    <row r="9" spans="1:30">
      <c r="A9" s="54" t="s">
        <v>128</v>
      </c>
      <c r="B9" s="54" t="s">
        <v>88</v>
      </c>
      <c r="C9" s="54">
        <v>80000</v>
      </c>
      <c r="D9" s="54" t="s">
        <v>406</v>
      </c>
      <c r="F9" s="54" t="s">
        <v>136</v>
      </c>
      <c r="G9" s="54">
        <v>46023</v>
      </c>
      <c r="H9" s="54">
        <v>25000</v>
      </c>
      <c r="I9" s="54" t="s">
        <v>406</v>
      </c>
      <c r="K9" s="54" t="s">
        <v>138</v>
      </c>
      <c r="L9" s="54">
        <v>46023</v>
      </c>
      <c r="M9" s="54">
        <v>15000</v>
      </c>
      <c r="N9" s="54" t="s">
        <v>406</v>
      </c>
      <c r="P9" s="54" t="s">
        <v>133</v>
      </c>
      <c r="Q9" s="54" t="s">
        <v>134</v>
      </c>
      <c r="R9" s="54" t="s">
        <v>71</v>
      </c>
      <c r="S9" s="54">
        <v>400</v>
      </c>
      <c r="T9" s="54">
        <v>25</v>
      </c>
      <c r="U9" s="54">
        <v>10000</v>
      </c>
      <c r="V9" s="54" t="s">
        <v>406</v>
      </c>
      <c r="X9" s="54" t="s">
        <v>140</v>
      </c>
      <c r="Y9" s="54" t="s">
        <v>141</v>
      </c>
      <c r="Z9" s="54" t="s">
        <v>81</v>
      </c>
      <c r="AA9" s="54" t="s">
        <v>82</v>
      </c>
      <c r="AB9" s="54">
        <v>0</v>
      </c>
      <c r="AC9" s="54">
        <v>0</v>
      </c>
      <c r="AD9" s="54"/>
    </row>
    <row r="10" spans="1:30">
      <c r="A10" s="54" t="s">
        <v>142</v>
      </c>
      <c r="B10" s="54" t="s">
        <v>88</v>
      </c>
      <c r="C10" s="54">
        <v>60000</v>
      </c>
      <c r="D10" s="54" t="s">
        <v>406</v>
      </c>
      <c r="F10" s="54" t="s">
        <v>151</v>
      </c>
      <c r="G10" s="54">
        <v>46023</v>
      </c>
      <c r="H10" s="54">
        <v>16000</v>
      </c>
      <c r="I10" s="54" t="s">
        <v>406</v>
      </c>
      <c r="K10" s="54" t="s">
        <v>153</v>
      </c>
      <c r="L10" s="54">
        <v>46023</v>
      </c>
      <c r="M10" s="54">
        <v>24000</v>
      </c>
      <c r="N10" s="54" t="s">
        <v>406</v>
      </c>
      <c r="P10" s="54" t="s">
        <v>148</v>
      </c>
      <c r="Q10" s="54" t="s">
        <v>149</v>
      </c>
      <c r="R10" s="54" t="s">
        <v>71</v>
      </c>
      <c r="S10" s="54">
        <v>100</v>
      </c>
      <c r="T10" s="54">
        <v>80</v>
      </c>
      <c r="U10" s="54">
        <v>8000</v>
      </c>
      <c r="V10" s="54" t="s">
        <v>406</v>
      </c>
      <c r="X10" s="54" t="s">
        <v>79</v>
      </c>
      <c r="Y10" s="54" t="s">
        <v>155</v>
      </c>
      <c r="Z10" s="54" t="s">
        <v>81</v>
      </c>
      <c r="AA10" s="54" t="s">
        <v>82</v>
      </c>
      <c r="AB10" s="54">
        <v>158000</v>
      </c>
      <c r="AC10" s="54">
        <v>0</v>
      </c>
      <c r="AD10" s="54" t="s">
        <v>406</v>
      </c>
    </row>
    <row r="11" spans="1:30">
      <c r="A11" s="54" t="s">
        <v>157</v>
      </c>
      <c r="B11" s="54" t="s">
        <v>158</v>
      </c>
      <c r="C11" s="54">
        <v>20000</v>
      </c>
      <c r="D11" s="54" t="s">
        <v>406</v>
      </c>
      <c r="F11" s="54" t="s">
        <v>165</v>
      </c>
      <c r="G11" s="54">
        <v>46023</v>
      </c>
      <c r="H11" s="54">
        <v>14000</v>
      </c>
      <c r="I11" s="54" t="s">
        <v>406</v>
      </c>
      <c r="K11" s="54" t="s">
        <v>167</v>
      </c>
      <c r="L11" s="54">
        <v>46023</v>
      </c>
      <c r="M11" s="54">
        <v>20000</v>
      </c>
      <c r="N11" s="54" t="s">
        <v>406</v>
      </c>
      <c r="P11" s="54" t="s">
        <v>162</v>
      </c>
      <c r="Q11" s="54" t="s">
        <v>163</v>
      </c>
      <c r="R11" s="54" t="s">
        <v>71</v>
      </c>
      <c r="S11" s="54">
        <v>120</v>
      </c>
      <c r="T11" s="54">
        <v>75</v>
      </c>
      <c r="U11" s="54">
        <v>9000</v>
      </c>
      <c r="V11" s="54" t="s">
        <v>406</v>
      </c>
      <c r="X11" s="54" t="s">
        <v>169</v>
      </c>
      <c r="Y11" s="54" t="s">
        <v>170</v>
      </c>
      <c r="Z11" s="54" t="s">
        <v>81</v>
      </c>
      <c r="AA11" s="54" t="s">
        <v>82</v>
      </c>
      <c r="AB11" s="54">
        <v>0</v>
      </c>
      <c r="AC11" s="54">
        <v>0</v>
      </c>
      <c r="AD11" s="54"/>
    </row>
    <row r="12" spans="1:30">
      <c r="A12" s="54" t="s">
        <v>173</v>
      </c>
      <c r="B12" s="54" t="s">
        <v>158</v>
      </c>
      <c r="C12" s="54">
        <v>15000</v>
      </c>
      <c r="D12" s="54" t="s">
        <v>406</v>
      </c>
      <c r="F12" s="54" t="s">
        <v>181</v>
      </c>
      <c r="G12" s="54">
        <v>46023</v>
      </c>
      <c r="H12" s="54">
        <v>20000</v>
      </c>
      <c r="I12" s="54" t="s">
        <v>406</v>
      </c>
      <c r="K12" s="54" t="s">
        <v>183</v>
      </c>
      <c r="L12" s="54">
        <v>46023</v>
      </c>
      <c r="M12" s="54">
        <v>16000</v>
      </c>
      <c r="N12" s="54" t="s">
        <v>406</v>
      </c>
      <c r="P12" s="54" t="s">
        <v>178</v>
      </c>
      <c r="Q12" s="54" t="s">
        <v>179</v>
      </c>
      <c r="R12" s="54" t="s">
        <v>71</v>
      </c>
      <c r="S12" s="54">
        <v>60</v>
      </c>
      <c r="T12" s="54">
        <v>150</v>
      </c>
      <c r="U12" s="54">
        <v>9000</v>
      </c>
      <c r="V12" s="54" t="s">
        <v>406</v>
      </c>
      <c r="X12" s="54" t="s">
        <v>185</v>
      </c>
      <c r="Y12" s="54" t="s">
        <v>186</v>
      </c>
      <c r="Z12" s="54" t="s">
        <v>81</v>
      </c>
      <c r="AA12" s="54" t="s">
        <v>82</v>
      </c>
      <c r="AB12" s="54">
        <v>0</v>
      </c>
      <c r="AC12" s="54">
        <v>0</v>
      </c>
      <c r="AD12" s="54"/>
    </row>
    <row r="13" spans="1:30">
      <c r="A13" s="54" t="s">
        <v>187</v>
      </c>
      <c r="B13" s="54" t="s">
        <v>62</v>
      </c>
      <c r="C13" s="54">
        <v>5000</v>
      </c>
      <c r="D13" s="54" t="s">
        <v>406</v>
      </c>
      <c r="F13" s="54" t="s">
        <v>195</v>
      </c>
      <c r="G13" s="54">
        <v>46023</v>
      </c>
      <c r="H13" s="54">
        <v>10000</v>
      </c>
      <c r="I13" s="54" t="s">
        <v>406</v>
      </c>
      <c r="K13" s="54" t="s">
        <v>197</v>
      </c>
      <c r="L13" s="54">
        <v>46023</v>
      </c>
      <c r="M13" s="54">
        <v>18000</v>
      </c>
      <c r="N13" s="54" t="s">
        <v>406</v>
      </c>
      <c r="P13" s="54" t="s">
        <v>192</v>
      </c>
      <c r="Q13" s="54" t="s">
        <v>193</v>
      </c>
      <c r="R13" s="54" t="s">
        <v>71</v>
      </c>
      <c r="S13" s="54">
        <v>300</v>
      </c>
      <c r="T13" s="54">
        <v>30</v>
      </c>
      <c r="U13" s="54">
        <v>9000</v>
      </c>
      <c r="V13" s="54" t="s">
        <v>406</v>
      </c>
      <c r="X13" s="54" t="s">
        <v>199</v>
      </c>
      <c r="Y13" s="54" t="s">
        <v>200</v>
      </c>
      <c r="Z13" s="54" t="s">
        <v>81</v>
      </c>
      <c r="AA13" s="54" t="s">
        <v>82</v>
      </c>
      <c r="AB13" s="54">
        <v>0</v>
      </c>
      <c r="AC13" s="54">
        <v>0</v>
      </c>
      <c r="AD13" s="54"/>
    </row>
    <row r="14" spans="1:30">
      <c r="A14" s="54" t="s">
        <v>201</v>
      </c>
      <c r="B14" s="54" t="s">
        <v>88</v>
      </c>
      <c r="C14" s="54">
        <v>10000</v>
      </c>
      <c r="D14" s="54" t="s">
        <v>406</v>
      </c>
      <c r="F14" s="54" t="s">
        <v>209</v>
      </c>
      <c r="G14" s="54">
        <v>46023</v>
      </c>
      <c r="H14" s="54">
        <v>20000</v>
      </c>
      <c r="I14" s="54" t="s">
        <v>406</v>
      </c>
      <c r="K14" s="54" t="s">
        <v>211</v>
      </c>
      <c r="L14" s="54">
        <v>46023</v>
      </c>
      <c r="M14" s="54">
        <v>22000</v>
      </c>
      <c r="N14" s="54" t="s">
        <v>406</v>
      </c>
      <c r="P14" s="54" t="s">
        <v>206</v>
      </c>
      <c r="Q14" s="54" t="s">
        <v>207</v>
      </c>
      <c r="R14" s="54" t="s">
        <v>71</v>
      </c>
      <c r="S14" s="54">
        <v>250</v>
      </c>
      <c r="T14" s="54">
        <v>60</v>
      </c>
      <c r="U14" s="54">
        <v>15000</v>
      </c>
      <c r="V14" s="54" t="s">
        <v>406</v>
      </c>
      <c r="X14" s="54" t="s">
        <v>213</v>
      </c>
      <c r="Y14" s="54" t="s">
        <v>214</v>
      </c>
      <c r="Z14" s="54" t="s">
        <v>81</v>
      </c>
      <c r="AA14" s="54" t="s">
        <v>82</v>
      </c>
      <c r="AB14" s="54">
        <v>0</v>
      </c>
      <c r="AC14" s="54">
        <v>0</v>
      </c>
      <c r="AD14" s="54"/>
    </row>
    <row r="15" spans="1:30">
      <c r="X15" s="54" t="s">
        <v>219</v>
      </c>
      <c r="Y15" s="54" t="s">
        <v>220</v>
      </c>
      <c r="Z15" s="54" t="s">
        <v>81</v>
      </c>
      <c r="AA15" s="54" t="s">
        <v>221</v>
      </c>
      <c r="AB15" s="54">
        <v>0</v>
      </c>
      <c r="AC15" s="54">
        <v>0</v>
      </c>
      <c r="AD15" s="54"/>
    </row>
    <row r="16" spans="1:30">
      <c r="X16" s="54" t="s">
        <v>224</v>
      </c>
      <c r="Y16" s="54" t="s">
        <v>225</v>
      </c>
      <c r="Z16" s="54" t="s">
        <v>81</v>
      </c>
      <c r="AA16" s="54" t="s">
        <v>82</v>
      </c>
      <c r="AB16" s="54">
        <v>0</v>
      </c>
      <c r="AC16" s="54">
        <v>0</v>
      </c>
      <c r="AD16" s="54"/>
    </row>
    <row r="17" spans="24:30">
      <c r="X17" s="54" t="s">
        <v>228</v>
      </c>
      <c r="Y17" s="54" t="s">
        <v>229</v>
      </c>
      <c r="Z17" s="54" t="s">
        <v>81</v>
      </c>
      <c r="AA17" s="54" t="s">
        <v>82</v>
      </c>
      <c r="AB17" s="54">
        <v>0</v>
      </c>
      <c r="AC17" s="54">
        <v>0</v>
      </c>
      <c r="AD17" s="54"/>
    </row>
    <row r="18" spans="24:30">
      <c r="X18" s="54" t="s">
        <v>231</v>
      </c>
      <c r="Y18" s="54" t="s">
        <v>232</v>
      </c>
      <c r="Z18" s="54" t="s">
        <v>81</v>
      </c>
      <c r="AA18" s="54" t="s">
        <v>82</v>
      </c>
      <c r="AB18" s="54">
        <v>0</v>
      </c>
      <c r="AC18" s="54">
        <v>0</v>
      </c>
      <c r="AD18" s="54"/>
    </row>
    <row r="19" spans="24:30">
      <c r="X19" s="54" t="s">
        <v>234</v>
      </c>
      <c r="Y19" s="54" t="s">
        <v>235</v>
      </c>
      <c r="Z19" s="54" t="s">
        <v>81</v>
      </c>
      <c r="AA19" s="54" t="s">
        <v>82</v>
      </c>
      <c r="AB19" s="54">
        <v>0</v>
      </c>
      <c r="AC19" s="54">
        <v>0</v>
      </c>
      <c r="AD19" s="54"/>
    </row>
    <row r="20" spans="24:30">
      <c r="X20" s="54" t="s">
        <v>237</v>
      </c>
      <c r="Y20" s="54" t="s">
        <v>238</v>
      </c>
      <c r="Z20" s="54" t="s">
        <v>81</v>
      </c>
      <c r="AA20" s="54" t="s">
        <v>82</v>
      </c>
      <c r="AB20" s="54">
        <v>100000</v>
      </c>
      <c r="AC20" s="54">
        <v>0</v>
      </c>
      <c r="AD20" s="54" t="s">
        <v>406</v>
      </c>
    </row>
    <row r="21" spans="24:30">
      <c r="X21" s="54" t="s">
        <v>240</v>
      </c>
      <c r="Y21" s="54" t="s">
        <v>241</v>
      </c>
      <c r="Z21" s="54" t="s">
        <v>81</v>
      </c>
      <c r="AA21" s="54" t="s">
        <v>82</v>
      </c>
      <c r="AB21" s="54">
        <v>0</v>
      </c>
      <c r="AC21" s="54">
        <v>0</v>
      </c>
      <c r="AD21" s="54"/>
    </row>
    <row r="22" spans="24:30">
      <c r="X22" s="54" t="s">
        <v>243</v>
      </c>
      <c r="Y22" s="54" t="s">
        <v>244</v>
      </c>
      <c r="Z22" s="54" t="s">
        <v>81</v>
      </c>
      <c r="AA22" s="54" t="s">
        <v>221</v>
      </c>
      <c r="AB22" s="54">
        <v>0</v>
      </c>
      <c r="AC22" s="54">
        <v>0</v>
      </c>
      <c r="AD22" s="54"/>
    </row>
    <row r="23" spans="24:30">
      <c r="X23" s="54" t="s">
        <v>247</v>
      </c>
      <c r="Y23" s="54" t="s">
        <v>248</v>
      </c>
      <c r="Z23" s="54" t="s">
        <v>81</v>
      </c>
      <c r="AA23" s="54" t="s">
        <v>82</v>
      </c>
      <c r="AB23" s="54">
        <v>0</v>
      </c>
      <c r="AC23" s="54">
        <v>0</v>
      </c>
      <c r="AD23" s="54"/>
    </row>
    <row r="24" spans="24:30">
      <c r="X24" s="54" t="s">
        <v>250</v>
      </c>
      <c r="Y24" s="54" t="s">
        <v>251</v>
      </c>
      <c r="Z24" s="54" t="s">
        <v>81</v>
      </c>
      <c r="AA24" s="54" t="s">
        <v>82</v>
      </c>
      <c r="AB24" s="54">
        <v>0</v>
      </c>
      <c r="AC24" s="54">
        <v>0</v>
      </c>
      <c r="AD24" s="54"/>
    </row>
    <row r="25" spans="24:30">
      <c r="X25" s="54" t="s">
        <v>254</v>
      </c>
      <c r="Y25" s="54" t="s">
        <v>255</v>
      </c>
      <c r="Z25" s="54" t="s">
        <v>81</v>
      </c>
      <c r="AA25" s="54" t="s">
        <v>221</v>
      </c>
      <c r="AB25" s="54">
        <v>0</v>
      </c>
      <c r="AC25" s="54">
        <v>0</v>
      </c>
      <c r="AD25" s="54"/>
    </row>
    <row r="26" spans="24:30">
      <c r="X26" s="54" t="s">
        <v>258</v>
      </c>
      <c r="Y26" s="54" t="s">
        <v>259</v>
      </c>
      <c r="Z26" s="54" t="s">
        <v>81</v>
      </c>
      <c r="AA26" s="54" t="s">
        <v>82</v>
      </c>
      <c r="AB26" s="54">
        <v>0</v>
      </c>
      <c r="AC26" s="54">
        <v>0</v>
      </c>
      <c r="AD26" s="54"/>
    </row>
    <row r="27" spans="24:30">
      <c r="X27" s="54" t="s">
        <v>261</v>
      </c>
      <c r="Y27" s="54" t="s">
        <v>262</v>
      </c>
      <c r="Z27" s="54" t="s">
        <v>81</v>
      </c>
      <c r="AA27" s="54" t="s">
        <v>82</v>
      </c>
      <c r="AB27" s="54">
        <v>0</v>
      </c>
      <c r="AC27" s="54">
        <v>0</v>
      </c>
      <c r="AD27" s="54"/>
    </row>
    <row r="28" spans="24:30">
      <c r="X28" s="54" t="s">
        <v>263</v>
      </c>
      <c r="Y28" s="54" t="s">
        <v>264</v>
      </c>
      <c r="Z28" s="54" t="s">
        <v>81</v>
      </c>
      <c r="AA28" s="54" t="s">
        <v>82</v>
      </c>
      <c r="AB28" s="54">
        <v>0</v>
      </c>
      <c r="AC28" s="54">
        <v>0</v>
      </c>
      <c r="AD28" s="54"/>
    </row>
    <row r="29" spans="24:30">
      <c r="X29" s="54" t="s">
        <v>265</v>
      </c>
      <c r="Y29" s="54" t="s">
        <v>266</v>
      </c>
      <c r="Z29" s="54" t="s">
        <v>81</v>
      </c>
      <c r="AA29" s="54" t="s">
        <v>82</v>
      </c>
      <c r="AB29" s="54">
        <v>600000</v>
      </c>
      <c r="AC29" s="54">
        <v>0</v>
      </c>
      <c r="AD29" s="54" t="s">
        <v>406</v>
      </c>
    </row>
    <row r="30" spans="24:30">
      <c r="X30" s="54" t="s">
        <v>267</v>
      </c>
      <c r="Y30" s="54" t="s">
        <v>268</v>
      </c>
      <c r="Z30" s="54" t="s">
        <v>81</v>
      </c>
      <c r="AA30" s="54" t="s">
        <v>221</v>
      </c>
      <c r="AB30" s="54">
        <v>0</v>
      </c>
      <c r="AC30" s="54">
        <v>0</v>
      </c>
      <c r="AD30" s="54"/>
    </row>
    <row r="31" spans="24:30">
      <c r="X31" s="54" t="s">
        <v>269</v>
      </c>
      <c r="Y31" s="54" t="s">
        <v>270</v>
      </c>
      <c r="Z31" s="54" t="s">
        <v>81</v>
      </c>
      <c r="AA31" s="54" t="s">
        <v>82</v>
      </c>
      <c r="AB31" s="54">
        <v>0</v>
      </c>
      <c r="AC31" s="54">
        <v>0</v>
      </c>
      <c r="AD31" s="54"/>
    </row>
    <row r="32" spans="24:30">
      <c r="X32" s="54" t="s">
        <v>271</v>
      </c>
      <c r="Y32" s="54" t="s">
        <v>272</v>
      </c>
      <c r="Z32" s="54" t="s">
        <v>81</v>
      </c>
      <c r="AA32" s="54" t="s">
        <v>82</v>
      </c>
      <c r="AB32" s="54">
        <v>0</v>
      </c>
      <c r="AC32" s="54">
        <v>0</v>
      </c>
      <c r="AD32" s="54"/>
    </row>
    <row r="33" spans="24:30">
      <c r="X33" s="54" t="s">
        <v>273</v>
      </c>
      <c r="Y33" s="54" t="s">
        <v>274</v>
      </c>
      <c r="Z33" s="54" t="s">
        <v>81</v>
      </c>
      <c r="AA33" s="54" t="s">
        <v>82</v>
      </c>
      <c r="AB33" s="54">
        <v>0</v>
      </c>
      <c r="AC33" s="54">
        <v>0</v>
      </c>
      <c r="AD33" s="54"/>
    </row>
    <row r="34" spans="24:30">
      <c r="X34" s="54" t="s">
        <v>275</v>
      </c>
      <c r="Y34" s="54" t="s">
        <v>276</v>
      </c>
      <c r="Z34" s="54" t="s">
        <v>81</v>
      </c>
      <c r="AA34" s="54" t="s">
        <v>82</v>
      </c>
      <c r="AB34" s="54">
        <v>0</v>
      </c>
      <c r="AC34" s="54">
        <v>0</v>
      </c>
      <c r="AD34" s="54"/>
    </row>
    <row r="35" spans="24:30">
      <c r="X35" s="54" t="s">
        <v>277</v>
      </c>
      <c r="Y35" s="54" t="s">
        <v>278</v>
      </c>
      <c r="Z35" s="54" t="s">
        <v>81</v>
      </c>
      <c r="AA35" s="54" t="s">
        <v>221</v>
      </c>
      <c r="AB35" s="54">
        <v>0</v>
      </c>
      <c r="AC35" s="54">
        <v>0</v>
      </c>
      <c r="AD35" s="54"/>
    </row>
    <row r="36" spans="24:30">
      <c r="X36" s="54" t="s">
        <v>279</v>
      </c>
      <c r="Y36" s="54" t="s">
        <v>280</v>
      </c>
      <c r="Z36" s="54" t="s">
        <v>81</v>
      </c>
      <c r="AA36" s="54" t="s">
        <v>82</v>
      </c>
      <c r="AB36" s="54">
        <v>0</v>
      </c>
      <c r="AC36" s="54">
        <v>0</v>
      </c>
      <c r="AD36" s="54"/>
    </row>
    <row r="37" spans="24:30">
      <c r="X37" s="54" t="s">
        <v>281</v>
      </c>
      <c r="Y37" s="54" t="s">
        <v>282</v>
      </c>
      <c r="Z37" s="54" t="s">
        <v>81</v>
      </c>
      <c r="AA37" s="54" t="s">
        <v>82</v>
      </c>
      <c r="AB37" s="54">
        <v>0</v>
      </c>
      <c r="AC37" s="54">
        <v>0</v>
      </c>
      <c r="AD37" s="54"/>
    </row>
    <row r="38" spans="24:30">
      <c r="X38" s="54" t="s">
        <v>283</v>
      </c>
      <c r="Y38" s="54" t="s">
        <v>284</v>
      </c>
      <c r="Z38" s="54" t="s">
        <v>81</v>
      </c>
      <c r="AA38" s="54" t="s">
        <v>82</v>
      </c>
      <c r="AB38" s="54">
        <v>0</v>
      </c>
      <c r="AC38" s="54">
        <v>0</v>
      </c>
      <c r="AD38" s="54"/>
    </row>
    <row r="39" spans="24:30">
      <c r="X39" s="54" t="s">
        <v>286</v>
      </c>
      <c r="Y39" s="54" t="s">
        <v>285</v>
      </c>
      <c r="Z39" s="54" t="s">
        <v>81</v>
      </c>
      <c r="AA39" s="54" t="s">
        <v>82</v>
      </c>
      <c r="AB39" s="54">
        <v>0</v>
      </c>
      <c r="AC39" s="54">
        <v>0</v>
      </c>
      <c r="AD39" s="54"/>
    </row>
    <row r="40" spans="24:30">
      <c r="X40" s="54" t="s">
        <v>287</v>
      </c>
      <c r="Y40" s="54" t="s">
        <v>288</v>
      </c>
      <c r="Z40" s="54" t="s">
        <v>81</v>
      </c>
      <c r="AA40" s="54" t="s">
        <v>82</v>
      </c>
      <c r="AB40" s="54">
        <v>0</v>
      </c>
      <c r="AC40" s="54">
        <v>0</v>
      </c>
      <c r="AD40" s="54"/>
    </row>
    <row r="41" spans="24:30">
      <c r="X41" s="54" t="s">
        <v>289</v>
      </c>
      <c r="Y41" s="54" t="s">
        <v>290</v>
      </c>
      <c r="Z41" s="54" t="s">
        <v>291</v>
      </c>
      <c r="AA41" s="54" t="s">
        <v>221</v>
      </c>
      <c r="AB41" s="54">
        <v>0</v>
      </c>
      <c r="AC41" s="54">
        <v>300000</v>
      </c>
      <c r="AD41" s="54" t="s">
        <v>406</v>
      </c>
    </row>
    <row r="42" spans="24:30">
      <c r="X42" s="54" t="s">
        <v>293</v>
      </c>
      <c r="Y42" s="54" t="s">
        <v>294</v>
      </c>
      <c r="Z42" s="54" t="s">
        <v>291</v>
      </c>
      <c r="AA42" s="54" t="s">
        <v>221</v>
      </c>
      <c r="AB42" s="54">
        <v>0</v>
      </c>
      <c r="AC42" s="54">
        <v>0</v>
      </c>
      <c r="AD42" s="54"/>
    </row>
    <row r="43" spans="24:30">
      <c r="X43" s="54" t="s">
        <v>218</v>
      </c>
      <c r="Y43" s="54" t="s">
        <v>295</v>
      </c>
      <c r="Z43" s="54" t="s">
        <v>291</v>
      </c>
      <c r="AA43" s="54" t="s">
        <v>221</v>
      </c>
      <c r="AB43" s="54">
        <v>0</v>
      </c>
      <c r="AC43" s="54">
        <v>210000</v>
      </c>
      <c r="AD43" s="54" t="s">
        <v>406</v>
      </c>
    </row>
    <row r="44" spans="24:30">
      <c r="X44" s="54" t="s">
        <v>296</v>
      </c>
      <c r="Y44" s="54" t="s">
        <v>297</v>
      </c>
      <c r="Z44" s="54" t="s">
        <v>291</v>
      </c>
      <c r="AA44" s="54" t="s">
        <v>221</v>
      </c>
      <c r="AB44" s="54">
        <v>0</v>
      </c>
      <c r="AC44" s="54">
        <v>0</v>
      </c>
      <c r="AD44" s="54"/>
    </row>
    <row r="45" spans="24:30">
      <c r="X45" s="54" t="s">
        <v>299</v>
      </c>
      <c r="Y45" s="54" t="s">
        <v>300</v>
      </c>
      <c r="Z45" s="54" t="s">
        <v>291</v>
      </c>
      <c r="AA45" s="54" t="s">
        <v>221</v>
      </c>
      <c r="AB45" s="54">
        <v>0</v>
      </c>
      <c r="AC45" s="54">
        <v>0</v>
      </c>
      <c r="AD45" s="54"/>
    </row>
    <row r="46" spans="24:30">
      <c r="X46" s="54" t="s">
        <v>301</v>
      </c>
      <c r="Y46" s="54" t="s">
        <v>302</v>
      </c>
      <c r="Z46" s="54" t="s">
        <v>291</v>
      </c>
      <c r="AA46" s="54" t="s">
        <v>221</v>
      </c>
      <c r="AB46" s="54">
        <v>0</v>
      </c>
      <c r="AC46" s="54">
        <v>30000</v>
      </c>
      <c r="AD46" s="54" t="s">
        <v>406</v>
      </c>
    </row>
    <row r="47" spans="24:30">
      <c r="X47" s="54" t="s">
        <v>303</v>
      </c>
      <c r="Y47" s="54" t="s">
        <v>304</v>
      </c>
      <c r="Z47" s="54" t="s">
        <v>291</v>
      </c>
      <c r="AA47" s="54" t="s">
        <v>221</v>
      </c>
      <c r="AB47" s="54">
        <v>0</v>
      </c>
      <c r="AC47" s="54">
        <v>0</v>
      </c>
      <c r="AD47" s="54"/>
    </row>
    <row r="48" spans="24:30">
      <c r="X48" s="54" t="s">
        <v>305</v>
      </c>
      <c r="Y48" s="54" t="s">
        <v>306</v>
      </c>
      <c r="Z48" s="54" t="s">
        <v>291</v>
      </c>
      <c r="AA48" s="54" t="s">
        <v>221</v>
      </c>
      <c r="AB48" s="54">
        <v>0</v>
      </c>
      <c r="AC48" s="54">
        <v>0</v>
      </c>
      <c r="AD48" s="54"/>
    </row>
    <row r="49" spans="24:30">
      <c r="X49" s="54" t="s">
        <v>307</v>
      </c>
      <c r="Y49" s="54" t="s">
        <v>308</v>
      </c>
      <c r="Z49" s="54" t="s">
        <v>291</v>
      </c>
      <c r="AA49" s="54" t="s">
        <v>221</v>
      </c>
      <c r="AB49" s="54">
        <v>0</v>
      </c>
      <c r="AC49" s="54">
        <v>0</v>
      </c>
      <c r="AD49" s="54"/>
    </row>
    <row r="50" spans="24:30">
      <c r="X50" s="54" t="s">
        <v>309</v>
      </c>
      <c r="Y50" s="54" t="s">
        <v>310</v>
      </c>
      <c r="Z50" s="54" t="s">
        <v>291</v>
      </c>
      <c r="AA50" s="54" t="s">
        <v>221</v>
      </c>
      <c r="AB50" s="54">
        <v>0</v>
      </c>
      <c r="AC50" s="54">
        <v>0</v>
      </c>
      <c r="AD50" s="54"/>
    </row>
    <row r="51" spans="24:30">
      <c r="X51" s="54" t="s">
        <v>312</v>
      </c>
      <c r="Y51" s="54" t="s">
        <v>313</v>
      </c>
      <c r="Z51" s="54" t="s">
        <v>291</v>
      </c>
      <c r="AA51" s="54" t="s">
        <v>221</v>
      </c>
      <c r="AB51" s="54">
        <v>0</v>
      </c>
      <c r="AC51" s="54">
        <v>0</v>
      </c>
      <c r="AD51" s="54"/>
    </row>
    <row r="52" spans="24:30">
      <c r="X52" s="54" t="s">
        <v>314</v>
      </c>
      <c r="Y52" s="54" t="s">
        <v>315</v>
      </c>
      <c r="Z52" s="54" t="s">
        <v>291</v>
      </c>
      <c r="AA52" s="54" t="s">
        <v>221</v>
      </c>
      <c r="AB52" s="54">
        <v>0</v>
      </c>
      <c r="AC52" s="54">
        <v>0</v>
      </c>
      <c r="AD52" s="54"/>
    </row>
    <row r="53" spans="24:30">
      <c r="X53" s="54" t="s">
        <v>316</v>
      </c>
      <c r="Y53" s="54" t="s">
        <v>317</v>
      </c>
      <c r="Z53" s="54" t="s">
        <v>291</v>
      </c>
      <c r="AA53" s="54" t="s">
        <v>221</v>
      </c>
      <c r="AB53" s="54">
        <v>0</v>
      </c>
      <c r="AC53" s="54">
        <v>0</v>
      </c>
      <c r="AD53" s="54"/>
    </row>
    <row r="54" spans="24:30">
      <c r="X54" s="54" t="s">
        <v>318</v>
      </c>
      <c r="Y54" s="54" t="s">
        <v>319</v>
      </c>
      <c r="Z54" s="54" t="s">
        <v>291</v>
      </c>
      <c r="AA54" s="54" t="s">
        <v>221</v>
      </c>
      <c r="AB54" s="54">
        <v>0</v>
      </c>
      <c r="AC54" s="54">
        <v>0</v>
      </c>
      <c r="AD54" s="54"/>
    </row>
    <row r="55" spans="24:30">
      <c r="X55" s="54" t="s">
        <v>320</v>
      </c>
      <c r="Y55" s="54" t="s">
        <v>321</v>
      </c>
      <c r="Z55" s="54" t="s">
        <v>291</v>
      </c>
      <c r="AA55" s="54" t="s">
        <v>221</v>
      </c>
      <c r="AB55" s="54">
        <v>0</v>
      </c>
      <c r="AC55" s="54">
        <v>0</v>
      </c>
      <c r="AD55" s="54"/>
    </row>
    <row r="56" spans="24:30">
      <c r="X56" s="54" t="s">
        <v>322</v>
      </c>
      <c r="Y56" s="54" t="s">
        <v>323</v>
      </c>
      <c r="Z56" s="54" t="s">
        <v>291</v>
      </c>
      <c r="AA56" s="54" t="s">
        <v>221</v>
      </c>
      <c r="AB56" s="54">
        <v>0</v>
      </c>
      <c r="AC56" s="54">
        <v>0</v>
      </c>
      <c r="AD56" s="54"/>
    </row>
    <row r="57" spans="24:30">
      <c r="X57" s="54" t="s">
        <v>324</v>
      </c>
      <c r="Y57" s="54" t="s">
        <v>325</v>
      </c>
      <c r="Z57" s="54" t="s">
        <v>291</v>
      </c>
      <c r="AA57" s="54" t="s">
        <v>221</v>
      </c>
      <c r="AB57" s="54">
        <v>0</v>
      </c>
      <c r="AC57" s="54">
        <v>0</v>
      </c>
      <c r="AD57" s="54"/>
    </row>
    <row r="58" spans="24:30">
      <c r="X58" s="54" t="s">
        <v>326</v>
      </c>
      <c r="Y58" s="54" t="s">
        <v>327</v>
      </c>
      <c r="Z58" s="54" t="s">
        <v>328</v>
      </c>
      <c r="AA58" s="54" t="s">
        <v>221</v>
      </c>
      <c r="AB58" s="54">
        <v>0</v>
      </c>
      <c r="AC58" s="54">
        <v>1000000</v>
      </c>
      <c r="AD58" s="54" t="s">
        <v>406</v>
      </c>
    </row>
    <row r="59" spans="24:30">
      <c r="X59" s="54" t="s">
        <v>329</v>
      </c>
      <c r="Y59" s="54" t="s">
        <v>330</v>
      </c>
      <c r="Z59" s="54" t="s">
        <v>328</v>
      </c>
      <c r="AA59" s="54" t="s">
        <v>221</v>
      </c>
      <c r="AB59" s="54">
        <v>0</v>
      </c>
      <c r="AC59" s="54">
        <v>0</v>
      </c>
      <c r="AD59" s="54"/>
    </row>
    <row r="60" spans="24:30">
      <c r="X60" s="54" t="s">
        <v>331</v>
      </c>
      <c r="Y60" s="54" t="s">
        <v>332</v>
      </c>
      <c r="Z60" s="54" t="s">
        <v>328</v>
      </c>
      <c r="AA60" s="54" t="s">
        <v>221</v>
      </c>
      <c r="AB60" s="54">
        <v>0</v>
      </c>
      <c r="AC60" s="54">
        <v>0</v>
      </c>
      <c r="AD60" s="54"/>
    </row>
    <row r="61" spans="24:30">
      <c r="X61" s="54" t="s">
        <v>333</v>
      </c>
      <c r="Y61" s="54" t="s">
        <v>334</v>
      </c>
      <c r="Z61" s="54" t="s">
        <v>328</v>
      </c>
      <c r="AA61" s="54" t="s">
        <v>221</v>
      </c>
      <c r="AB61" s="54">
        <v>0</v>
      </c>
      <c r="AC61" s="54">
        <v>0</v>
      </c>
      <c r="AD61" s="54"/>
    </row>
    <row r="62" spans="24:30">
      <c r="X62" s="54" t="s">
        <v>335</v>
      </c>
      <c r="Y62" s="54" t="s">
        <v>336</v>
      </c>
      <c r="Z62" s="54" t="s">
        <v>328</v>
      </c>
      <c r="AA62" s="54" t="s">
        <v>221</v>
      </c>
      <c r="AB62" s="54">
        <v>0</v>
      </c>
      <c r="AC62" s="54">
        <v>178000</v>
      </c>
      <c r="AD62" s="54" t="s">
        <v>406</v>
      </c>
    </row>
    <row r="63" spans="24:30">
      <c r="X63" s="54" t="s">
        <v>338</v>
      </c>
      <c r="Y63" s="54" t="s">
        <v>339</v>
      </c>
      <c r="Z63" s="54" t="s">
        <v>340</v>
      </c>
      <c r="AA63" s="54" t="s">
        <v>82</v>
      </c>
      <c r="AB63" s="54">
        <v>0</v>
      </c>
      <c r="AC63" s="54">
        <v>0</v>
      </c>
      <c r="AD63" s="54"/>
    </row>
    <row r="64" spans="24:30">
      <c r="X64" s="54" t="s">
        <v>341</v>
      </c>
      <c r="Y64" s="54" t="s">
        <v>342</v>
      </c>
      <c r="Z64" s="54" t="s">
        <v>340</v>
      </c>
      <c r="AA64" s="54" t="s">
        <v>82</v>
      </c>
      <c r="AB64" s="54">
        <v>0</v>
      </c>
      <c r="AC64" s="54">
        <v>0</v>
      </c>
      <c r="AD64" s="54"/>
    </row>
    <row r="65" spans="24:30">
      <c r="X65" s="54" t="s">
        <v>343</v>
      </c>
      <c r="Y65" s="54" t="s">
        <v>344</v>
      </c>
      <c r="Z65" s="54" t="s">
        <v>340</v>
      </c>
      <c r="AA65" s="54" t="s">
        <v>82</v>
      </c>
      <c r="AB65" s="54">
        <v>0</v>
      </c>
      <c r="AC65" s="54">
        <v>0</v>
      </c>
      <c r="AD65" s="54"/>
    </row>
    <row r="66" spans="24:30">
      <c r="X66" s="54" t="s">
        <v>345</v>
      </c>
      <c r="Y66" s="54" t="s">
        <v>346</v>
      </c>
      <c r="Z66" s="54" t="s">
        <v>340</v>
      </c>
      <c r="AA66" s="54" t="s">
        <v>82</v>
      </c>
      <c r="AB66" s="54">
        <v>0</v>
      </c>
      <c r="AC66" s="54">
        <v>0</v>
      </c>
      <c r="AD66" s="54"/>
    </row>
    <row r="67" spans="24:30">
      <c r="X67" s="54" t="s">
        <v>348</v>
      </c>
      <c r="Y67" s="54" t="s">
        <v>349</v>
      </c>
      <c r="Z67" s="54" t="s">
        <v>77</v>
      </c>
      <c r="AA67" s="54" t="s">
        <v>221</v>
      </c>
      <c r="AB67" s="54">
        <v>0</v>
      </c>
      <c r="AC67" s="54">
        <v>0</v>
      </c>
      <c r="AD67" s="54"/>
    </row>
    <row r="68" spans="24:30">
      <c r="X68" s="54" t="s">
        <v>99</v>
      </c>
      <c r="Y68" s="54" t="s">
        <v>112</v>
      </c>
      <c r="Z68" s="54" t="s">
        <v>77</v>
      </c>
      <c r="AA68" s="54" t="s">
        <v>221</v>
      </c>
      <c r="AB68" s="54">
        <v>0</v>
      </c>
      <c r="AC68" s="54">
        <v>0</v>
      </c>
      <c r="AD68" s="54"/>
    </row>
    <row r="69" spans="24:30">
      <c r="X69" s="54" t="s">
        <v>352</v>
      </c>
      <c r="Y69" s="54" t="s">
        <v>353</v>
      </c>
      <c r="Z69" s="54" t="s">
        <v>77</v>
      </c>
      <c r="AA69" s="54" t="s">
        <v>221</v>
      </c>
      <c r="AB69" s="54">
        <v>0</v>
      </c>
      <c r="AC69" s="54">
        <v>0</v>
      </c>
      <c r="AD69" s="54"/>
    </row>
    <row r="70" spans="24:30">
      <c r="X70" s="54" t="s">
        <v>355</v>
      </c>
      <c r="Y70" s="54" t="s">
        <v>356</v>
      </c>
      <c r="Z70" s="54" t="s">
        <v>77</v>
      </c>
      <c r="AA70" s="54" t="s">
        <v>221</v>
      </c>
      <c r="AB70" s="54">
        <v>0</v>
      </c>
      <c r="AC70" s="54">
        <v>0</v>
      </c>
      <c r="AD70" s="54"/>
    </row>
    <row r="71" spans="24:30">
      <c r="X71" s="54" t="s">
        <v>357</v>
      </c>
      <c r="Y71" s="54" t="s">
        <v>358</v>
      </c>
      <c r="Z71" s="54" t="s">
        <v>77</v>
      </c>
      <c r="AA71" s="54" t="s">
        <v>221</v>
      </c>
      <c r="AB71" s="54">
        <v>0</v>
      </c>
      <c r="AC71" s="54">
        <v>0</v>
      </c>
      <c r="AD71" s="54"/>
    </row>
    <row r="72" spans="24:30">
      <c r="X72" s="54" t="s">
        <v>359</v>
      </c>
      <c r="Y72" s="54" t="s">
        <v>360</v>
      </c>
      <c r="Z72" s="54" t="s">
        <v>77</v>
      </c>
      <c r="AA72" s="54" t="s">
        <v>221</v>
      </c>
      <c r="AB72" s="54">
        <v>0</v>
      </c>
      <c r="AC72" s="54">
        <v>0</v>
      </c>
      <c r="AD72" s="54"/>
    </row>
    <row r="73" spans="24:30">
      <c r="X73" s="54" t="s">
        <v>361</v>
      </c>
      <c r="Y73" s="54" t="s">
        <v>362</v>
      </c>
      <c r="Z73" s="54" t="s">
        <v>77</v>
      </c>
      <c r="AA73" s="54" t="s">
        <v>221</v>
      </c>
      <c r="AB73" s="54">
        <v>0</v>
      </c>
      <c r="AC73" s="54">
        <v>0</v>
      </c>
      <c r="AD73" s="54"/>
    </row>
    <row r="74" spans="24:30">
      <c r="X74" s="54" t="s">
        <v>363</v>
      </c>
      <c r="Y74" s="54" t="s">
        <v>364</v>
      </c>
      <c r="Z74" s="54" t="s">
        <v>365</v>
      </c>
      <c r="AA74" s="54" t="s">
        <v>82</v>
      </c>
      <c r="AB74" s="54">
        <v>0</v>
      </c>
      <c r="AC74" s="54">
        <v>0</v>
      </c>
      <c r="AD74" s="54"/>
    </row>
    <row r="75" spans="24:30">
      <c r="X75" s="54" t="s">
        <v>368</v>
      </c>
      <c r="Y75" s="54" t="s">
        <v>369</v>
      </c>
      <c r="Z75" s="54" t="s">
        <v>365</v>
      </c>
      <c r="AA75" s="54" t="s">
        <v>82</v>
      </c>
      <c r="AB75" s="54">
        <v>0</v>
      </c>
      <c r="AC75" s="54">
        <v>0</v>
      </c>
      <c r="AD75" s="54"/>
    </row>
    <row r="76" spans="24:30">
      <c r="X76" s="54" t="s">
        <v>370</v>
      </c>
      <c r="Y76" s="54" t="s">
        <v>371</v>
      </c>
      <c r="Z76" s="54" t="s">
        <v>365</v>
      </c>
      <c r="AA76" s="54" t="s">
        <v>82</v>
      </c>
      <c r="AB76" s="54">
        <v>0</v>
      </c>
      <c r="AC76" s="54">
        <v>0</v>
      </c>
      <c r="AD76" s="54"/>
    </row>
    <row r="77" spans="24:30">
      <c r="X77" s="54" t="s">
        <v>246</v>
      </c>
      <c r="Y77" s="54" t="s">
        <v>372</v>
      </c>
      <c r="Z77" s="54" t="s">
        <v>365</v>
      </c>
      <c r="AA77" s="54" t="s">
        <v>82</v>
      </c>
      <c r="AB77" s="54">
        <v>0</v>
      </c>
      <c r="AC77" s="54">
        <v>0</v>
      </c>
      <c r="AD77" s="54"/>
    </row>
    <row r="78" spans="24:30">
      <c r="X78" s="54" t="s">
        <v>223</v>
      </c>
      <c r="Y78" s="54" t="s">
        <v>374</v>
      </c>
      <c r="Z78" s="54" t="s">
        <v>365</v>
      </c>
      <c r="AA78" s="54" t="s">
        <v>82</v>
      </c>
      <c r="AB78" s="54">
        <v>0</v>
      </c>
      <c r="AC78" s="54">
        <v>0</v>
      </c>
      <c r="AD78" s="54"/>
    </row>
    <row r="79" spans="24:30">
      <c r="X79" s="54" t="s">
        <v>253</v>
      </c>
      <c r="Y79" s="54" t="s">
        <v>375</v>
      </c>
      <c r="Z79" s="54" t="s">
        <v>365</v>
      </c>
      <c r="AA79" s="54" t="s">
        <v>82</v>
      </c>
      <c r="AB79" s="54">
        <v>0</v>
      </c>
      <c r="AC79" s="54">
        <v>0</v>
      </c>
      <c r="AD79" s="54"/>
    </row>
    <row r="80" spans="24:30">
      <c r="X80" s="54" t="s">
        <v>376</v>
      </c>
      <c r="Y80" s="54" t="s">
        <v>377</v>
      </c>
      <c r="Z80" s="54" t="s">
        <v>365</v>
      </c>
      <c r="AA80" s="54" t="s">
        <v>82</v>
      </c>
      <c r="AB80" s="54">
        <v>0</v>
      </c>
      <c r="AC80" s="54">
        <v>0</v>
      </c>
      <c r="AD80" s="54"/>
    </row>
    <row r="81" spans="24:30">
      <c r="X81" s="54" t="s">
        <v>378</v>
      </c>
      <c r="Y81" s="54" t="s">
        <v>379</v>
      </c>
      <c r="Z81" s="54" t="s">
        <v>365</v>
      </c>
      <c r="AA81" s="54" t="s">
        <v>82</v>
      </c>
      <c r="AB81" s="54">
        <v>0</v>
      </c>
      <c r="AC81" s="54">
        <v>0</v>
      </c>
      <c r="AD81" s="54"/>
    </row>
    <row r="82" spans="24:30">
      <c r="X82" s="54" t="s">
        <v>380</v>
      </c>
      <c r="Y82" s="54" t="s">
        <v>381</v>
      </c>
      <c r="Z82" s="54" t="s">
        <v>365</v>
      </c>
      <c r="AA82" s="54" t="s">
        <v>82</v>
      </c>
      <c r="AB82" s="54">
        <v>0</v>
      </c>
      <c r="AC82" s="54">
        <v>0</v>
      </c>
      <c r="AD82" s="54"/>
    </row>
    <row r="83" spans="24:30">
      <c r="X83" s="54" t="s">
        <v>382</v>
      </c>
      <c r="Y83" s="54" t="s">
        <v>383</v>
      </c>
      <c r="Z83" s="54" t="s">
        <v>365</v>
      </c>
      <c r="AA83" s="54" t="s">
        <v>82</v>
      </c>
      <c r="AB83" s="54">
        <v>0</v>
      </c>
      <c r="AC83" s="54">
        <v>0</v>
      </c>
      <c r="AD83" s="54"/>
    </row>
    <row r="84" spans="24:30">
      <c r="X84" s="54" t="s">
        <v>384</v>
      </c>
      <c r="Y84" s="54" t="s">
        <v>385</v>
      </c>
      <c r="Z84" s="54" t="s">
        <v>365</v>
      </c>
      <c r="AA84" s="54" t="s">
        <v>82</v>
      </c>
      <c r="AB84" s="54">
        <v>0</v>
      </c>
      <c r="AC84" s="54">
        <v>0</v>
      </c>
      <c r="AD84" s="5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3"/>
  <sheetViews>
    <sheetView workbookViewId="0">
      <selection activeCell="A1" sqref="A1"/>
    </sheetView>
  </sheetViews>
  <sheetFormatPr defaultColWidth="9" defaultRowHeight="14.25"/>
  <cols>
    <col min="1" max="1" width="12" customWidth="1"/>
    <col min="2" max="2" width="10" customWidth="1"/>
    <col min="3" max="3" width="9" customWidth="1"/>
    <col min="4" max="4" width="14" customWidth="1"/>
    <col min="5" max="5" width="12" customWidth="1"/>
    <col min="6" max="6" width="16" customWidth="1"/>
    <col min="7" max="7" width="12" customWidth="1"/>
    <col min="8" max="8" width="10" customWidth="1"/>
    <col min="9" max="9" width="22" customWidth="1"/>
    <col min="10" max="11" width="12" customWidth="1"/>
    <col min="12" max="12" width="13" customWidth="1"/>
    <col min="13" max="13" width="10" customWidth="1"/>
    <col min="14" max="14" width="12" customWidth="1"/>
    <col min="15" max="16" width="10" customWidth="1"/>
    <col min="17" max="17" width="12" customWidth="1"/>
    <col min="18" max="18" width="13" customWidth="1"/>
  </cols>
  <sheetData>
    <row r="1" ht="20.25" spans="1:18">
      <c r="A1" s="45" t="s">
        <v>407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>
      <c r="A2" s="61" t="s">
        <v>408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ht="28.5" spans="1:18">
      <c r="A3" s="43" t="s">
        <v>409</v>
      </c>
      <c r="B3" s="43" t="s">
        <v>410</v>
      </c>
      <c r="C3" s="43" t="s">
        <v>48</v>
      </c>
      <c r="D3" s="43" t="s">
        <v>49</v>
      </c>
      <c r="E3" s="43" t="s">
        <v>392</v>
      </c>
      <c r="F3" s="43" t="s">
        <v>411</v>
      </c>
      <c r="G3" s="43" t="s">
        <v>19</v>
      </c>
      <c r="H3" s="43" t="s">
        <v>20</v>
      </c>
      <c r="I3" s="43" t="s">
        <v>412</v>
      </c>
      <c r="J3" s="43" t="s">
        <v>413</v>
      </c>
      <c r="K3" s="43" t="s">
        <v>414</v>
      </c>
      <c r="L3" s="43" t="s">
        <v>415</v>
      </c>
      <c r="M3" s="43" t="s">
        <v>28</v>
      </c>
      <c r="N3" s="43" t="s">
        <v>416</v>
      </c>
      <c r="O3" s="43" t="s">
        <v>417</v>
      </c>
      <c r="P3" s="43" t="s">
        <v>418</v>
      </c>
      <c r="Q3" s="43" t="s">
        <v>419</v>
      </c>
      <c r="R3" s="43" t="s">
        <v>420</v>
      </c>
    </row>
    <row r="4" spans="1:18">
      <c r="A4" s="60">
        <v>46175</v>
      </c>
      <c r="B4" s="11" t="str">
        <f t="shared" ref="B4:B67" si="0">IF(A4="","",TEXT(A4,"yyyy-mm"))</f>
        <v>2026-06</v>
      </c>
      <c r="C4" s="11" t="str">
        <f>IF(D4="","",IFERROR(INDEX(基础资料!$AJ$5:$AJ$204,MATCH(D4,基础资料!$AK$5:$AK$204,0)),""))</f>
        <v>收入</v>
      </c>
      <c r="D4" s="54" t="s">
        <v>4</v>
      </c>
      <c r="E4" s="54" t="s">
        <v>87</v>
      </c>
      <c r="F4" s="54" t="s">
        <v>73</v>
      </c>
      <c r="G4" s="54" t="s">
        <v>65</v>
      </c>
      <c r="H4" s="54" t="s">
        <v>66</v>
      </c>
      <c r="I4" s="54" t="s">
        <v>421</v>
      </c>
      <c r="J4" s="55">
        <v>12000</v>
      </c>
      <c r="K4" s="55">
        <v>0</v>
      </c>
      <c r="L4" s="62">
        <f>IF(OR(A4="",E4=""),"",SUMIFS(期初数据!$C$5:$C$14,期初数据!$A$5:$A$14,E4)+SUMIFS($J$4:J4,$E$4:E4,E4)-SUMIFS($K$4:K4,$E$4:E4,E4)+SUMIFS($K$4:K4,$F$4:F4,E4,$D$4:D4,"账户转账"))</f>
        <v>312000</v>
      </c>
      <c r="M4" s="11" t="str">
        <f>IF(E4="","",IFERROR(VLOOKUP(E4,基础资料!$A$5:$C$204,3,FALSE),""))</f>
        <v>1002</v>
      </c>
      <c r="N4" s="11" t="str">
        <f>IF(D4="账户转账",IFERROR(VLOOKUP(F4,基础资料!$A$5:$C$204,3,FALSE),""),"")</f>
        <v/>
      </c>
      <c r="O4" s="11" t="str">
        <f>IF(D4="","",IF(D4="账户转账",N4,IFERROR(IF(VLOOKUP(D4,基础资料!$AK$5:$AM$204,2,FALSE)="1002",M4,VLOOKUP(D4,基础资料!$AK$5:$AM$204,2,FALSE)),"")))</f>
        <v>1002</v>
      </c>
      <c r="P4" s="11" t="str">
        <f>IF(D4="","",IF(D4="账户转账",M4,IFERROR(IF(VLOOKUP(D4,基础资料!$AK$5:$AM$204,3,FALSE)="1002",M4,VLOOKUP(D4,基础资料!$AK$5:$AM$204,3,FALSE)),"")))</f>
        <v>1122</v>
      </c>
      <c r="Q4" s="62">
        <f t="shared" ref="Q4:Q67" si="1">IF(A4="","",N(J4)+N(K4))</f>
        <v>12000</v>
      </c>
      <c r="R4" s="11" t="str">
        <f t="shared" ref="R4:R67" si="2">IF(A4="","","可录入")</f>
        <v>可录入</v>
      </c>
    </row>
    <row r="5" spans="1:18">
      <c r="A5" s="60">
        <v>46176</v>
      </c>
      <c r="B5" s="11" t="str">
        <f t="shared" si="0"/>
        <v>2026-06</v>
      </c>
      <c r="C5" s="11" t="str">
        <f>IF(D5="","",IFERROR(INDEX(基础资料!$AJ$5:$AJ$204,MATCH(D5,基础资料!$AK$5:$AK$204,0)),""))</f>
        <v>支出</v>
      </c>
      <c r="D5" s="54" t="s">
        <v>217</v>
      </c>
      <c r="E5" s="54" t="s">
        <v>87</v>
      </c>
      <c r="F5" s="54" t="s">
        <v>75</v>
      </c>
      <c r="G5" s="54" t="s">
        <v>103</v>
      </c>
      <c r="H5" s="54" t="s">
        <v>76</v>
      </c>
      <c r="I5" s="54" t="s">
        <v>422</v>
      </c>
      <c r="J5" s="55">
        <v>0</v>
      </c>
      <c r="K5" s="55">
        <v>10000</v>
      </c>
      <c r="L5" s="62">
        <f>IF(OR(A5="",E5=""),"",SUMIFS(期初数据!$C$5:$C$14,期初数据!$A$5:$A$14,E5)+SUMIFS($J$4:J5,$E$4:E5,E5)-SUMIFS($K$4:K5,$E$4:E5,E5)+SUMIFS($K$4:K5,$F$4:F5,E5,$D$4:D5,"账户转账"))</f>
        <v>302000</v>
      </c>
      <c r="M5" s="11" t="str">
        <f>IF(E5="","",IFERROR(VLOOKUP(E5,基础资料!$A$5:$C$204,3,FALSE),""))</f>
        <v>1002</v>
      </c>
      <c r="N5" s="11" t="str">
        <f>IF(D5="账户转账",IFERROR(VLOOKUP(F5,基础资料!$A$5:$C$204,3,FALSE),""),"")</f>
        <v/>
      </c>
      <c r="O5" s="11" t="str">
        <f>IF(D5="","",IF(D5="账户转账",N5,IFERROR(IF(VLOOKUP(D5,基础资料!$AK$5:$AM$204,2,FALSE)="1002",M5,VLOOKUP(D5,基础资料!$AK$5:$AM$204,2,FALSE)),"")))</f>
        <v>2202</v>
      </c>
      <c r="P5" s="11" t="str">
        <f>IF(D5="","",IF(D5="账户转账",M5,IFERROR(IF(VLOOKUP(D5,基础资料!$AK$5:$AM$204,3,FALSE)="1002",M5,VLOOKUP(D5,基础资料!$AK$5:$AM$204,3,FALSE)),"")))</f>
        <v>1002</v>
      </c>
      <c r="Q5" s="62">
        <f t="shared" si="1"/>
        <v>10000</v>
      </c>
      <c r="R5" s="11" t="str">
        <f t="shared" si="2"/>
        <v>可录入</v>
      </c>
    </row>
    <row r="6" spans="1:18">
      <c r="A6" s="60">
        <v>46178</v>
      </c>
      <c r="B6" s="11" t="str">
        <f t="shared" si="0"/>
        <v>2026-06</v>
      </c>
      <c r="C6" s="11" t="str">
        <f>IF(D6="","",IFERROR(INDEX(基础资料!$AJ$5:$AJ$204,MATCH(D6,基础资料!$AK$5:$AK$204,0)),""))</f>
        <v>支出</v>
      </c>
      <c r="D6" s="54" t="s">
        <v>222</v>
      </c>
      <c r="E6" s="54" t="s">
        <v>157</v>
      </c>
      <c r="F6" s="54"/>
      <c r="G6" s="54" t="s">
        <v>102</v>
      </c>
      <c r="H6" s="54" t="s">
        <v>116</v>
      </c>
      <c r="I6" s="54" t="s">
        <v>423</v>
      </c>
      <c r="J6" s="55">
        <v>0</v>
      </c>
      <c r="K6" s="55">
        <v>800</v>
      </c>
      <c r="L6" s="62">
        <f>IF(OR(A6="",E6=""),"",SUMIFS(期初数据!$C$5:$C$14,期初数据!$A$5:$A$14,E6)+SUMIFS($J$4:J6,$E$4:E6,E6)-SUMIFS($K$4:K6,$E$4:E6,E6)+SUMIFS($K$4:K6,$F$4:F6,E6,$D$4:D6,"账户转账"))</f>
        <v>19200</v>
      </c>
      <c r="M6" s="11" t="str">
        <f>IF(E6="","",IFERROR(VLOOKUP(E6,基础资料!$A$5:$C$204,3,FALSE),""))</f>
        <v>1002</v>
      </c>
      <c r="N6" s="11" t="str">
        <f>IF(D6="账户转账",IFERROR(VLOOKUP(F6,基础资料!$A$5:$C$204,3,FALSE),""),"")</f>
        <v/>
      </c>
      <c r="O6" s="11" t="str">
        <f>IF(D6="","",IF(D6="账户转账",N6,IFERROR(IF(VLOOKUP(D6,基础资料!$AK$5:$AM$204,2,FALSE)="1002",M6,VLOOKUP(D6,基础资料!$AK$5:$AM$204,2,FALSE)),"")))</f>
        <v>6602</v>
      </c>
      <c r="P6" s="11" t="str">
        <f>IF(D6="","",IF(D6="账户转账",M6,IFERROR(IF(VLOOKUP(D6,基础资料!$AK$5:$AM$204,3,FALSE)="1002",M6,VLOOKUP(D6,基础资料!$AK$5:$AM$204,3,FALSE)),"")))</f>
        <v>1002</v>
      </c>
      <c r="Q6" s="62">
        <f t="shared" si="1"/>
        <v>800</v>
      </c>
      <c r="R6" s="11" t="str">
        <f t="shared" si="2"/>
        <v>可录入</v>
      </c>
    </row>
    <row r="7" spans="1:18">
      <c r="A7" s="60">
        <v>46181</v>
      </c>
      <c r="B7" s="11" t="str">
        <f t="shared" si="0"/>
        <v>2026-06</v>
      </c>
      <c r="C7" s="11" t="str">
        <f>IF(D7="","",IFERROR(INDEX(基础资料!$AJ$5:$AJ$204,MATCH(D7,基础资料!$AK$5:$AK$204,0)),""))</f>
        <v>支出</v>
      </c>
      <c r="D7" s="54" t="s">
        <v>227</v>
      </c>
      <c r="E7" s="54" t="s">
        <v>101</v>
      </c>
      <c r="F7" s="54"/>
      <c r="G7" s="54" t="s">
        <v>102</v>
      </c>
      <c r="H7" s="54" t="s">
        <v>116</v>
      </c>
      <c r="I7" s="54" t="s">
        <v>424</v>
      </c>
      <c r="J7" s="55">
        <v>0</v>
      </c>
      <c r="K7" s="55">
        <v>5000</v>
      </c>
      <c r="L7" s="62">
        <f>IF(OR(A7="",E7=""),"",SUMIFS(期初数据!$C$5:$C$14,期初数据!$A$5:$A$14,E7)+SUMIFS($J$4:J7,$E$4:E7,E7)-SUMIFS($K$4:K7,$E$4:E7,E7)+SUMIFS($K$4:K7,$F$4:F7,E7,$D$4:D7,"账户转账"))</f>
        <v>195000</v>
      </c>
      <c r="M7" s="11" t="str">
        <f>IF(E7="","",IFERROR(VLOOKUP(E7,基础资料!$A$5:$C$204,3,FALSE),""))</f>
        <v>1002</v>
      </c>
      <c r="N7" s="11" t="str">
        <f>IF(D7="账户转账",IFERROR(VLOOKUP(F7,基础资料!$A$5:$C$204,3,FALSE),""),"")</f>
        <v/>
      </c>
      <c r="O7" s="11" t="str">
        <f>IF(D7="","",IF(D7="账户转账",N7,IFERROR(IF(VLOOKUP(D7,基础资料!$AK$5:$AM$204,2,FALSE)="1002",M7,VLOOKUP(D7,基础资料!$AK$5:$AM$204,2,FALSE)),"")))</f>
        <v>6602</v>
      </c>
      <c r="P7" s="11" t="str">
        <f>IF(D7="","",IF(D7="账户转账",M7,IFERROR(IF(VLOOKUP(D7,基础资料!$AK$5:$AM$204,3,FALSE)="1002",M7,VLOOKUP(D7,基础资料!$AK$5:$AM$204,3,FALSE)),"")))</f>
        <v>1002</v>
      </c>
      <c r="Q7" s="62">
        <f t="shared" si="1"/>
        <v>5000</v>
      </c>
      <c r="R7" s="11" t="str">
        <f t="shared" si="2"/>
        <v>可录入</v>
      </c>
    </row>
    <row r="8" spans="1:18">
      <c r="A8" s="60">
        <v>46183</v>
      </c>
      <c r="B8" s="11" t="str">
        <f t="shared" si="0"/>
        <v>2026-06</v>
      </c>
      <c r="C8" s="11" t="str">
        <f>IF(D8="","",IFERROR(INDEX(基础资料!$AJ$5:$AJ$204,MATCH(D8,基础资料!$AK$5:$AK$204,0)),""))</f>
        <v>支出</v>
      </c>
      <c r="D8" s="54" t="s">
        <v>230</v>
      </c>
      <c r="E8" s="54" t="s">
        <v>87</v>
      </c>
      <c r="F8" s="54"/>
      <c r="G8" s="54" t="s">
        <v>102</v>
      </c>
      <c r="H8" s="54" t="s">
        <v>116</v>
      </c>
      <c r="I8" s="54" t="s">
        <v>425</v>
      </c>
      <c r="J8" s="55">
        <v>0</v>
      </c>
      <c r="K8" s="55">
        <v>1800</v>
      </c>
      <c r="L8" s="62">
        <f>IF(OR(A8="",E8=""),"",SUMIFS(期初数据!$C$5:$C$14,期初数据!$A$5:$A$14,E8)+SUMIFS($J$4:J8,$E$4:E8,E8)-SUMIFS($K$4:K8,$E$4:E8,E8)+SUMIFS($K$4:K8,$F$4:F8,E8,$D$4:D8,"账户转账"))</f>
        <v>300200</v>
      </c>
      <c r="M8" s="11" t="str">
        <f>IF(E8="","",IFERROR(VLOOKUP(E8,基础资料!$A$5:$C$204,3,FALSE),""))</f>
        <v>1002</v>
      </c>
      <c r="N8" s="11" t="str">
        <f>IF(D8="账户转账",IFERROR(VLOOKUP(F8,基础资料!$A$5:$C$204,3,FALSE),""),"")</f>
        <v/>
      </c>
      <c r="O8" s="11" t="str">
        <f>IF(D8="","",IF(D8="账户转账",N8,IFERROR(IF(VLOOKUP(D8,基础资料!$AK$5:$AM$204,2,FALSE)="1002",M8,VLOOKUP(D8,基础资料!$AK$5:$AM$204,2,FALSE)),"")))</f>
        <v>6602</v>
      </c>
      <c r="P8" s="11" t="str">
        <f>IF(D8="","",IF(D8="账户转账",M8,IFERROR(IF(VLOOKUP(D8,基础资料!$AK$5:$AM$204,3,FALSE)="1002",M8,VLOOKUP(D8,基础资料!$AK$5:$AM$204,3,FALSE)),"")))</f>
        <v>1002</v>
      </c>
      <c r="Q8" s="62">
        <f t="shared" si="1"/>
        <v>1800</v>
      </c>
      <c r="R8" s="11" t="str">
        <f t="shared" si="2"/>
        <v>可录入</v>
      </c>
    </row>
    <row r="9" spans="1:18">
      <c r="A9" s="60">
        <v>46185</v>
      </c>
      <c r="B9" s="11" t="str">
        <f t="shared" si="0"/>
        <v>2026-06</v>
      </c>
      <c r="C9" s="11" t="str">
        <f>IF(D9="","",IFERROR(INDEX(基础资料!$AJ$5:$AJ$204,MATCH(D9,基础资料!$AK$5:$AK$204,0)),""))</f>
        <v>支出</v>
      </c>
      <c r="D9" s="54" t="s">
        <v>245</v>
      </c>
      <c r="E9" s="54" t="s">
        <v>173</v>
      </c>
      <c r="F9" s="54"/>
      <c r="G9" s="54" t="s">
        <v>174</v>
      </c>
      <c r="H9" s="54" t="s">
        <v>175</v>
      </c>
      <c r="I9" s="54" t="s">
        <v>426</v>
      </c>
      <c r="J9" s="55">
        <v>0</v>
      </c>
      <c r="K9" s="55">
        <v>2000</v>
      </c>
      <c r="L9" s="62">
        <f>IF(OR(A9="",E9=""),"",SUMIFS(期初数据!$C$5:$C$14,期初数据!$A$5:$A$14,E9)+SUMIFS($J$4:J9,$E$4:E9,E9)-SUMIFS($K$4:K9,$E$4:E9,E9)+SUMIFS($K$4:K9,$F$4:F9,E9,$D$4:D9,"账户转账"))</f>
        <v>13000</v>
      </c>
      <c r="M9" s="11" t="str">
        <f>IF(E9="","",IFERROR(VLOOKUP(E9,基础资料!$A$5:$C$204,3,FALSE),""))</f>
        <v>1002</v>
      </c>
      <c r="N9" s="11" t="str">
        <f>IF(D9="账户转账",IFERROR(VLOOKUP(F9,基础资料!$A$5:$C$204,3,FALSE),""),"")</f>
        <v/>
      </c>
      <c r="O9" s="11" t="str">
        <f>IF(D9="","",IF(D9="账户转账",N9,IFERROR(IF(VLOOKUP(D9,基础资料!$AK$5:$AM$204,2,FALSE)="1002",M9,VLOOKUP(D9,基础资料!$AK$5:$AM$204,2,FALSE)),"")))</f>
        <v>6601</v>
      </c>
      <c r="P9" s="11" t="str">
        <f>IF(D9="","",IF(D9="账户转账",M9,IFERROR(IF(VLOOKUP(D9,基础资料!$AK$5:$AM$204,3,FALSE)="1002",M9,VLOOKUP(D9,基础资料!$AK$5:$AM$204,3,FALSE)),"")))</f>
        <v>1002</v>
      </c>
      <c r="Q9" s="62">
        <f t="shared" si="1"/>
        <v>2000</v>
      </c>
      <c r="R9" s="11" t="str">
        <f t="shared" si="2"/>
        <v>可录入</v>
      </c>
    </row>
    <row r="10" spans="1:18">
      <c r="A10" s="60">
        <v>46188</v>
      </c>
      <c r="B10" s="11" t="str">
        <f t="shared" si="0"/>
        <v>2026-06</v>
      </c>
      <c r="C10" s="11" t="str">
        <f>IF(D10="","",IFERROR(INDEX(基础资料!$AJ$5:$AJ$204,MATCH(D10,基础资料!$AK$5:$AK$204,0)),""))</f>
        <v>支出</v>
      </c>
      <c r="D10" s="54" t="s">
        <v>236</v>
      </c>
      <c r="E10" s="54" t="s">
        <v>87</v>
      </c>
      <c r="F10" s="54"/>
      <c r="G10" s="54" t="s">
        <v>89</v>
      </c>
      <c r="H10" s="54" t="s">
        <v>130</v>
      </c>
      <c r="I10" s="54" t="s">
        <v>427</v>
      </c>
      <c r="J10" s="55">
        <v>0</v>
      </c>
      <c r="K10" s="55">
        <v>15000</v>
      </c>
      <c r="L10" s="62">
        <f>IF(OR(A10="",E10=""),"",SUMIFS(期初数据!$C$5:$C$14,期初数据!$A$5:$A$14,E10)+SUMIFS($J$4:J10,$E$4:E10,E10)-SUMIFS($K$4:K10,$E$4:E10,E10)+SUMIFS($K$4:K10,$F$4:F10,E10,$D$4:D10,"账户转账"))</f>
        <v>285200</v>
      </c>
      <c r="M10" s="11" t="str">
        <f>IF(E10="","",IFERROR(VLOOKUP(E10,基础资料!$A$5:$C$204,3,FALSE),""))</f>
        <v>1002</v>
      </c>
      <c r="N10" s="11" t="str">
        <f>IF(D10="账户转账",IFERROR(VLOOKUP(F10,基础资料!$A$5:$C$204,3,FALSE),""),"")</f>
        <v/>
      </c>
      <c r="O10" s="11" t="str">
        <f>IF(D10="","",IF(D10="账户转账",N10,IFERROR(IF(VLOOKUP(D10,基础资料!$AK$5:$AM$204,2,FALSE)="1002",M10,VLOOKUP(D10,基础资料!$AK$5:$AM$204,2,FALSE)),"")))</f>
        <v>6602</v>
      </c>
      <c r="P10" s="11" t="str">
        <f>IF(D10="","",IF(D10="账户转账",M10,IFERROR(IF(VLOOKUP(D10,基础资料!$AK$5:$AM$204,3,FALSE)="1002",M10,VLOOKUP(D10,基础资料!$AK$5:$AM$204,3,FALSE)),"")))</f>
        <v>1002</v>
      </c>
      <c r="Q10" s="62">
        <f t="shared" si="1"/>
        <v>15000</v>
      </c>
      <c r="R10" s="11" t="str">
        <f t="shared" si="2"/>
        <v>可录入</v>
      </c>
    </row>
    <row r="11" spans="1:18">
      <c r="A11" s="60">
        <v>46191</v>
      </c>
      <c r="B11" s="11" t="str">
        <f t="shared" si="0"/>
        <v>2026-06</v>
      </c>
      <c r="C11" s="11" t="str">
        <f>IF(D11="","",IFERROR(INDEX(基础资料!$AJ$5:$AJ$204,MATCH(D11,基础资料!$AK$5:$AK$204,0)),""))</f>
        <v>收入</v>
      </c>
      <c r="D11" s="54" t="s">
        <v>98</v>
      </c>
      <c r="E11" s="54" t="s">
        <v>142</v>
      </c>
      <c r="F11" s="54"/>
      <c r="G11" s="54" t="s">
        <v>202</v>
      </c>
      <c r="H11" s="54" t="s">
        <v>203</v>
      </c>
      <c r="I11" s="54" t="s">
        <v>98</v>
      </c>
      <c r="J11" s="55">
        <v>3200</v>
      </c>
      <c r="K11" s="55">
        <v>0</v>
      </c>
      <c r="L11" s="62">
        <f>IF(OR(A11="",E11=""),"",SUMIFS(期初数据!$C$5:$C$14,期初数据!$A$5:$A$14,E11)+SUMIFS($J$4:J11,$E$4:E11,E11)-SUMIFS($K$4:K11,$E$4:E11,E11)+SUMIFS($K$4:K11,$F$4:F11,E11,$D$4:D11,"账户转账"))</f>
        <v>63200</v>
      </c>
      <c r="M11" s="11" t="str">
        <f>IF(E11="","",IFERROR(VLOOKUP(E11,基础资料!$A$5:$C$204,3,FALSE),""))</f>
        <v>1002</v>
      </c>
      <c r="N11" s="11" t="str">
        <f>IF(D11="账户转账",IFERROR(VLOOKUP(F11,基础资料!$A$5:$C$204,3,FALSE),""),"")</f>
        <v/>
      </c>
      <c r="O11" s="11" t="str">
        <f>IF(D11="","",IF(D11="账户转账",N11,IFERROR(IF(VLOOKUP(D11,基础资料!$AK$5:$AM$204,2,FALSE)="1002",M11,VLOOKUP(D11,基础资料!$AK$5:$AM$204,2,FALSE)),"")))</f>
        <v>1002</v>
      </c>
      <c r="P11" s="11" t="str">
        <f>IF(D11="","",IF(D11="账户转账",M11,IFERROR(IF(VLOOKUP(D11,基础资料!$AK$5:$AM$204,3,FALSE)="1002",M11,VLOOKUP(D11,基础资料!$AK$5:$AM$204,3,FALSE)),"")))</f>
        <v>6051</v>
      </c>
      <c r="Q11" s="62">
        <f t="shared" si="1"/>
        <v>3200</v>
      </c>
      <c r="R11" s="11" t="str">
        <f t="shared" si="2"/>
        <v>可录入</v>
      </c>
    </row>
    <row r="12" spans="1:18">
      <c r="A12" s="60">
        <v>46193</v>
      </c>
      <c r="B12" s="11" t="str">
        <f t="shared" si="0"/>
        <v>2026-06</v>
      </c>
      <c r="C12" s="11" t="str">
        <f>IF(D12="","",IFERROR(INDEX(基础资料!$AJ$5:$AJ$204,MATCH(D12,基础资料!$AK$5:$AK$204,0)),""))</f>
        <v>转账</v>
      </c>
      <c r="D12" s="54" t="s">
        <v>257</v>
      </c>
      <c r="E12" s="54" t="s">
        <v>87</v>
      </c>
      <c r="F12" s="54" t="s">
        <v>115</v>
      </c>
      <c r="G12" s="54" t="s">
        <v>89</v>
      </c>
      <c r="H12" s="54" t="s">
        <v>130</v>
      </c>
      <c r="I12" s="54" t="s">
        <v>257</v>
      </c>
      <c r="J12" s="55">
        <v>0</v>
      </c>
      <c r="K12" s="55">
        <v>20000</v>
      </c>
      <c r="L12" s="62">
        <f>IF(OR(A12="",E12=""),"",SUMIFS(期初数据!$C$5:$C$14,期初数据!$A$5:$A$14,E12)+SUMIFS($J$4:J12,$E$4:E12,E12)-SUMIFS($K$4:K12,$E$4:E12,E12)+SUMIFS($K$4:K12,$F$4:F12,E12,$D$4:D12,"账户转账"))</f>
        <v>265200</v>
      </c>
      <c r="M12" s="11" t="str">
        <f>IF(E12="","",IFERROR(VLOOKUP(E12,基础资料!$A$5:$C$204,3,FALSE),""))</f>
        <v>1002</v>
      </c>
      <c r="N12" s="11" t="str">
        <f>IF(D12="账户转账",IFERROR(VLOOKUP(F12,基础资料!$A$5:$C$204,3,FALSE),""),"")</f>
        <v>1002</v>
      </c>
      <c r="O12" s="11" t="str">
        <f>IF(D12="","",IF(D12="账户转账",N12,IFERROR(IF(VLOOKUP(D12,基础资料!$AK$5:$AM$204,2,FALSE)="1002",M12,VLOOKUP(D12,基础资料!$AK$5:$AM$204,2,FALSE)),"")))</f>
        <v>1002</v>
      </c>
      <c r="P12" s="11" t="str">
        <f>IF(D12="","",IF(D12="账户转账",M12,IFERROR(IF(VLOOKUP(D12,基础资料!$AK$5:$AM$204,3,FALSE)="1002",M12,VLOOKUP(D12,基础资料!$AK$5:$AM$204,3,FALSE)),"")))</f>
        <v>1002</v>
      </c>
      <c r="Q12" s="62">
        <f t="shared" si="1"/>
        <v>20000</v>
      </c>
      <c r="R12" s="11" t="str">
        <f t="shared" si="2"/>
        <v>可录入</v>
      </c>
    </row>
    <row r="13" spans="1:18">
      <c r="A13" s="60">
        <v>46198</v>
      </c>
      <c r="B13" s="11" t="str">
        <f t="shared" si="0"/>
        <v>2026-06</v>
      </c>
      <c r="C13" s="11" t="str">
        <f>IF(D13="","",IFERROR(INDEX(基础资料!$AJ$5:$AJ$204,MATCH(D13,基础资料!$AK$5:$AK$204,0)),""))</f>
        <v>收入</v>
      </c>
      <c r="D13" s="54" t="s">
        <v>4</v>
      </c>
      <c r="E13" s="54" t="s">
        <v>115</v>
      </c>
      <c r="F13" s="54" t="s">
        <v>95</v>
      </c>
      <c r="G13" s="54" t="s">
        <v>65</v>
      </c>
      <c r="H13" s="54" t="s">
        <v>90</v>
      </c>
      <c r="I13" s="54" t="s">
        <v>428</v>
      </c>
      <c r="J13" s="55">
        <v>8000</v>
      </c>
      <c r="K13" s="55">
        <v>0</v>
      </c>
      <c r="L13" s="62">
        <f>IF(OR(A13="",E13=""),"",SUMIFS(期初数据!$C$5:$C$14,期初数据!$A$5:$A$14,E13)+SUMIFS($J$4:J13,$E$4:E13,E13)-SUMIFS($K$4:K13,$E$4:E13,E13)+SUMIFS($K$4:K13,$F$4:F13,E13,$D$4:D13,"账户转账"))</f>
        <v>148000</v>
      </c>
      <c r="M13" s="11" t="str">
        <f>IF(E13="","",IFERROR(VLOOKUP(E13,基础资料!$A$5:$C$204,3,FALSE),""))</f>
        <v>1002</v>
      </c>
      <c r="N13" s="11" t="str">
        <f>IF(D13="账户转账",IFERROR(VLOOKUP(F13,基础资料!$A$5:$C$204,3,FALSE),""),"")</f>
        <v/>
      </c>
      <c r="O13" s="11" t="str">
        <f>IF(D13="","",IF(D13="账户转账",N13,IFERROR(IF(VLOOKUP(D13,基础资料!$AK$5:$AM$204,2,FALSE)="1002",M13,VLOOKUP(D13,基础资料!$AK$5:$AM$204,2,FALSE)),"")))</f>
        <v>1002</v>
      </c>
      <c r="P13" s="11" t="str">
        <f>IF(D13="","",IF(D13="账户转账",M13,IFERROR(IF(VLOOKUP(D13,基础资料!$AK$5:$AM$204,3,FALSE)="1002",M13,VLOOKUP(D13,基础资料!$AK$5:$AM$204,3,FALSE)),"")))</f>
        <v>1122</v>
      </c>
      <c r="Q13" s="62">
        <f t="shared" si="1"/>
        <v>8000</v>
      </c>
      <c r="R13" s="11" t="str">
        <f t="shared" si="2"/>
        <v>可录入</v>
      </c>
    </row>
    <row r="14" spans="1:18">
      <c r="A14" s="60"/>
      <c r="B14" s="11" t="str">
        <f t="shared" si="0"/>
        <v/>
      </c>
      <c r="C14" s="11" t="str">
        <f>IF(D14="","",IFERROR(INDEX(基础资料!$AJ$5:$AJ$204,MATCH(D14,基础资料!$AK$5:$AK$204,0)),""))</f>
        <v/>
      </c>
      <c r="D14" s="54"/>
      <c r="E14" s="54"/>
      <c r="F14" s="54"/>
      <c r="G14" s="54"/>
      <c r="H14" s="54"/>
      <c r="I14" s="54"/>
      <c r="J14" s="55"/>
      <c r="K14" s="55"/>
      <c r="L14" s="62" t="str">
        <f>IF(OR(A14="",E14=""),"",SUMIFS(期初数据!$C$5:$C$14,期初数据!$A$5:$A$14,E14)+SUMIFS($J$4:J14,$E$4:E14,E14)-SUMIFS($K$4:K14,$E$4:E14,E14)+SUMIFS($K$4:K14,$F$4:F14,E14,$D$4:D14,"账户转账"))</f>
        <v/>
      </c>
      <c r="M14" s="11" t="str">
        <f>IF(E14="","",IFERROR(VLOOKUP(E14,基础资料!$A$5:$C$204,3,FALSE),""))</f>
        <v/>
      </c>
      <c r="N14" s="11" t="str">
        <f>IF(D14="账户转账",IFERROR(VLOOKUP(F14,基础资料!$A$5:$C$204,3,FALSE),""),"")</f>
        <v/>
      </c>
      <c r="O14" s="11" t="str">
        <f>IF(D14="","",IF(D14="账户转账",N14,IFERROR(IF(VLOOKUP(D14,基础资料!$AK$5:$AM$204,2,FALSE)="1002",M14,VLOOKUP(D14,基础资料!$AK$5:$AM$204,2,FALSE)),"")))</f>
        <v/>
      </c>
      <c r="P14" s="11" t="str">
        <f>IF(D14="","",IF(D14="账户转账",M14,IFERROR(IF(VLOOKUP(D14,基础资料!$AK$5:$AM$204,3,FALSE)="1002",M14,VLOOKUP(D14,基础资料!$AK$5:$AM$204,3,FALSE)),"")))</f>
        <v/>
      </c>
      <c r="Q14" s="62" t="str">
        <f t="shared" si="1"/>
        <v/>
      </c>
      <c r="R14" s="11" t="str">
        <f t="shared" si="2"/>
        <v/>
      </c>
    </row>
    <row r="15" spans="1:18">
      <c r="A15" s="60"/>
      <c r="B15" s="11" t="str">
        <f t="shared" si="0"/>
        <v/>
      </c>
      <c r="C15" s="11" t="str">
        <f>IF(D15="","",IFERROR(INDEX(基础资料!$AJ$5:$AJ$204,MATCH(D15,基础资料!$AK$5:$AK$204,0)),""))</f>
        <v/>
      </c>
      <c r="D15" s="54"/>
      <c r="E15" s="54"/>
      <c r="F15" s="54"/>
      <c r="G15" s="54"/>
      <c r="H15" s="54"/>
      <c r="I15" s="54"/>
      <c r="J15" s="55"/>
      <c r="K15" s="55"/>
      <c r="L15" s="62" t="str">
        <f>IF(OR(A15="",E15=""),"",SUMIFS(期初数据!$C$5:$C$14,期初数据!$A$5:$A$14,E15)+SUMIFS($J$4:J15,$E$4:E15,E15)-SUMIFS($K$4:K15,$E$4:E15,E15)+SUMIFS($K$4:K15,$F$4:F15,E15,$D$4:D15,"账户转账"))</f>
        <v/>
      </c>
      <c r="M15" s="11" t="str">
        <f>IF(E15="","",IFERROR(VLOOKUP(E15,基础资料!$A$5:$C$204,3,FALSE),""))</f>
        <v/>
      </c>
      <c r="N15" s="11" t="str">
        <f>IF(D15="账户转账",IFERROR(VLOOKUP(F15,基础资料!$A$5:$C$204,3,FALSE),""),"")</f>
        <v/>
      </c>
      <c r="O15" s="11" t="str">
        <f>IF(D15="","",IF(D15="账户转账",N15,IFERROR(IF(VLOOKUP(D15,基础资料!$AK$5:$AM$204,2,FALSE)="1002",M15,VLOOKUP(D15,基础资料!$AK$5:$AM$204,2,FALSE)),"")))</f>
        <v/>
      </c>
      <c r="P15" s="11" t="str">
        <f>IF(D15="","",IF(D15="账户转账",M15,IFERROR(IF(VLOOKUP(D15,基础资料!$AK$5:$AM$204,3,FALSE)="1002",M15,VLOOKUP(D15,基础资料!$AK$5:$AM$204,3,FALSE)),"")))</f>
        <v/>
      </c>
      <c r="Q15" s="62" t="str">
        <f t="shared" si="1"/>
        <v/>
      </c>
      <c r="R15" s="11" t="str">
        <f t="shared" si="2"/>
        <v/>
      </c>
    </row>
    <row r="16" spans="1:18">
      <c r="A16" s="60"/>
      <c r="B16" s="11" t="str">
        <f t="shared" si="0"/>
        <v/>
      </c>
      <c r="C16" s="11" t="str">
        <f>IF(D16="","",IFERROR(INDEX(基础资料!$AJ$5:$AJ$204,MATCH(D16,基础资料!$AK$5:$AK$204,0)),""))</f>
        <v/>
      </c>
      <c r="D16" s="54"/>
      <c r="E16" s="54"/>
      <c r="F16" s="54"/>
      <c r="G16" s="54"/>
      <c r="H16" s="54"/>
      <c r="I16" s="54"/>
      <c r="J16" s="55"/>
      <c r="K16" s="55"/>
      <c r="L16" s="62" t="str">
        <f>IF(OR(A16="",E16=""),"",SUMIFS(期初数据!$C$5:$C$14,期初数据!$A$5:$A$14,E16)+SUMIFS($J$4:J16,$E$4:E16,E16)-SUMIFS($K$4:K16,$E$4:E16,E16)+SUMIFS($K$4:K16,$F$4:F16,E16,$D$4:D16,"账户转账"))</f>
        <v/>
      </c>
      <c r="M16" s="11" t="str">
        <f>IF(E16="","",IFERROR(VLOOKUP(E16,基础资料!$A$5:$C$204,3,FALSE),""))</f>
        <v/>
      </c>
      <c r="N16" s="11" t="str">
        <f>IF(D16="账户转账",IFERROR(VLOOKUP(F16,基础资料!$A$5:$C$204,3,FALSE),""),"")</f>
        <v/>
      </c>
      <c r="O16" s="11" t="str">
        <f>IF(D16="","",IF(D16="账户转账",N16,IFERROR(IF(VLOOKUP(D16,基础资料!$AK$5:$AM$204,2,FALSE)="1002",M16,VLOOKUP(D16,基础资料!$AK$5:$AM$204,2,FALSE)),"")))</f>
        <v/>
      </c>
      <c r="P16" s="11" t="str">
        <f>IF(D16="","",IF(D16="账户转账",M16,IFERROR(IF(VLOOKUP(D16,基础资料!$AK$5:$AM$204,3,FALSE)="1002",M16,VLOOKUP(D16,基础资料!$AK$5:$AM$204,3,FALSE)),"")))</f>
        <v/>
      </c>
      <c r="Q16" s="62" t="str">
        <f t="shared" si="1"/>
        <v/>
      </c>
      <c r="R16" s="11" t="str">
        <f t="shared" si="2"/>
        <v/>
      </c>
    </row>
    <row r="17" spans="1:18">
      <c r="A17" s="60"/>
      <c r="B17" s="11" t="str">
        <f t="shared" si="0"/>
        <v/>
      </c>
      <c r="C17" s="11" t="str">
        <f>IF(D17="","",IFERROR(INDEX(基础资料!$AJ$5:$AJ$204,MATCH(D17,基础资料!$AK$5:$AK$204,0)),""))</f>
        <v/>
      </c>
      <c r="D17" s="54"/>
      <c r="E17" s="54"/>
      <c r="F17" s="54"/>
      <c r="G17" s="54"/>
      <c r="H17" s="54"/>
      <c r="I17" s="54"/>
      <c r="J17" s="55"/>
      <c r="K17" s="55"/>
      <c r="L17" s="62" t="str">
        <f>IF(OR(A17="",E17=""),"",SUMIFS(期初数据!$C$5:$C$14,期初数据!$A$5:$A$14,E17)+SUMIFS($J$4:J17,$E$4:E17,E17)-SUMIFS($K$4:K17,$E$4:E17,E17)+SUMIFS($K$4:K17,$F$4:F17,E17,$D$4:D17,"账户转账"))</f>
        <v/>
      </c>
      <c r="M17" s="11" t="str">
        <f>IF(E17="","",IFERROR(VLOOKUP(E17,基础资料!$A$5:$C$204,3,FALSE),""))</f>
        <v/>
      </c>
      <c r="N17" s="11" t="str">
        <f>IF(D17="账户转账",IFERROR(VLOOKUP(F17,基础资料!$A$5:$C$204,3,FALSE),""),"")</f>
        <v/>
      </c>
      <c r="O17" s="11" t="str">
        <f>IF(D17="","",IF(D17="账户转账",N17,IFERROR(IF(VLOOKUP(D17,基础资料!$AK$5:$AM$204,2,FALSE)="1002",M17,VLOOKUP(D17,基础资料!$AK$5:$AM$204,2,FALSE)),"")))</f>
        <v/>
      </c>
      <c r="P17" s="11" t="str">
        <f>IF(D17="","",IF(D17="账户转账",M17,IFERROR(IF(VLOOKUP(D17,基础资料!$AK$5:$AM$204,3,FALSE)="1002",M17,VLOOKUP(D17,基础资料!$AK$5:$AM$204,3,FALSE)),"")))</f>
        <v/>
      </c>
      <c r="Q17" s="62" t="str">
        <f t="shared" si="1"/>
        <v/>
      </c>
      <c r="R17" s="11" t="str">
        <f t="shared" si="2"/>
        <v/>
      </c>
    </row>
    <row r="18" spans="1:18">
      <c r="A18" s="60"/>
      <c r="B18" s="11" t="str">
        <f t="shared" si="0"/>
        <v/>
      </c>
      <c r="C18" s="11" t="str">
        <f>IF(D18="","",IFERROR(INDEX(基础资料!$AJ$5:$AJ$204,MATCH(D18,基础资料!$AK$5:$AK$204,0)),""))</f>
        <v/>
      </c>
      <c r="D18" s="54"/>
      <c r="E18" s="54"/>
      <c r="F18" s="54"/>
      <c r="G18" s="54"/>
      <c r="H18" s="54"/>
      <c r="I18" s="54"/>
      <c r="J18" s="55"/>
      <c r="K18" s="55"/>
      <c r="L18" s="62" t="str">
        <f>IF(OR(A18="",E18=""),"",SUMIFS(期初数据!$C$5:$C$14,期初数据!$A$5:$A$14,E18)+SUMIFS($J$4:J18,$E$4:E18,E18)-SUMIFS($K$4:K18,$E$4:E18,E18)+SUMIFS($K$4:K18,$F$4:F18,E18,$D$4:D18,"账户转账"))</f>
        <v/>
      </c>
      <c r="M18" s="11" t="str">
        <f>IF(E18="","",IFERROR(VLOOKUP(E18,基础资料!$A$5:$C$204,3,FALSE),""))</f>
        <v/>
      </c>
      <c r="N18" s="11" t="str">
        <f>IF(D18="账户转账",IFERROR(VLOOKUP(F18,基础资料!$A$5:$C$204,3,FALSE),""),"")</f>
        <v/>
      </c>
      <c r="O18" s="11" t="str">
        <f>IF(D18="","",IF(D18="账户转账",N18,IFERROR(IF(VLOOKUP(D18,基础资料!$AK$5:$AM$204,2,FALSE)="1002",M18,VLOOKUP(D18,基础资料!$AK$5:$AM$204,2,FALSE)),"")))</f>
        <v/>
      </c>
      <c r="P18" s="11" t="str">
        <f>IF(D18="","",IF(D18="账户转账",M18,IFERROR(IF(VLOOKUP(D18,基础资料!$AK$5:$AM$204,3,FALSE)="1002",M18,VLOOKUP(D18,基础资料!$AK$5:$AM$204,3,FALSE)),"")))</f>
        <v/>
      </c>
      <c r="Q18" s="62" t="str">
        <f t="shared" si="1"/>
        <v/>
      </c>
      <c r="R18" s="11" t="str">
        <f t="shared" si="2"/>
        <v/>
      </c>
    </row>
    <row r="19" spans="1:18">
      <c r="A19" s="60"/>
      <c r="B19" s="11" t="str">
        <f t="shared" si="0"/>
        <v/>
      </c>
      <c r="C19" s="11" t="str">
        <f>IF(D19="","",IFERROR(INDEX(基础资料!$AJ$5:$AJ$204,MATCH(D19,基础资料!$AK$5:$AK$204,0)),""))</f>
        <v/>
      </c>
      <c r="D19" s="54"/>
      <c r="E19" s="54"/>
      <c r="F19" s="54"/>
      <c r="G19" s="54"/>
      <c r="H19" s="54"/>
      <c r="I19" s="54"/>
      <c r="J19" s="55"/>
      <c r="K19" s="55"/>
      <c r="L19" s="62" t="str">
        <f>IF(OR(A19="",E19=""),"",SUMIFS(期初数据!$C$5:$C$14,期初数据!$A$5:$A$14,E19)+SUMIFS($J$4:J19,$E$4:E19,E19)-SUMIFS($K$4:K19,$E$4:E19,E19)+SUMIFS($K$4:K19,$F$4:F19,E19,$D$4:D19,"账户转账"))</f>
        <v/>
      </c>
      <c r="M19" s="11" t="str">
        <f>IF(E19="","",IFERROR(VLOOKUP(E19,基础资料!$A$5:$C$204,3,FALSE),""))</f>
        <v/>
      </c>
      <c r="N19" s="11" t="str">
        <f>IF(D19="账户转账",IFERROR(VLOOKUP(F19,基础资料!$A$5:$C$204,3,FALSE),""),"")</f>
        <v/>
      </c>
      <c r="O19" s="11" t="str">
        <f>IF(D19="","",IF(D19="账户转账",N19,IFERROR(IF(VLOOKUP(D19,基础资料!$AK$5:$AM$204,2,FALSE)="1002",M19,VLOOKUP(D19,基础资料!$AK$5:$AM$204,2,FALSE)),"")))</f>
        <v/>
      </c>
      <c r="P19" s="11" t="str">
        <f>IF(D19="","",IF(D19="账户转账",M19,IFERROR(IF(VLOOKUP(D19,基础资料!$AK$5:$AM$204,3,FALSE)="1002",M19,VLOOKUP(D19,基础资料!$AK$5:$AM$204,3,FALSE)),"")))</f>
        <v/>
      </c>
      <c r="Q19" s="62" t="str">
        <f t="shared" si="1"/>
        <v/>
      </c>
      <c r="R19" s="11" t="str">
        <f t="shared" si="2"/>
        <v/>
      </c>
    </row>
    <row r="20" spans="1:18">
      <c r="A20" s="60"/>
      <c r="B20" s="11" t="str">
        <f t="shared" si="0"/>
        <v/>
      </c>
      <c r="C20" s="11" t="str">
        <f>IF(D20="","",IFERROR(INDEX(基础资料!$AJ$5:$AJ$204,MATCH(D20,基础资料!$AK$5:$AK$204,0)),""))</f>
        <v/>
      </c>
      <c r="D20" s="54"/>
      <c r="E20" s="54"/>
      <c r="F20" s="54"/>
      <c r="G20" s="54"/>
      <c r="H20" s="54"/>
      <c r="I20" s="54"/>
      <c r="J20" s="55"/>
      <c r="K20" s="55"/>
      <c r="L20" s="62" t="str">
        <f>IF(OR(A20="",E20=""),"",SUMIFS(期初数据!$C$5:$C$14,期初数据!$A$5:$A$14,E20)+SUMIFS($J$4:J20,$E$4:E20,E20)-SUMIFS($K$4:K20,$E$4:E20,E20)+SUMIFS($K$4:K20,$F$4:F20,E20,$D$4:D20,"账户转账"))</f>
        <v/>
      </c>
      <c r="M20" s="11" t="str">
        <f>IF(E20="","",IFERROR(VLOOKUP(E20,基础资料!$A$5:$C$204,3,FALSE),""))</f>
        <v/>
      </c>
      <c r="N20" s="11" t="str">
        <f>IF(D20="账户转账",IFERROR(VLOOKUP(F20,基础资料!$A$5:$C$204,3,FALSE),""),"")</f>
        <v/>
      </c>
      <c r="O20" s="11" t="str">
        <f>IF(D20="","",IF(D20="账户转账",N20,IFERROR(IF(VLOOKUP(D20,基础资料!$AK$5:$AM$204,2,FALSE)="1002",M20,VLOOKUP(D20,基础资料!$AK$5:$AM$204,2,FALSE)),"")))</f>
        <v/>
      </c>
      <c r="P20" s="11" t="str">
        <f>IF(D20="","",IF(D20="账户转账",M20,IFERROR(IF(VLOOKUP(D20,基础资料!$AK$5:$AM$204,3,FALSE)="1002",M20,VLOOKUP(D20,基础资料!$AK$5:$AM$204,3,FALSE)),"")))</f>
        <v/>
      </c>
      <c r="Q20" s="62" t="str">
        <f t="shared" si="1"/>
        <v/>
      </c>
      <c r="R20" s="11" t="str">
        <f t="shared" si="2"/>
        <v/>
      </c>
    </row>
    <row r="21" spans="1:18">
      <c r="A21" s="60"/>
      <c r="B21" s="11" t="str">
        <f t="shared" si="0"/>
        <v/>
      </c>
      <c r="C21" s="11" t="str">
        <f>IF(D21="","",IFERROR(INDEX(基础资料!$AJ$5:$AJ$204,MATCH(D21,基础资料!$AK$5:$AK$204,0)),""))</f>
        <v/>
      </c>
      <c r="D21" s="54"/>
      <c r="E21" s="54"/>
      <c r="F21" s="54"/>
      <c r="G21" s="54"/>
      <c r="H21" s="54"/>
      <c r="I21" s="54"/>
      <c r="J21" s="55"/>
      <c r="K21" s="55"/>
      <c r="L21" s="62" t="str">
        <f>IF(OR(A21="",E21=""),"",SUMIFS(期初数据!$C$5:$C$14,期初数据!$A$5:$A$14,E21)+SUMIFS($J$4:J21,$E$4:E21,E21)-SUMIFS($K$4:K21,$E$4:E21,E21)+SUMIFS($K$4:K21,$F$4:F21,E21,$D$4:D21,"账户转账"))</f>
        <v/>
      </c>
      <c r="M21" s="11" t="str">
        <f>IF(E21="","",IFERROR(VLOOKUP(E21,基础资料!$A$5:$C$204,3,FALSE),""))</f>
        <v/>
      </c>
      <c r="N21" s="11" t="str">
        <f>IF(D21="账户转账",IFERROR(VLOOKUP(F21,基础资料!$A$5:$C$204,3,FALSE),""),"")</f>
        <v/>
      </c>
      <c r="O21" s="11" t="str">
        <f>IF(D21="","",IF(D21="账户转账",N21,IFERROR(IF(VLOOKUP(D21,基础资料!$AK$5:$AM$204,2,FALSE)="1002",M21,VLOOKUP(D21,基础资料!$AK$5:$AM$204,2,FALSE)),"")))</f>
        <v/>
      </c>
      <c r="P21" s="11" t="str">
        <f>IF(D21="","",IF(D21="账户转账",M21,IFERROR(IF(VLOOKUP(D21,基础资料!$AK$5:$AM$204,3,FALSE)="1002",M21,VLOOKUP(D21,基础资料!$AK$5:$AM$204,3,FALSE)),"")))</f>
        <v/>
      </c>
      <c r="Q21" s="62" t="str">
        <f t="shared" si="1"/>
        <v/>
      </c>
      <c r="R21" s="11" t="str">
        <f t="shared" si="2"/>
        <v/>
      </c>
    </row>
    <row r="22" spans="1:18">
      <c r="A22" s="60"/>
      <c r="B22" s="11" t="str">
        <f t="shared" si="0"/>
        <v/>
      </c>
      <c r="C22" s="11" t="str">
        <f>IF(D22="","",IFERROR(INDEX(基础资料!$AJ$5:$AJ$204,MATCH(D22,基础资料!$AK$5:$AK$204,0)),""))</f>
        <v/>
      </c>
      <c r="D22" s="54"/>
      <c r="E22" s="54"/>
      <c r="F22" s="54"/>
      <c r="G22" s="54"/>
      <c r="H22" s="54"/>
      <c r="I22" s="54"/>
      <c r="J22" s="55"/>
      <c r="K22" s="55"/>
      <c r="L22" s="62" t="str">
        <f>IF(OR(A22="",E22=""),"",SUMIFS(期初数据!$C$5:$C$14,期初数据!$A$5:$A$14,E22)+SUMIFS($J$4:J22,$E$4:E22,E22)-SUMIFS($K$4:K22,$E$4:E22,E22)+SUMIFS($K$4:K22,$F$4:F22,E22,$D$4:D22,"账户转账"))</f>
        <v/>
      </c>
      <c r="M22" s="11" t="str">
        <f>IF(E22="","",IFERROR(VLOOKUP(E22,基础资料!$A$5:$C$204,3,FALSE),""))</f>
        <v/>
      </c>
      <c r="N22" s="11" t="str">
        <f>IF(D22="账户转账",IFERROR(VLOOKUP(F22,基础资料!$A$5:$C$204,3,FALSE),""),"")</f>
        <v/>
      </c>
      <c r="O22" s="11" t="str">
        <f>IF(D22="","",IF(D22="账户转账",N22,IFERROR(IF(VLOOKUP(D22,基础资料!$AK$5:$AM$204,2,FALSE)="1002",M22,VLOOKUP(D22,基础资料!$AK$5:$AM$204,2,FALSE)),"")))</f>
        <v/>
      </c>
      <c r="P22" s="11" t="str">
        <f>IF(D22="","",IF(D22="账户转账",M22,IFERROR(IF(VLOOKUP(D22,基础资料!$AK$5:$AM$204,3,FALSE)="1002",M22,VLOOKUP(D22,基础资料!$AK$5:$AM$204,3,FALSE)),"")))</f>
        <v/>
      </c>
      <c r="Q22" s="62" t="str">
        <f t="shared" si="1"/>
        <v/>
      </c>
      <c r="R22" s="11" t="str">
        <f t="shared" si="2"/>
        <v/>
      </c>
    </row>
    <row r="23" spans="1:18">
      <c r="A23" s="60"/>
      <c r="B23" s="11" t="str">
        <f t="shared" si="0"/>
        <v/>
      </c>
      <c r="C23" s="11" t="str">
        <f>IF(D23="","",IFERROR(INDEX(基础资料!$AJ$5:$AJ$204,MATCH(D23,基础资料!$AK$5:$AK$204,0)),""))</f>
        <v/>
      </c>
      <c r="D23" s="54"/>
      <c r="E23" s="54"/>
      <c r="F23" s="54"/>
      <c r="G23" s="54"/>
      <c r="H23" s="54"/>
      <c r="I23" s="54"/>
      <c r="J23" s="55"/>
      <c r="K23" s="55"/>
      <c r="L23" s="62" t="str">
        <f>IF(OR(A23="",E23=""),"",SUMIFS(期初数据!$C$5:$C$14,期初数据!$A$5:$A$14,E23)+SUMIFS($J$4:J23,$E$4:E23,E23)-SUMIFS($K$4:K23,$E$4:E23,E23)+SUMIFS($K$4:K23,$F$4:F23,E23,$D$4:D23,"账户转账"))</f>
        <v/>
      </c>
      <c r="M23" s="11" t="str">
        <f>IF(E23="","",IFERROR(VLOOKUP(E23,基础资料!$A$5:$C$204,3,FALSE),""))</f>
        <v/>
      </c>
      <c r="N23" s="11" t="str">
        <f>IF(D23="账户转账",IFERROR(VLOOKUP(F23,基础资料!$A$5:$C$204,3,FALSE),""),"")</f>
        <v/>
      </c>
      <c r="O23" s="11" t="str">
        <f>IF(D23="","",IF(D23="账户转账",N23,IFERROR(IF(VLOOKUP(D23,基础资料!$AK$5:$AM$204,2,FALSE)="1002",M23,VLOOKUP(D23,基础资料!$AK$5:$AM$204,2,FALSE)),"")))</f>
        <v/>
      </c>
      <c r="P23" s="11" t="str">
        <f>IF(D23="","",IF(D23="账户转账",M23,IFERROR(IF(VLOOKUP(D23,基础资料!$AK$5:$AM$204,3,FALSE)="1002",M23,VLOOKUP(D23,基础资料!$AK$5:$AM$204,3,FALSE)),"")))</f>
        <v/>
      </c>
      <c r="Q23" s="62" t="str">
        <f t="shared" si="1"/>
        <v/>
      </c>
      <c r="R23" s="11" t="str">
        <f t="shared" si="2"/>
        <v/>
      </c>
    </row>
    <row r="24" spans="1:18">
      <c r="A24" s="60"/>
      <c r="B24" s="11" t="str">
        <f t="shared" si="0"/>
        <v/>
      </c>
      <c r="C24" s="11" t="str">
        <f>IF(D24="","",IFERROR(INDEX(基础资料!$AJ$5:$AJ$204,MATCH(D24,基础资料!$AK$5:$AK$204,0)),""))</f>
        <v/>
      </c>
      <c r="D24" s="54"/>
      <c r="E24" s="54"/>
      <c r="F24" s="54"/>
      <c r="G24" s="54"/>
      <c r="H24" s="54"/>
      <c r="I24" s="54"/>
      <c r="J24" s="55"/>
      <c r="K24" s="55"/>
      <c r="L24" s="62" t="str">
        <f>IF(OR(A24="",E24=""),"",SUMIFS(期初数据!$C$5:$C$14,期初数据!$A$5:$A$14,E24)+SUMIFS($J$4:J24,$E$4:E24,E24)-SUMIFS($K$4:K24,$E$4:E24,E24)+SUMIFS($K$4:K24,$F$4:F24,E24,$D$4:D24,"账户转账"))</f>
        <v/>
      </c>
      <c r="M24" s="11" t="str">
        <f>IF(E24="","",IFERROR(VLOOKUP(E24,基础资料!$A$5:$C$204,3,FALSE),""))</f>
        <v/>
      </c>
      <c r="N24" s="11" t="str">
        <f>IF(D24="账户转账",IFERROR(VLOOKUP(F24,基础资料!$A$5:$C$204,3,FALSE),""),"")</f>
        <v/>
      </c>
      <c r="O24" s="11" t="str">
        <f>IF(D24="","",IF(D24="账户转账",N24,IFERROR(IF(VLOOKUP(D24,基础资料!$AK$5:$AM$204,2,FALSE)="1002",M24,VLOOKUP(D24,基础资料!$AK$5:$AM$204,2,FALSE)),"")))</f>
        <v/>
      </c>
      <c r="P24" s="11" t="str">
        <f>IF(D24="","",IF(D24="账户转账",M24,IFERROR(IF(VLOOKUP(D24,基础资料!$AK$5:$AM$204,3,FALSE)="1002",M24,VLOOKUP(D24,基础资料!$AK$5:$AM$204,3,FALSE)),"")))</f>
        <v/>
      </c>
      <c r="Q24" s="62" t="str">
        <f t="shared" si="1"/>
        <v/>
      </c>
      <c r="R24" s="11" t="str">
        <f t="shared" si="2"/>
        <v/>
      </c>
    </row>
    <row r="25" spans="1:18">
      <c r="A25" s="60"/>
      <c r="B25" s="11" t="str">
        <f t="shared" si="0"/>
        <v/>
      </c>
      <c r="C25" s="11" t="str">
        <f>IF(D25="","",IFERROR(INDEX(基础资料!$AJ$5:$AJ$204,MATCH(D25,基础资料!$AK$5:$AK$204,0)),""))</f>
        <v/>
      </c>
      <c r="D25" s="54"/>
      <c r="E25" s="54"/>
      <c r="F25" s="54"/>
      <c r="G25" s="54"/>
      <c r="H25" s="54"/>
      <c r="I25" s="54"/>
      <c r="J25" s="55"/>
      <c r="K25" s="55"/>
      <c r="L25" s="62" t="str">
        <f>IF(OR(A25="",E25=""),"",SUMIFS(期初数据!$C$5:$C$14,期初数据!$A$5:$A$14,E25)+SUMIFS($J$4:J25,$E$4:E25,E25)-SUMIFS($K$4:K25,$E$4:E25,E25)+SUMIFS($K$4:K25,$F$4:F25,E25,$D$4:D25,"账户转账"))</f>
        <v/>
      </c>
      <c r="M25" s="11" t="str">
        <f>IF(E25="","",IFERROR(VLOOKUP(E25,基础资料!$A$5:$C$204,3,FALSE),""))</f>
        <v/>
      </c>
      <c r="N25" s="11" t="str">
        <f>IF(D25="账户转账",IFERROR(VLOOKUP(F25,基础资料!$A$5:$C$204,3,FALSE),""),"")</f>
        <v/>
      </c>
      <c r="O25" s="11" t="str">
        <f>IF(D25="","",IF(D25="账户转账",N25,IFERROR(IF(VLOOKUP(D25,基础资料!$AK$5:$AM$204,2,FALSE)="1002",M25,VLOOKUP(D25,基础资料!$AK$5:$AM$204,2,FALSE)),"")))</f>
        <v/>
      </c>
      <c r="P25" s="11" t="str">
        <f>IF(D25="","",IF(D25="账户转账",M25,IFERROR(IF(VLOOKUP(D25,基础资料!$AK$5:$AM$204,3,FALSE)="1002",M25,VLOOKUP(D25,基础资料!$AK$5:$AM$204,3,FALSE)),"")))</f>
        <v/>
      </c>
      <c r="Q25" s="62" t="str">
        <f t="shared" si="1"/>
        <v/>
      </c>
      <c r="R25" s="11" t="str">
        <f t="shared" si="2"/>
        <v/>
      </c>
    </row>
    <row r="26" spans="1:18">
      <c r="A26" s="60"/>
      <c r="B26" s="11" t="str">
        <f t="shared" si="0"/>
        <v/>
      </c>
      <c r="C26" s="11" t="str">
        <f>IF(D26="","",IFERROR(INDEX(基础资料!$AJ$5:$AJ$204,MATCH(D26,基础资料!$AK$5:$AK$204,0)),""))</f>
        <v/>
      </c>
      <c r="D26" s="54"/>
      <c r="E26" s="54"/>
      <c r="F26" s="54"/>
      <c r="G26" s="54"/>
      <c r="H26" s="54"/>
      <c r="I26" s="54"/>
      <c r="J26" s="55"/>
      <c r="K26" s="55"/>
      <c r="L26" s="62" t="str">
        <f>IF(OR(A26="",E26=""),"",SUMIFS(期初数据!$C$5:$C$14,期初数据!$A$5:$A$14,E26)+SUMIFS($J$4:J26,$E$4:E26,E26)-SUMIFS($K$4:K26,$E$4:E26,E26)+SUMIFS($K$4:K26,$F$4:F26,E26,$D$4:D26,"账户转账"))</f>
        <v/>
      </c>
      <c r="M26" s="11" t="str">
        <f>IF(E26="","",IFERROR(VLOOKUP(E26,基础资料!$A$5:$C$204,3,FALSE),""))</f>
        <v/>
      </c>
      <c r="N26" s="11" t="str">
        <f>IF(D26="账户转账",IFERROR(VLOOKUP(F26,基础资料!$A$5:$C$204,3,FALSE),""),"")</f>
        <v/>
      </c>
      <c r="O26" s="11" t="str">
        <f>IF(D26="","",IF(D26="账户转账",N26,IFERROR(IF(VLOOKUP(D26,基础资料!$AK$5:$AM$204,2,FALSE)="1002",M26,VLOOKUP(D26,基础资料!$AK$5:$AM$204,2,FALSE)),"")))</f>
        <v/>
      </c>
      <c r="P26" s="11" t="str">
        <f>IF(D26="","",IF(D26="账户转账",M26,IFERROR(IF(VLOOKUP(D26,基础资料!$AK$5:$AM$204,3,FALSE)="1002",M26,VLOOKUP(D26,基础资料!$AK$5:$AM$204,3,FALSE)),"")))</f>
        <v/>
      </c>
      <c r="Q26" s="62" t="str">
        <f t="shared" si="1"/>
        <v/>
      </c>
      <c r="R26" s="11" t="str">
        <f t="shared" si="2"/>
        <v/>
      </c>
    </row>
    <row r="27" spans="1:18">
      <c r="A27" s="60"/>
      <c r="B27" s="11" t="str">
        <f t="shared" si="0"/>
        <v/>
      </c>
      <c r="C27" s="11" t="str">
        <f>IF(D27="","",IFERROR(INDEX(基础资料!$AJ$5:$AJ$204,MATCH(D27,基础资料!$AK$5:$AK$204,0)),""))</f>
        <v/>
      </c>
      <c r="D27" s="54"/>
      <c r="E27" s="54"/>
      <c r="F27" s="54"/>
      <c r="G27" s="54"/>
      <c r="H27" s="54"/>
      <c r="I27" s="54"/>
      <c r="J27" s="55"/>
      <c r="K27" s="55"/>
      <c r="L27" s="62" t="str">
        <f>IF(OR(A27="",E27=""),"",SUMIFS(期初数据!$C$5:$C$14,期初数据!$A$5:$A$14,E27)+SUMIFS($J$4:J27,$E$4:E27,E27)-SUMIFS($K$4:K27,$E$4:E27,E27)+SUMIFS($K$4:K27,$F$4:F27,E27,$D$4:D27,"账户转账"))</f>
        <v/>
      </c>
      <c r="M27" s="11" t="str">
        <f>IF(E27="","",IFERROR(VLOOKUP(E27,基础资料!$A$5:$C$204,3,FALSE),""))</f>
        <v/>
      </c>
      <c r="N27" s="11" t="str">
        <f>IF(D27="账户转账",IFERROR(VLOOKUP(F27,基础资料!$A$5:$C$204,3,FALSE),""),"")</f>
        <v/>
      </c>
      <c r="O27" s="11" t="str">
        <f>IF(D27="","",IF(D27="账户转账",N27,IFERROR(IF(VLOOKUP(D27,基础资料!$AK$5:$AM$204,2,FALSE)="1002",M27,VLOOKUP(D27,基础资料!$AK$5:$AM$204,2,FALSE)),"")))</f>
        <v/>
      </c>
      <c r="P27" s="11" t="str">
        <f>IF(D27="","",IF(D27="账户转账",M27,IFERROR(IF(VLOOKUP(D27,基础资料!$AK$5:$AM$204,3,FALSE)="1002",M27,VLOOKUP(D27,基础资料!$AK$5:$AM$204,3,FALSE)),"")))</f>
        <v/>
      </c>
      <c r="Q27" s="62" t="str">
        <f t="shared" si="1"/>
        <v/>
      </c>
      <c r="R27" s="11" t="str">
        <f t="shared" si="2"/>
        <v/>
      </c>
    </row>
    <row r="28" spans="1:18">
      <c r="A28" s="60"/>
      <c r="B28" s="11" t="str">
        <f t="shared" si="0"/>
        <v/>
      </c>
      <c r="C28" s="11" t="str">
        <f>IF(D28="","",IFERROR(INDEX(基础资料!$AJ$5:$AJ$204,MATCH(D28,基础资料!$AK$5:$AK$204,0)),""))</f>
        <v/>
      </c>
      <c r="D28" s="54"/>
      <c r="E28" s="54"/>
      <c r="F28" s="54"/>
      <c r="G28" s="54"/>
      <c r="H28" s="54"/>
      <c r="I28" s="54"/>
      <c r="J28" s="55"/>
      <c r="K28" s="55"/>
      <c r="L28" s="62" t="str">
        <f>IF(OR(A28="",E28=""),"",SUMIFS(期初数据!$C$5:$C$14,期初数据!$A$5:$A$14,E28)+SUMIFS($J$4:J28,$E$4:E28,E28)-SUMIFS($K$4:K28,$E$4:E28,E28)+SUMIFS($K$4:K28,$F$4:F28,E28,$D$4:D28,"账户转账"))</f>
        <v/>
      </c>
      <c r="M28" s="11" t="str">
        <f>IF(E28="","",IFERROR(VLOOKUP(E28,基础资料!$A$5:$C$204,3,FALSE),""))</f>
        <v/>
      </c>
      <c r="N28" s="11" t="str">
        <f>IF(D28="账户转账",IFERROR(VLOOKUP(F28,基础资料!$A$5:$C$204,3,FALSE),""),"")</f>
        <v/>
      </c>
      <c r="O28" s="11" t="str">
        <f>IF(D28="","",IF(D28="账户转账",N28,IFERROR(IF(VLOOKUP(D28,基础资料!$AK$5:$AM$204,2,FALSE)="1002",M28,VLOOKUP(D28,基础资料!$AK$5:$AM$204,2,FALSE)),"")))</f>
        <v/>
      </c>
      <c r="P28" s="11" t="str">
        <f>IF(D28="","",IF(D28="账户转账",M28,IFERROR(IF(VLOOKUP(D28,基础资料!$AK$5:$AM$204,3,FALSE)="1002",M28,VLOOKUP(D28,基础资料!$AK$5:$AM$204,3,FALSE)),"")))</f>
        <v/>
      </c>
      <c r="Q28" s="62" t="str">
        <f t="shared" si="1"/>
        <v/>
      </c>
      <c r="R28" s="11" t="str">
        <f t="shared" si="2"/>
        <v/>
      </c>
    </row>
    <row r="29" spans="1:18">
      <c r="A29" s="60"/>
      <c r="B29" s="11" t="str">
        <f t="shared" si="0"/>
        <v/>
      </c>
      <c r="C29" s="11" t="str">
        <f>IF(D29="","",IFERROR(INDEX(基础资料!$AJ$5:$AJ$204,MATCH(D29,基础资料!$AK$5:$AK$204,0)),""))</f>
        <v/>
      </c>
      <c r="D29" s="54"/>
      <c r="E29" s="54"/>
      <c r="F29" s="54"/>
      <c r="G29" s="54"/>
      <c r="H29" s="54"/>
      <c r="I29" s="54"/>
      <c r="J29" s="55"/>
      <c r="K29" s="55"/>
      <c r="L29" s="62" t="str">
        <f>IF(OR(A29="",E29=""),"",SUMIFS(期初数据!$C$5:$C$14,期初数据!$A$5:$A$14,E29)+SUMIFS($J$4:J29,$E$4:E29,E29)-SUMIFS($K$4:K29,$E$4:E29,E29)+SUMIFS($K$4:K29,$F$4:F29,E29,$D$4:D29,"账户转账"))</f>
        <v/>
      </c>
      <c r="M29" s="11" t="str">
        <f>IF(E29="","",IFERROR(VLOOKUP(E29,基础资料!$A$5:$C$204,3,FALSE),""))</f>
        <v/>
      </c>
      <c r="N29" s="11" t="str">
        <f>IF(D29="账户转账",IFERROR(VLOOKUP(F29,基础资料!$A$5:$C$204,3,FALSE),""),"")</f>
        <v/>
      </c>
      <c r="O29" s="11" t="str">
        <f>IF(D29="","",IF(D29="账户转账",N29,IFERROR(IF(VLOOKUP(D29,基础资料!$AK$5:$AM$204,2,FALSE)="1002",M29,VLOOKUP(D29,基础资料!$AK$5:$AM$204,2,FALSE)),"")))</f>
        <v/>
      </c>
      <c r="P29" s="11" t="str">
        <f>IF(D29="","",IF(D29="账户转账",M29,IFERROR(IF(VLOOKUP(D29,基础资料!$AK$5:$AM$204,3,FALSE)="1002",M29,VLOOKUP(D29,基础资料!$AK$5:$AM$204,3,FALSE)),"")))</f>
        <v/>
      </c>
      <c r="Q29" s="62" t="str">
        <f t="shared" si="1"/>
        <v/>
      </c>
      <c r="R29" s="11" t="str">
        <f t="shared" si="2"/>
        <v/>
      </c>
    </row>
    <row r="30" spans="1:18">
      <c r="A30" s="60"/>
      <c r="B30" s="11" t="str">
        <f t="shared" si="0"/>
        <v/>
      </c>
      <c r="C30" s="11" t="str">
        <f>IF(D30="","",IFERROR(INDEX(基础资料!$AJ$5:$AJ$204,MATCH(D30,基础资料!$AK$5:$AK$204,0)),""))</f>
        <v/>
      </c>
      <c r="D30" s="54"/>
      <c r="E30" s="54"/>
      <c r="F30" s="54"/>
      <c r="G30" s="54"/>
      <c r="H30" s="54"/>
      <c r="I30" s="54"/>
      <c r="J30" s="55"/>
      <c r="K30" s="55"/>
      <c r="L30" s="62" t="str">
        <f>IF(OR(A30="",E30=""),"",SUMIFS(期初数据!$C$5:$C$14,期初数据!$A$5:$A$14,E30)+SUMIFS($J$4:J30,$E$4:E30,E30)-SUMIFS($K$4:K30,$E$4:E30,E30)+SUMIFS($K$4:K30,$F$4:F30,E30,$D$4:D30,"账户转账"))</f>
        <v/>
      </c>
      <c r="M30" s="11" t="str">
        <f>IF(E30="","",IFERROR(VLOOKUP(E30,基础资料!$A$5:$C$204,3,FALSE),""))</f>
        <v/>
      </c>
      <c r="N30" s="11" t="str">
        <f>IF(D30="账户转账",IFERROR(VLOOKUP(F30,基础资料!$A$5:$C$204,3,FALSE),""),"")</f>
        <v/>
      </c>
      <c r="O30" s="11" t="str">
        <f>IF(D30="","",IF(D30="账户转账",N30,IFERROR(IF(VLOOKUP(D30,基础资料!$AK$5:$AM$204,2,FALSE)="1002",M30,VLOOKUP(D30,基础资料!$AK$5:$AM$204,2,FALSE)),"")))</f>
        <v/>
      </c>
      <c r="P30" s="11" t="str">
        <f>IF(D30="","",IF(D30="账户转账",M30,IFERROR(IF(VLOOKUP(D30,基础资料!$AK$5:$AM$204,3,FALSE)="1002",M30,VLOOKUP(D30,基础资料!$AK$5:$AM$204,3,FALSE)),"")))</f>
        <v/>
      </c>
      <c r="Q30" s="62" t="str">
        <f t="shared" si="1"/>
        <v/>
      </c>
      <c r="R30" s="11" t="str">
        <f t="shared" si="2"/>
        <v/>
      </c>
    </row>
    <row r="31" spans="1:18">
      <c r="A31" s="60"/>
      <c r="B31" s="11" t="str">
        <f t="shared" si="0"/>
        <v/>
      </c>
      <c r="C31" s="11" t="str">
        <f>IF(D31="","",IFERROR(INDEX(基础资料!$AJ$5:$AJ$204,MATCH(D31,基础资料!$AK$5:$AK$204,0)),""))</f>
        <v/>
      </c>
      <c r="D31" s="54"/>
      <c r="E31" s="54"/>
      <c r="F31" s="54"/>
      <c r="G31" s="54"/>
      <c r="H31" s="54"/>
      <c r="I31" s="54"/>
      <c r="J31" s="55"/>
      <c r="K31" s="55"/>
      <c r="L31" s="62" t="str">
        <f>IF(OR(A31="",E31=""),"",SUMIFS(期初数据!$C$5:$C$14,期初数据!$A$5:$A$14,E31)+SUMIFS($J$4:J31,$E$4:E31,E31)-SUMIFS($K$4:K31,$E$4:E31,E31)+SUMIFS($K$4:K31,$F$4:F31,E31,$D$4:D31,"账户转账"))</f>
        <v/>
      </c>
      <c r="M31" s="11" t="str">
        <f>IF(E31="","",IFERROR(VLOOKUP(E31,基础资料!$A$5:$C$204,3,FALSE),""))</f>
        <v/>
      </c>
      <c r="N31" s="11" t="str">
        <f>IF(D31="账户转账",IFERROR(VLOOKUP(F31,基础资料!$A$5:$C$204,3,FALSE),""),"")</f>
        <v/>
      </c>
      <c r="O31" s="11" t="str">
        <f>IF(D31="","",IF(D31="账户转账",N31,IFERROR(IF(VLOOKUP(D31,基础资料!$AK$5:$AM$204,2,FALSE)="1002",M31,VLOOKUP(D31,基础资料!$AK$5:$AM$204,2,FALSE)),"")))</f>
        <v/>
      </c>
      <c r="P31" s="11" t="str">
        <f>IF(D31="","",IF(D31="账户转账",M31,IFERROR(IF(VLOOKUP(D31,基础资料!$AK$5:$AM$204,3,FALSE)="1002",M31,VLOOKUP(D31,基础资料!$AK$5:$AM$204,3,FALSE)),"")))</f>
        <v/>
      </c>
      <c r="Q31" s="62" t="str">
        <f t="shared" si="1"/>
        <v/>
      </c>
      <c r="R31" s="11" t="str">
        <f t="shared" si="2"/>
        <v/>
      </c>
    </row>
    <row r="32" spans="1:18">
      <c r="A32" s="60"/>
      <c r="B32" s="11" t="str">
        <f t="shared" si="0"/>
        <v/>
      </c>
      <c r="C32" s="11" t="str">
        <f>IF(D32="","",IFERROR(INDEX(基础资料!$AJ$5:$AJ$204,MATCH(D32,基础资料!$AK$5:$AK$204,0)),""))</f>
        <v/>
      </c>
      <c r="D32" s="54"/>
      <c r="E32" s="54"/>
      <c r="F32" s="54"/>
      <c r="G32" s="54"/>
      <c r="H32" s="54"/>
      <c r="I32" s="54"/>
      <c r="J32" s="55"/>
      <c r="K32" s="55"/>
      <c r="L32" s="62" t="str">
        <f>IF(OR(A32="",E32=""),"",SUMIFS(期初数据!$C$5:$C$14,期初数据!$A$5:$A$14,E32)+SUMIFS($J$4:J32,$E$4:E32,E32)-SUMIFS($K$4:K32,$E$4:E32,E32)+SUMIFS($K$4:K32,$F$4:F32,E32,$D$4:D32,"账户转账"))</f>
        <v/>
      </c>
      <c r="M32" s="11" t="str">
        <f>IF(E32="","",IFERROR(VLOOKUP(E32,基础资料!$A$5:$C$204,3,FALSE),""))</f>
        <v/>
      </c>
      <c r="N32" s="11" t="str">
        <f>IF(D32="账户转账",IFERROR(VLOOKUP(F32,基础资料!$A$5:$C$204,3,FALSE),""),"")</f>
        <v/>
      </c>
      <c r="O32" s="11" t="str">
        <f>IF(D32="","",IF(D32="账户转账",N32,IFERROR(IF(VLOOKUP(D32,基础资料!$AK$5:$AM$204,2,FALSE)="1002",M32,VLOOKUP(D32,基础资料!$AK$5:$AM$204,2,FALSE)),"")))</f>
        <v/>
      </c>
      <c r="P32" s="11" t="str">
        <f>IF(D32="","",IF(D32="账户转账",M32,IFERROR(IF(VLOOKUP(D32,基础资料!$AK$5:$AM$204,3,FALSE)="1002",M32,VLOOKUP(D32,基础资料!$AK$5:$AM$204,3,FALSE)),"")))</f>
        <v/>
      </c>
      <c r="Q32" s="62" t="str">
        <f t="shared" si="1"/>
        <v/>
      </c>
      <c r="R32" s="11" t="str">
        <f t="shared" si="2"/>
        <v/>
      </c>
    </row>
    <row r="33" spans="1:18">
      <c r="A33" s="60"/>
      <c r="B33" s="11" t="str">
        <f t="shared" si="0"/>
        <v/>
      </c>
      <c r="C33" s="11" t="str">
        <f>IF(D33="","",IFERROR(INDEX(基础资料!$AJ$5:$AJ$204,MATCH(D33,基础资料!$AK$5:$AK$204,0)),""))</f>
        <v/>
      </c>
      <c r="D33" s="54"/>
      <c r="E33" s="54"/>
      <c r="F33" s="54"/>
      <c r="G33" s="54"/>
      <c r="H33" s="54"/>
      <c r="I33" s="54"/>
      <c r="J33" s="55"/>
      <c r="K33" s="55"/>
      <c r="L33" s="62" t="str">
        <f>IF(OR(A33="",E33=""),"",SUMIFS(期初数据!$C$5:$C$14,期初数据!$A$5:$A$14,E33)+SUMIFS($J$4:J33,$E$4:E33,E33)-SUMIFS($K$4:K33,$E$4:E33,E33)+SUMIFS($K$4:K33,$F$4:F33,E33,$D$4:D33,"账户转账"))</f>
        <v/>
      </c>
      <c r="M33" s="11" t="str">
        <f>IF(E33="","",IFERROR(VLOOKUP(E33,基础资料!$A$5:$C$204,3,FALSE),""))</f>
        <v/>
      </c>
      <c r="N33" s="11" t="str">
        <f>IF(D33="账户转账",IFERROR(VLOOKUP(F33,基础资料!$A$5:$C$204,3,FALSE),""),"")</f>
        <v/>
      </c>
      <c r="O33" s="11" t="str">
        <f>IF(D33="","",IF(D33="账户转账",N33,IFERROR(IF(VLOOKUP(D33,基础资料!$AK$5:$AM$204,2,FALSE)="1002",M33,VLOOKUP(D33,基础资料!$AK$5:$AM$204,2,FALSE)),"")))</f>
        <v/>
      </c>
      <c r="P33" s="11" t="str">
        <f>IF(D33="","",IF(D33="账户转账",M33,IFERROR(IF(VLOOKUP(D33,基础资料!$AK$5:$AM$204,3,FALSE)="1002",M33,VLOOKUP(D33,基础资料!$AK$5:$AM$204,3,FALSE)),"")))</f>
        <v/>
      </c>
      <c r="Q33" s="62" t="str">
        <f t="shared" si="1"/>
        <v/>
      </c>
      <c r="R33" s="11" t="str">
        <f t="shared" si="2"/>
        <v/>
      </c>
    </row>
    <row r="34" spans="1:18">
      <c r="A34" s="60"/>
      <c r="B34" s="11" t="str">
        <f t="shared" si="0"/>
        <v/>
      </c>
      <c r="C34" s="11" t="str">
        <f>IF(D34="","",IFERROR(INDEX(基础资料!$AJ$5:$AJ$204,MATCH(D34,基础资料!$AK$5:$AK$204,0)),""))</f>
        <v/>
      </c>
      <c r="D34" s="54"/>
      <c r="E34" s="54"/>
      <c r="F34" s="54"/>
      <c r="G34" s="54"/>
      <c r="H34" s="54"/>
      <c r="I34" s="54"/>
      <c r="J34" s="55"/>
      <c r="K34" s="55"/>
      <c r="L34" s="62" t="str">
        <f>IF(OR(A34="",E34=""),"",SUMIFS(期初数据!$C$5:$C$14,期初数据!$A$5:$A$14,E34)+SUMIFS($J$4:J34,$E$4:E34,E34)-SUMIFS($K$4:K34,$E$4:E34,E34)+SUMIFS($K$4:K34,$F$4:F34,E34,$D$4:D34,"账户转账"))</f>
        <v/>
      </c>
      <c r="M34" s="11" t="str">
        <f>IF(E34="","",IFERROR(VLOOKUP(E34,基础资料!$A$5:$C$204,3,FALSE),""))</f>
        <v/>
      </c>
      <c r="N34" s="11" t="str">
        <f>IF(D34="账户转账",IFERROR(VLOOKUP(F34,基础资料!$A$5:$C$204,3,FALSE),""),"")</f>
        <v/>
      </c>
      <c r="O34" s="11" t="str">
        <f>IF(D34="","",IF(D34="账户转账",N34,IFERROR(IF(VLOOKUP(D34,基础资料!$AK$5:$AM$204,2,FALSE)="1002",M34,VLOOKUP(D34,基础资料!$AK$5:$AM$204,2,FALSE)),"")))</f>
        <v/>
      </c>
      <c r="P34" s="11" t="str">
        <f>IF(D34="","",IF(D34="账户转账",M34,IFERROR(IF(VLOOKUP(D34,基础资料!$AK$5:$AM$204,3,FALSE)="1002",M34,VLOOKUP(D34,基础资料!$AK$5:$AM$204,3,FALSE)),"")))</f>
        <v/>
      </c>
      <c r="Q34" s="62" t="str">
        <f t="shared" si="1"/>
        <v/>
      </c>
      <c r="R34" s="11" t="str">
        <f t="shared" si="2"/>
        <v/>
      </c>
    </row>
    <row r="35" spans="1:18">
      <c r="A35" s="60"/>
      <c r="B35" s="11" t="str">
        <f t="shared" si="0"/>
        <v/>
      </c>
      <c r="C35" s="11" t="str">
        <f>IF(D35="","",IFERROR(INDEX(基础资料!$AJ$5:$AJ$204,MATCH(D35,基础资料!$AK$5:$AK$204,0)),""))</f>
        <v/>
      </c>
      <c r="D35" s="54"/>
      <c r="E35" s="54"/>
      <c r="F35" s="54"/>
      <c r="G35" s="54"/>
      <c r="H35" s="54"/>
      <c r="I35" s="54"/>
      <c r="J35" s="55"/>
      <c r="K35" s="55"/>
      <c r="L35" s="62" t="str">
        <f>IF(OR(A35="",E35=""),"",SUMIFS(期初数据!$C$5:$C$14,期初数据!$A$5:$A$14,E35)+SUMIFS($J$4:J35,$E$4:E35,E35)-SUMIFS($K$4:K35,$E$4:E35,E35)+SUMIFS($K$4:K35,$F$4:F35,E35,$D$4:D35,"账户转账"))</f>
        <v/>
      </c>
      <c r="M35" s="11" t="str">
        <f>IF(E35="","",IFERROR(VLOOKUP(E35,基础资料!$A$5:$C$204,3,FALSE),""))</f>
        <v/>
      </c>
      <c r="N35" s="11" t="str">
        <f>IF(D35="账户转账",IFERROR(VLOOKUP(F35,基础资料!$A$5:$C$204,3,FALSE),""),"")</f>
        <v/>
      </c>
      <c r="O35" s="11" t="str">
        <f>IF(D35="","",IF(D35="账户转账",N35,IFERROR(IF(VLOOKUP(D35,基础资料!$AK$5:$AM$204,2,FALSE)="1002",M35,VLOOKUP(D35,基础资料!$AK$5:$AM$204,2,FALSE)),"")))</f>
        <v/>
      </c>
      <c r="P35" s="11" t="str">
        <f>IF(D35="","",IF(D35="账户转账",M35,IFERROR(IF(VLOOKUP(D35,基础资料!$AK$5:$AM$204,3,FALSE)="1002",M35,VLOOKUP(D35,基础资料!$AK$5:$AM$204,3,FALSE)),"")))</f>
        <v/>
      </c>
      <c r="Q35" s="62" t="str">
        <f t="shared" si="1"/>
        <v/>
      </c>
      <c r="R35" s="11" t="str">
        <f t="shared" si="2"/>
        <v/>
      </c>
    </row>
    <row r="36" spans="1:18">
      <c r="A36" s="60"/>
      <c r="B36" s="11" t="str">
        <f t="shared" si="0"/>
        <v/>
      </c>
      <c r="C36" s="11" t="str">
        <f>IF(D36="","",IFERROR(INDEX(基础资料!$AJ$5:$AJ$204,MATCH(D36,基础资料!$AK$5:$AK$204,0)),""))</f>
        <v/>
      </c>
      <c r="D36" s="54"/>
      <c r="E36" s="54"/>
      <c r="F36" s="54"/>
      <c r="G36" s="54"/>
      <c r="H36" s="54"/>
      <c r="I36" s="54"/>
      <c r="J36" s="55"/>
      <c r="K36" s="55"/>
      <c r="L36" s="62" t="str">
        <f>IF(OR(A36="",E36=""),"",SUMIFS(期初数据!$C$5:$C$14,期初数据!$A$5:$A$14,E36)+SUMIFS($J$4:J36,$E$4:E36,E36)-SUMIFS($K$4:K36,$E$4:E36,E36)+SUMIFS($K$4:K36,$F$4:F36,E36,$D$4:D36,"账户转账"))</f>
        <v/>
      </c>
      <c r="M36" s="11" t="str">
        <f>IF(E36="","",IFERROR(VLOOKUP(E36,基础资料!$A$5:$C$204,3,FALSE),""))</f>
        <v/>
      </c>
      <c r="N36" s="11" t="str">
        <f>IF(D36="账户转账",IFERROR(VLOOKUP(F36,基础资料!$A$5:$C$204,3,FALSE),""),"")</f>
        <v/>
      </c>
      <c r="O36" s="11" t="str">
        <f>IF(D36="","",IF(D36="账户转账",N36,IFERROR(IF(VLOOKUP(D36,基础资料!$AK$5:$AM$204,2,FALSE)="1002",M36,VLOOKUP(D36,基础资料!$AK$5:$AM$204,2,FALSE)),"")))</f>
        <v/>
      </c>
      <c r="P36" s="11" t="str">
        <f>IF(D36="","",IF(D36="账户转账",M36,IFERROR(IF(VLOOKUP(D36,基础资料!$AK$5:$AM$204,3,FALSE)="1002",M36,VLOOKUP(D36,基础资料!$AK$5:$AM$204,3,FALSE)),"")))</f>
        <v/>
      </c>
      <c r="Q36" s="62" t="str">
        <f t="shared" si="1"/>
        <v/>
      </c>
      <c r="R36" s="11" t="str">
        <f t="shared" si="2"/>
        <v/>
      </c>
    </row>
    <row r="37" spans="1:18">
      <c r="A37" s="60"/>
      <c r="B37" s="11" t="str">
        <f t="shared" si="0"/>
        <v/>
      </c>
      <c r="C37" s="11" t="str">
        <f>IF(D37="","",IFERROR(INDEX(基础资料!$AJ$5:$AJ$204,MATCH(D37,基础资料!$AK$5:$AK$204,0)),""))</f>
        <v/>
      </c>
      <c r="D37" s="54"/>
      <c r="E37" s="54"/>
      <c r="F37" s="54"/>
      <c r="G37" s="54"/>
      <c r="H37" s="54"/>
      <c r="I37" s="54"/>
      <c r="J37" s="55"/>
      <c r="K37" s="55"/>
      <c r="L37" s="62" t="str">
        <f>IF(OR(A37="",E37=""),"",SUMIFS(期初数据!$C$5:$C$14,期初数据!$A$5:$A$14,E37)+SUMIFS($J$4:J37,$E$4:E37,E37)-SUMIFS($K$4:K37,$E$4:E37,E37)+SUMIFS($K$4:K37,$F$4:F37,E37,$D$4:D37,"账户转账"))</f>
        <v/>
      </c>
      <c r="M37" s="11" t="str">
        <f>IF(E37="","",IFERROR(VLOOKUP(E37,基础资料!$A$5:$C$204,3,FALSE),""))</f>
        <v/>
      </c>
      <c r="N37" s="11" t="str">
        <f>IF(D37="账户转账",IFERROR(VLOOKUP(F37,基础资料!$A$5:$C$204,3,FALSE),""),"")</f>
        <v/>
      </c>
      <c r="O37" s="11" t="str">
        <f>IF(D37="","",IF(D37="账户转账",N37,IFERROR(IF(VLOOKUP(D37,基础资料!$AK$5:$AM$204,2,FALSE)="1002",M37,VLOOKUP(D37,基础资料!$AK$5:$AM$204,2,FALSE)),"")))</f>
        <v/>
      </c>
      <c r="P37" s="11" t="str">
        <f>IF(D37="","",IF(D37="账户转账",M37,IFERROR(IF(VLOOKUP(D37,基础资料!$AK$5:$AM$204,3,FALSE)="1002",M37,VLOOKUP(D37,基础资料!$AK$5:$AM$204,3,FALSE)),"")))</f>
        <v/>
      </c>
      <c r="Q37" s="62" t="str">
        <f t="shared" si="1"/>
        <v/>
      </c>
      <c r="R37" s="11" t="str">
        <f t="shared" si="2"/>
        <v/>
      </c>
    </row>
    <row r="38" spans="1:18">
      <c r="A38" s="60"/>
      <c r="B38" s="11" t="str">
        <f t="shared" si="0"/>
        <v/>
      </c>
      <c r="C38" s="11" t="str">
        <f>IF(D38="","",IFERROR(INDEX(基础资料!$AJ$5:$AJ$204,MATCH(D38,基础资料!$AK$5:$AK$204,0)),""))</f>
        <v/>
      </c>
      <c r="D38" s="54"/>
      <c r="E38" s="54"/>
      <c r="F38" s="54"/>
      <c r="G38" s="54"/>
      <c r="H38" s="54"/>
      <c r="I38" s="54"/>
      <c r="J38" s="55"/>
      <c r="K38" s="55"/>
      <c r="L38" s="62" t="str">
        <f>IF(OR(A38="",E38=""),"",SUMIFS(期初数据!$C$5:$C$14,期初数据!$A$5:$A$14,E38)+SUMIFS($J$4:J38,$E$4:E38,E38)-SUMIFS($K$4:K38,$E$4:E38,E38)+SUMIFS($K$4:K38,$F$4:F38,E38,$D$4:D38,"账户转账"))</f>
        <v/>
      </c>
      <c r="M38" s="11" t="str">
        <f>IF(E38="","",IFERROR(VLOOKUP(E38,基础资料!$A$5:$C$204,3,FALSE),""))</f>
        <v/>
      </c>
      <c r="N38" s="11" t="str">
        <f>IF(D38="账户转账",IFERROR(VLOOKUP(F38,基础资料!$A$5:$C$204,3,FALSE),""),"")</f>
        <v/>
      </c>
      <c r="O38" s="11" t="str">
        <f>IF(D38="","",IF(D38="账户转账",N38,IFERROR(IF(VLOOKUP(D38,基础资料!$AK$5:$AM$204,2,FALSE)="1002",M38,VLOOKUP(D38,基础资料!$AK$5:$AM$204,2,FALSE)),"")))</f>
        <v/>
      </c>
      <c r="P38" s="11" t="str">
        <f>IF(D38="","",IF(D38="账户转账",M38,IFERROR(IF(VLOOKUP(D38,基础资料!$AK$5:$AM$204,3,FALSE)="1002",M38,VLOOKUP(D38,基础资料!$AK$5:$AM$204,3,FALSE)),"")))</f>
        <v/>
      </c>
      <c r="Q38" s="62" t="str">
        <f t="shared" si="1"/>
        <v/>
      </c>
      <c r="R38" s="11" t="str">
        <f t="shared" si="2"/>
        <v/>
      </c>
    </row>
    <row r="39" spans="1:18">
      <c r="A39" s="60"/>
      <c r="B39" s="11" t="str">
        <f t="shared" si="0"/>
        <v/>
      </c>
      <c r="C39" s="11" t="str">
        <f>IF(D39="","",IFERROR(INDEX(基础资料!$AJ$5:$AJ$204,MATCH(D39,基础资料!$AK$5:$AK$204,0)),""))</f>
        <v/>
      </c>
      <c r="D39" s="54"/>
      <c r="E39" s="54"/>
      <c r="F39" s="54"/>
      <c r="G39" s="54"/>
      <c r="H39" s="54"/>
      <c r="I39" s="54"/>
      <c r="J39" s="55"/>
      <c r="K39" s="55"/>
      <c r="L39" s="62" t="str">
        <f>IF(OR(A39="",E39=""),"",SUMIFS(期初数据!$C$5:$C$14,期初数据!$A$5:$A$14,E39)+SUMIFS($J$4:J39,$E$4:E39,E39)-SUMIFS($K$4:K39,$E$4:E39,E39)+SUMIFS($K$4:K39,$F$4:F39,E39,$D$4:D39,"账户转账"))</f>
        <v/>
      </c>
      <c r="M39" s="11" t="str">
        <f>IF(E39="","",IFERROR(VLOOKUP(E39,基础资料!$A$5:$C$204,3,FALSE),""))</f>
        <v/>
      </c>
      <c r="N39" s="11" t="str">
        <f>IF(D39="账户转账",IFERROR(VLOOKUP(F39,基础资料!$A$5:$C$204,3,FALSE),""),"")</f>
        <v/>
      </c>
      <c r="O39" s="11" t="str">
        <f>IF(D39="","",IF(D39="账户转账",N39,IFERROR(IF(VLOOKUP(D39,基础资料!$AK$5:$AM$204,2,FALSE)="1002",M39,VLOOKUP(D39,基础资料!$AK$5:$AM$204,2,FALSE)),"")))</f>
        <v/>
      </c>
      <c r="P39" s="11" t="str">
        <f>IF(D39="","",IF(D39="账户转账",M39,IFERROR(IF(VLOOKUP(D39,基础资料!$AK$5:$AM$204,3,FALSE)="1002",M39,VLOOKUP(D39,基础资料!$AK$5:$AM$204,3,FALSE)),"")))</f>
        <v/>
      </c>
      <c r="Q39" s="62" t="str">
        <f t="shared" si="1"/>
        <v/>
      </c>
      <c r="R39" s="11" t="str">
        <f t="shared" si="2"/>
        <v/>
      </c>
    </row>
    <row r="40" spans="1:18">
      <c r="A40" s="60"/>
      <c r="B40" s="11" t="str">
        <f t="shared" si="0"/>
        <v/>
      </c>
      <c r="C40" s="11" t="str">
        <f>IF(D40="","",IFERROR(INDEX(基础资料!$AJ$5:$AJ$204,MATCH(D40,基础资料!$AK$5:$AK$204,0)),""))</f>
        <v/>
      </c>
      <c r="D40" s="54"/>
      <c r="E40" s="54"/>
      <c r="F40" s="54"/>
      <c r="G40" s="54"/>
      <c r="H40" s="54"/>
      <c r="I40" s="54"/>
      <c r="J40" s="55"/>
      <c r="K40" s="55"/>
      <c r="L40" s="62" t="str">
        <f>IF(OR(A40="",E40=""),"",SUMIFS(期初数据!$C$5:$C$14,期初数据!$A$5:$A$14,E40)+SUMIFS($J$4:J40,$E$4:E40,E40)-SUMIFS($K$4:K40,$E$4:E40,E40)+SUMIFS($K$4:K40,$F$4:F40,E40,$D$4:D40,"账户转账"))</f>
        <v/>
      </c>
      <c r="M40" s="11" t="str">
        <f>IF(E40="","",IFERROR(VLOOKUP(E40,基础资料!$A$5:$C$204,3,FALSE),""))</f>
        <v/>
      </c>
      <c r="N40" s="11" t="str">
        <f>IF(D40="账户转账",IFERROR(VLOOKUP(F40,基础资料!$A$5:$C$204,3,FALSE),""),"")</f>
        <v/>
      </c>
      <c r="O40" s="11" t="str">
        <f>IF(D40="","",IF(D40="账户转账",N40,IFERROR(IF(VLOOKUP(D40,基础资料!$AK$5:$AM$204,2,FALSE)="1002",M40,VLOOKUP(D40,基础资料!$AK$5:$AM$204,2,FALSE)),"")))</f>
        <v/>
      </c>
      <c r="P40" s="11" t="str">
        <f>IF(D40="","",IF(D40="账户转账",M40,IFERROR(IF(VLOOKUP(D40,基础资料!$AK$5:$AM$204,3,FALSE)="1002",M40,VLOOKUP(D40,基础资料!$AK$5:$AM$204,3,FALSE)),"")))</f>
        <v/>
      </c>
      <c r="Q40" s="62" t="str">
        <f t="shared" si="1"/>
        <v/>
      </c>
      <c r="R40" s="11" t="str">
        <f t="shared" si="2"/>
        <v/>
      </c>
    </row>
    <row r="41" spans="1:18">
      <c r="A41" s="60"/>
      <c r="B41" s="11" t="str">
        <f t="shared" si="0"/>
        <v/>
      </c>
      <c r="C41" s="11" t="str">
        <f>IF(D41="","",IFERROR(INDEX(基础资料!$AJ$5:$AJ$204,MATCH(D41,基础资料!$AK$5:$AK$204,0)),""))</f>
        <v/>
      </c>
      <c r="D41" s="54"/>
      <c r="E41" s="54"/>
      <c r="F41" s="54"/>
      <c r="G41" s="54"/>
      <c r="H41" s="54"/>
      <c r="I41" s="54"/>
      <c r="J41" s="55"/>
      <c r="K41" s="55"/>
      <c r="L41" s="62" t="str">
        <f>IF(OR(A41="",E41=""),"",SUMIFS(期初数据!$C$5:$C$14,期初数据!$A$5:$A$14,E41)+SUMIFS($J$4:J41,$E$4:E41,E41)-SUMIFS($K$4:K41,$E$4:E41,E41)+SUMIFS($K$4:K41,$F$4:F41,E41,$D$4:D41,"账户转账"))</f>
        <v/>
      </c>
      <c r="M41" s="11" t="str">
        <f>IF(E41="","",IFERROR(VLOOKUP(E41,基础资料!$A$5:$C$204,3,FALSE),""))</f>
        <v/>
      </c>
      <c r="N41" s="11" t="str">
        <f>IF(D41="账户转账",IFERROR(VLOOKUP(F41,基础资料!$A$5:$C$204,3,FALSE),""),"")</f>
        <v/>
      </c>
      <c r="O41" s="11" t="str">
        <f>IF(D41="","",IF(D41="账户转账",N41,IFERROR(IF(VLOOKUP(D41,基础资料!$AK$5:$AM$204,2,FALSE)="1002",M41,VLOOKUP(D41,基础资料!$AK$5:$AM$204,2,FALSE)),"")))</f>
        <v/>
      </c>
      <c r="P41" s="11" t="str">
        <f>IF(D41="","",IF(D41="账户转账",M41,IFERROR(IF(VLOOKUP(D41,基础资料!$AK$5:$AM$204,3,FALSE)="1002",M41,VLOOKUP(D41,基础资料!$AK$5:$AM$204,3,FALSE)),"")))</f>
        <v/>
      </c>
      <c r="Q41" s="62" t="str">
        <f t="shared" si="1"/>
        <v/>
      </c>
      <c r="R41" s="11" t="str">
        <f t="shared" si="2"/>
        <v/>
      </c>
    </row>
    <row r="42" spans="1:18">
      <c r="A42" s="60"/>
      <c r="B42" s="11" t="str">
        <f t="shared" si="0"/>
        <v/>
      </c>
      <c r="C42" s="11" t="str">
        <f>IF(D42="","",IFERROR(INDEX(基础资料!$AJ$5:$AJ$204,MATCH(D42,基础资料!$AK$5:$AK$204,0)),""))</f>
        <v/>
      </c>
      <c r="D42" s="54"/>
      <c r="E42" s="54"/>
      <c r="F42" s="54"/>
      <c r="G42" s="54"/>
      <c r="H42" s="54"/>
      <c r="I42" s="54"/>
      <c r="J42" s="55"/>
      <c r="K42" s="55"/>
      <c r="L42" s="62" t="str">
        <f>IF(OR(A42="",E42=""),"",SUMIFS(期初数据!$C$5:$C$14,期初数据!$A$5:$A$14,E42)+SUMIFS($J$4:J42,$E$4:E42,E42)-SUMIFS($K$4:K42,$E$4:E42,E42)+SUMIFS($K$4:K42,$F$4:F42,E42,$D$4:D42,"账户转账"))</f>
        <v/>
      </c>
      <c r="M42" s="11" t="str">
        <f>IF(E42="","",IFERROR(VLOOKUP(E42,基础资料!$A$5:$C$204,3,FALSE),""))</f>
        <v/>
      </c>
      <c r="N42" s="11" t="str">
        <f>IF(D42="账户转账",IFERROR(VLOOKUP(F42,基础资料!$A$5:$C$204,3,FALSE),""),"")</f>
        <v/>
      </c>
      <c r="O42" s="11" t="str">
        <f>IF(D42="","",IF(D42="账户转账",N42,IFERROR(IF(VLOOKUP(D42,基础资料!$AK$5:$AM$204,2,FALSE)="1002",M42,VLOOKUP(D42,基础资料!$AK$5:$AM$204,2,FALSE)),"")))</f>
        <v/>
      </c>
      <c r="P42" s="11" t="str">
        <f>IF(D42="","",IF(D42="账户转账",M42,IFERROR(IF(VLOOKUP(D42,基础资料!$AK$5:$AM$204,3,FALSE)="1002",M42,VLOOKUP(D42,基础资料!$AK$5:$AM$204,3,FALSE)),"")))</f>
        <v/>
      </c>
      <c r="Q42" s="62" t="str">
        <f t="shared" si="1"/>
        <v/>
      </c>
      <c r="R42" s="11" t="str">
        <f t="shared" si="2"/>
        <v/>
      </c>
    </row>
    <row r="43" spans="1:18">
      <c r="A43" s="60"/>
      <c r="B43" s="11" t="str">
        <f t="shared" si="0"/>
        <v/>
      </c>
      <c r="C43" s="11" t="str">
        <f>IF(D43="","",IFERROR(INDEX(基础资料!$AJ$5:$AJ$204,MATCH(D43,基础资料!$AK$5:$AK$204,0)),""))</f>
        <v/>
      </c>
      <c r="D43" s="54"/>
      <c r="E43" s="54"/>
      <c r="F43" s="54"/>
      <c r="G43" s="54"/>
      <c r="H43" s="54"/>
      <c r="I43" s="54"/>
      <c r="J43" s="55"/>
      <c r="K43" s="55"/>
      <c r="L43" s="62" t="str">
        <f>IF(OR(A43="",E43=""),"",SUMIFS(期初数据!$C$5:$C$14,期初数据!$A$5:$A$14,E43)+SUMIFS($J$4:J43,$E$4:E43,E43)-SUMIFS($K$4:K43,$E$4:E43,E43)+SUMIFS($K$4:K43,$F$4:F43,E43,$D$4:D43,"账户转账"))</f>
        <v/>
      </c>
      <c r="M43" s="11" t="str">
        <f>IF(E43="","",IFERROR(VLOOKUP(E43,基础资料!$A$5:$C$204,3,FALSE),""))</f>
        <v/>
      </c>
      <c r="N43" s="11" t="str">
        <f>IF(D43="账户转账",IFERROR(VLOOKUP(F43,基础资料!$A$5:$C$204,3,FALSE),""),"")</f>
        <v/>
      </c>
      <c r="O43" s="11" t="str">
        <f>IF(D43="","",IF(D43="账户转账",N43,IFERROR(IF(VLOOKUP(D43,基础资料!$AK$5:$AM$204,2,FALSE)="1002",M43,VLOOKUP(D43,基础资料!$AK$5:$AM$204,2,FALSE)),"")))</f>
        <v/>
      </c>
      <c r="P43" s="11" t="str">
        <f>IF(D43="","",IF(D43="账户转账",M43,IFERROR(IF(VLOOKUP(D43,基础资料!$AK$5:$AM$204,3,FALSE)="1002",M43,VLOOKUP(D43,基础资料!$AK$5:$AM$204,3,FALSE)),"")))</f>
        <v/>
      </c>
      <c r="Q43" s="62" t="str">
        <f t="shared" si="1"/>
        <v/>
      </c>
      <c r="R43" s="11" t="str">
        <f t="shared" si="2"/>
        <v/>
      </c>
    </row>
    <row r="44" spans="1:18">
      <c r="A44" s="60"/>
      <c r="B44" s="11" t="str">
        <f t="shared" si="0"/>
        <v/>
      </c>
      <c r="C44" s="11" t="str">
        <f>IF(D44="","",IFERROR(INDEX(基础资料!$AJ$5:$AJ$204,MATCH(D44,基础资料!$AK$5:$AK$204,0)),""))</f>
        <v/>
      </c>
      <c r="D44" s="54"/>
      <c r="E44" s="54"/>
      <c r="F44" s="54"/>
      <c r="G44" s="54"/>
      <c r="H44" s="54"/>
      <c r="I44" s="54"/>
      <c r="J44" s="55"/>
      <c r="K44" s="55"/>
      <c r="L44" s="62" t="str">
        <f>IF(OR(A44="",E44=""),"",SUMIFS(期初数据!$C$5:$C$14,期初数据!$A$5:$A$14,E44)+SUMIFS($J$4:J44,$E$4:E44,E44)-SUMIFS($K$4:K44,$E$4:E44,E44)+SUMIFS($K$4:K44,$F$4:F44,E44,$D$4:D44,"账户转账"))</f>
        <v/>
      </c>
      <c r="M44" s="11" t="str">
        <f>IF(E44="","",IFERROR(VLOOKUP(E44,基础资料!$A$5:$C$204,3,FALSE),""))</f>
        <v/>
      </c>
      <c r="N44" s="11" t="str">
        <f>IF(D44="账户转账",IFERROR(VLOOKUP(F44,基础资料!$A$5:$C$204,3,FALSE),""),"")</f>
        <v/>
      </c>
      <c r="O44" s="11" t="str">
        <f>IF(D44="","",IF(D44="账户转账",N44,IFERROR(IF(VLOOKUP(D44,基础资料!$AK$5:$AM$204,2,FALSE)="1002",M44,VLOOKUP(D44,基础资料!$AK$5:$AM$204,2,FALSE)),"")))</f>
        <v/>
      </c>
      <c r="P44" s="11" t="str">
        <f>IF(D44="","",IF(D44="账户转账",M44,IFERROR(IF(VLOOKUP(D44,基础资料!$AK$5:$AM$204,3,FALSE)="1002",M44,VLOOKUP(D44,基础资料!$AK$5:$AM$204,3,FALSE)),"")))</f>
        <v/>
      </c>
      <c r="Q44" s="62" t="str">
        <f t="shared" si="1"/>
        <v/>
      </c>
      <c r="R44" s="11" t="str">
        <f t="shared" si="2"/>
        <v/>
      </c>
    </row>
    <row r="45" spans="1:18">
      <c r="A45" s="60"/>
      <c r="B45" s="11" t="str">
        <f t="shared" si="0"/>
        <v/>
      </c>
      <c r="C45" s="11" t="str">
        <f>IF(D45="","",IFERROR(INDEX(基础资料!$AJ$5:$AJ$204,MATCH(D45,基础资料!$AK$5:$AK$204,0)),""))</f>
        <v/>
      </c>
      <c r="D45" s="54"/>
      <c r="E45" s="54"/>
      <c r="F45" s="54"/>
      <c r="G45" s="54"/>
      <c r="H45" s="54"/>
      <c r="I45" s="54"/>
      <c r="J45" s="55"/>
      <c r="K45" s="55"/>
      <c r="L45" s="62" t="str">
        <f>IF(OR(A45="",E45=""),"",SUMIFS(期初数据!$C$5:$C$14,期初数据!$A$5:$A$14,E45)+SUMIFS($J$4:J45,$E$4:E45,E45)-SUMIFS($K$4:K45,$E$4:E45,E45)+SUMIFS($K$4:K45,$F$4:F45,E45,$D$4:D45,"账户转账"))</f>
        <v/>
      </c>
      <c r="M45" s="11" t="str">
        <f>IF(E45="","",IFERROR(VLOOKUP(E45,基础资料!$A$5:$C$204,3,FALSE),""))</f>
        <v/>
      </c>
      <c r="N45" s="11" t="str">
        <f>IF(D45="账户转账",IFERROR(VLOOKUP(F45,基础资料!$A$5:$C$204,3,FALSE),""),"")</f>
        <v/>
      </c>
      <c r="O45" s="11" t="str">
        <f>IF(D45="","",IF(D45="账户转账",N45,IFERROR(IF(VLOOKUP(D45,基础资料!$AK$5:$AM$204,2,FALSE)="1002",M45,VLOOKUP(D45,基础资料!$AK$5:$AM$204,2,FALSE)),"")))</f>
        <v/>
      </c>
      <c r="P45" s="11" t="str">
        <f>IF(D45="","",IF(D45="账户转账",M45,IFERROR(IF(VLOOKUP(D45,基础资料!$AK$5:$AM$204,3,FALSE)="1002",M45,VLOOKUP(D45,基础资料!$AK$5:$AM$204,3,FALSE)),"")))</f>
        <v/>
      </c>
      <c r="Q45" s="62" t="str">
        <f t="shared" si="1"/>
        <v/>
      </c>
      <c r="R45" s="11" t="str">
        <f t="shared" si="2"/>
        <v/>
      </c>
    </row>
    <row r="46" spans="1:18">
      <c r="A46" s="60"/>
      <c r="B46" s="11" t="str">
        <f t="shared" si="0"/>
        <v/>
      </c>
      <c r="C46" s="11" t="str">
        <f>IF(D46="","",IFERROR(INDEX(基础资料!$AJ$5:$AJ$204,MATCH(D46,基础资料!$AK$5:$AK$204,0)),""))</f>
        <v/>
      </c>
      <c r="D46" s="54"/>
      <c r="E46" s="54"/>
      <c r="F46" s="54"/>
      <c r="G46" s="54"/>
      <c r="H46" s="54"/>
      <c r="I46" s="54"/>
      <c r="J46" s="55"/>
      <c r="K46" s="55"/>
      <c r="L46" s="62" t="str">
        <f>IF(OR(A46="",E46=""),"",SUMIFS(期初数据!$C$5:$C$14,期初数据!$A$5:$A$14,E46)+SUMIFS($J$4:J46,$E$4:E46,E46)-SUMIFS($K$4:K46,$E$4:E46,E46)+SUMIFS($K$4:K46,$F$4:F46,E46,$D$4:D46,"账户转账"))</f>
        <v/>
      </c>
      <c r="M46" s="11" t="str">
        <f>IF(E46="","",IFERROR(VLOOKUP(E46,基础资料!$A$5:$C$204,3,FALSE),""))</f>
        <v/>
      </c>
      <c r="N46" s="11" t="str">
        <f>IF(D46="账户转账",IFERROR(VLOOKUP(F46,基础资料!$A$5:$C$204,3,FALSE),""),"")</f>
        <v/>
      </c>
      <c r="O46" s="11" t="str">
        <f>IF(D46="","",IF(D46="账户转账",N46,IFERROR(IF(VLOOKUP(D46,基础资料!$AK$5:$AM$204,2,FALSE)="1002",M46,VLOOKUP(D46,基础资料!$AK$5:$AM$204,2,FALSE)),"")))</f>
        <v/>
      </c>
      <c r="P46" s="11" t="str">
        <f>IF(D46="","",IF(D46="账户转账",M46,IFERROR(IF(VLOOKUP(D46,基础资料!$AK$5:$AM$204,3,FALSE)="1002",M46,VLOOKUP(D46,基础资料!$AK$5:$AM$204,3,FALSE)),"")))</f>
        <v/>
      </c>
      <c r="Q46" s="62" t="str">
        <f t="shared" si="1"/>
        <v/>
      </c>
      <c r="R46" s="11" t="str">
        <f t="shared" si="2"/>
        <v/>
      </c>
    </row>
    <row r="47" spans="1:18">
      <c r="A47" s="60"/>
      <c r="B47" s="11" t="str">
        <f t="shared" si="0"/>
        <v/>
      </c>
      <c r="C47" s="11" t="str">
        <f>IF(D47="","",IFERROR(INDEX(基础资料!$AJ$5:$AJ$204,MATCH(D47,基础资料!$AK$5:$AK$204,0)),""))</f>
        <v/>
      </c>
      <c r="D47" s="54"/>
      <c r="E47" s="54"/>
      <c r="F47" s="54"/>
      <c r="G47" s="54"/>
      <c r="H47" s="54"/>
      <c r="I47" s="54"/>
      <c r="J47" s="55"/>
      <c r="K47" s="55"/>
      <c r="L47" s="62" t="str">
        <f>IF(OR(A47="",E47=""),"",SUMIFS(期初数据!$C$5:$C$14,期初数据!$A$5:$A$14,E47)+SUMIFS($J$4:J47,$E$4:E47,E47)-SUMIFS($K$4:K47,$E$4:E47,E47)+SUMIFS($K$4:K47,$F$4:F47,E47,$D$4:D47,"账户转账"))</f>
        <v/>
      </c>
      <c r="M47" s="11" t="str">
        <f>IF(E47="","",IFERROR(VLOOKUP(E47,基础资料!$A$5:$C$204,3,FALSE),""))</f>
        <v/>
      </c>
      <c r="N47" s="11" t="str">
        <f>IF(D47="账户转账",IFERROR(VLOOKUP(F47,基础资料!$A$5:$C$204,3,FALSE),""),"")</f>
        <v/>
      </c>
      <c r="O47" s="11" t="str">
        <f>IF(D47="","",IF(D47="账户转账",N47,IFERROR(IF(VLOOKUP(D47,基础资料!$AK$5:$AM$204,2,FALSE)="1002",M47,VLOOKUP(D47,基础资料!$AK$5:$AM$204,2,FALSE)),"")))</f>
        <v/>
      </c>
      <c r="P47" s="11" t="str">
        <f>IF(D47="","",IF(D47="账户转账",M47,IFERROR(IF(VLOOKUP(D47,基础资料!$AK$5:$AM$204,3,FALSE)="1002",M47,VLOOKUP(D47,基础资料!$AK$5:$AM$204,3,FALSE)),"")))</f>
        <v/>
      </c>
      <c r="Q47" s="62" t="str">
        <f t="shared" si="1"/>
        <v/>
      </c>
      <c r="R47" s="11" t="str">
        <f t="shared" si="2"/>
        <v/>
      </c>
    </row>
    <row r="48" spans="1:18">
      <c r="A48" s="60"/>
      <c r="B48" s="11" t="str">
        <f t="shared" si="0"/>
        <v/>
      </c>
      <c r="C48" s="11" t="str">
        <f>IF(D48="","",IFERROR(INDEX(基础资料!$AJ$5:$AJ$204,MATCH(D48,基础资料!$AK$5:$AK$204,0)),""))</f>
        <v/>
      </c>
      <c r="D48" s="54"/>
      <c r="E48" s="54"/>
      <c r="F48" s="54"/>
      <c r="G48" s="54"/>
      <c r="H48" s="54"/>
      <c r="I48" s="54"/>
      <c r="J48" s="55"/>
      <c r="K48" s="55"/>
      <c r="L48" s="62" t="str">
        <f>IF(OR(A48="",E48=""),"",SUMIFS(期初数据!$C$5:$C$14,期初数据!$A$5:$A$14,E48)+SUMIFS($J$4:J48,$E$4:E48,E48)-SUMIFS($K$4:K48,$E$4:E48,E48)+SUMIFS($K$4:K48,$F$4:F48,E48,$D$4:D48,"账户转账"))</f>
        <v/>
      </c>
      <c r="M48" s="11" t="str">
        <f>IF(E48="","",IFERROR(VLOOKUP(E48,基础资料!$A$5:$C$204,3,FALSE),""))</f>
        <v/>
      </c>
      <c r="N48" s="11" t="str">
        <f>IF(D48="账户转账",IFERROR(VLOOKUP(F48,基础资料!$A$5:$C$204,3,FALSE),""),"")</f>
        <v/>
      </c>
      <c r="O48" s="11" t="str">
        <f>IF(D48="","",IF(D48="账户转账",N48,IFERROR(IF(VLOOKUP(D48,基础资料!$AK$5:$AM$204,2,FALSE)="1002",M48,VLOOKUP(D48,基础资料!$AK$5:$AM$204,2,FALSE)),"")))</f>
        <v/>
      </c>
      <c r="P48" s="11" t="str">
        <f>IF(D48="","",IF(D48="账户转账",M48,IFERROR(IF(VLOOKUP(D48,基础资料!$AK$5:$AM$204,3,FALSE)="1002",M48,VLOOKUP(D48,基础资料!$AK$5:$AM$204,3,FALSE)),"")))</f>
        <v/>
      </c>
      <c r="Q48" s="62" t="str">
        <f t="shared" si="1"/>
        <v/>
      </c>
      <c r="R48" s="11" t="str">
        <f t="shared" si="2"/>
        <v/>
      </c>
    </row>
    <row r="49" spans="1:18">
      <c r="A49" s="60"/>
      <c r="B49" s="11" t="str">
        <f t="shared" si="0"/>
        <v/>
      </c>
      <c r="C49" s="11" t="str">
        <f>IF(D49="","",IFERROR(INDEX(基础资料!$AJ$5:$AJ$204,MATCH(D49,基础资料!$AK$5:$AK$204,0)),""))</f>
        <v/>
      </c>
      <c r="D49" s="54"/>
      <c r="E49" s="54"/>
      <c r="F49" s="54"/>
      <c r="G49" s="54"/>
      <c r="H49" s="54"/>
      <c r="I49" s="54"/>
      <c r="J49" s="55"/>
      <c r="K49" s="55"/>
      <c r="L49" s="62" t="str">
        <f>IF(OR(A49="",E49=""),"",SUMIFS(期初数据!$C$5:$C$14,期初数据!$A$5:$A$14,E49)+SUMIFS($J$4:J49,$E$4:E49,E49)-SUMIFS($K$4:K49,$E$4:E49,E49)+SUMIFS($K$4:K49,$F$4:F49,E49,$D$4:D49,"账户转账"))</f>
        <v/>
      </c>
      <c r="M49" s="11" t="str">
        <f>IF(E49="","",IFERROR(VLOOKUP(E49,基础资料!$A$5:$C$204,3,FALSE),""))</f>
        <v/>
      </c>
      <c r="N49" s="11" t="str">
        <f>IF(D49="账户转账",IFERROR(VLOOKUP(F49,基础资料!$A$5:$C$204,3,FALSE),""),"")</f>
        <v/>
      </c>
      <c r="O49" s="11" t="str">
        <f>IF(D49="","",IF(D49="账户转账",N49,IFERROR(IF(VLOOKUP(D49,基础资料!$AK$5:$AM$204,2,FALSE)="1002",M49,VLOOKUP(D49,基础资料!$AK$5:$AM$204,2,FALSE)),"")))</f>
        <v/>
      </c>
      <c r="P49" s="11" t="str">
        <f>IF(D49="","",IF(D49="账户转账",M49,IFERROR(IF(VLOOKUP(D49,基础资料!$AK$5:$AM$204,3,FALSE)="1002",M49,VLOOKUP(D49,基础资料!$AK$5:$AM$204,3,FALSE)),"")))</f>
        <v/>
      </c>
      <c r="Q49" s="62" t="str">
        <f t="shared" si="1"/>
        <v/>
      </c>
      <c r="R49" s="11" t="str">
        <f t="shared" si="2"/>
        <v/>
      </c>
    </row>
    <row r="50" spans="1:18">
      <c r="A50" s="60"/>
      <c r="B50" s="11" t="str">
        <f t="shared" si="0"/>
        <v/>
      </c>
      <c r="C50" s="11" t="str">
        <f>IF(D50="","",IFERROR(INDEX(基础资料!$AJ$5:$AJ$204,MATCH(D50,基础资料!$AK$5:$AK$204,0)),""))</f>
        <v/>
      </c>
      <c r="D50" s="54"/>
      <c r="E50" s="54"/>
      <c r="F50" s="54"/>
      <c r="G50" s="54"/>
      <c r="H50" s="54"/>
      <c r="I50" s="54"/>
      <c r="J50" s="55"/>
      <c r="K50" s="55"/>
      <c r="L50" s="62" t="str">
        <f>IF(OR(A50="",E50=""),"",SUMIFS(期初数据!$C$5:$C$14,期初数据!$A$5:$A$14,E50)+SUMIFS($J$4:J50,$E$4:E50,E50)-SUMIFS($K$4:K50,$E$4:E50,E50)+SUMIFS($K$4:K50,$F$4:F50,E50,$D$4:D50,"账户转账"))</f>
        <v/>
      </c>
      <c r="M50" s="11" t="str">
        <f>IF(E50="","",IFERROR(VLOOKUP(E50,基础资料!$A$5:$C$204,3,FALSE),""))</f>
        <v/>
      </c>
      <c r="N50" s="11" t="str">
        <f>IF(D50="账户转账",IFERROR(VLOOKUP(F50,基础资料!$A$5:$C$204,3,FALSE),""),"")</f>
        <v/>
      </c>
      <c r="O50" s="11" t="str">
        <f>IF(D50="","",IF(D50="账户转账",N50,IFERROR(IF(VLOOKUP(D50,基础资料!$AK$5:$AM$204,2,FALSE)="1002",M50,VLOOKUP(D50,基础资料!$AK$5:$AM$204,2,FALSE)),"")))</f>
        <v/>
      </c>
      <c r="P50" s="11" t="str">
        <f>IF(D50="","",IF(D50="账户转账",M50,IFERROR(IF(VLOOKUP(D50,基础资料!$AK$5:$AM$204,3,FALSE)="1002",M50,VLOOKUP(D50,基础资料!$AK$5:$AM$204,3,FALSE)),"")))</f>
        <v/>
      </c>
      <c r="Q50" s="62" t="str">
        <f t="shared" si="1"/>
        <v/>
      </c>
      <c r="R50" s="11" t="str">
        <f t="shared" si="2"/>
        <v/>
      </c>
    </row>
    <row r="51" spans="1:18">
      <c r="A51" s="60"/>
      <c r="B51" s="11" t="str">
        <f t="shared" si="0"/>
        <v/>
      </c>
      <c r="C51" s="11" t="str">
        <f>IF(D51="","",IFERROR(INDEX(基础资料!$AJ$5:$AJ$204,MATCH(D51,基础资料!$AK$5:$AK$204,0)),""))</f>
        <v/>
      </c>
      <c r="D51" s="54"/>
      <c r="E51" s="54"/>
      <c r="F51" s="54"/>
      <c r="G51" s="54"/>
      <c r="H51" s="54"/>
      <c r="I51" s="54"/>
      <c r="J51" s="55"/>
      <c r="K51" s="55"/>
      <c r="L51" s="62" t="str">
        <f>IF(OR(A51="",E51=""),"",SUMIFS(期初数据!$C$5:$C$14,期初数据!$A$5:$A$14,E51)+SUMIFS($J$4:J51,$E$4:E51,E51)-SUMIFS($K$4:K51,$E$4:E51,E51)+SUMIFS($K$4:K51,$F$4:F51,E51,$D$4:D51,"账户转账"))</f>
        <v/>
      </c>
      <c r="M51" s="11" t="str">
        <f>IF(E51="","",IFERROR(VLOOKUP(E51,基础资料!$A$5:$C$204,3,FALSE),""))</f>
        <v/>
      </c>
      <c r="N51" s="11" t="str">
        <f>IF(D51="账户转账",IFERROR(VLOOKUP(F51,基础资料!$A$5:$C$204,3,FALSE),""),"")</f>
        <v/>
      </c>
      <c r="O51" s="11" t="str">
        <f>IF(D51="","",IF(D51="账户转账",N51,IFERROR(IF(VLOOKUP(D51,基础资料!$AK$5:$AM$204,2,FALSE)="1002",M51,VLOOKUP(D51,基础资料!$AK$5:$AM$204,2,FALSE)),"")))</f>
        <v/>
      </c>
      <c r="P51" s="11" t="str">
        <f>IF(D51="","",IF(D51="账户转账",M51,IFERROR(IF(VLOOKUP(D51,基础资料!$AK$5:$AM$204,3,FALSE)="1002",M51,VLOOKUP(D51,基础资料!$AK$5:$AM$204,3,FALSE)),"")))</f>
        <v/>
      </c>
      <c r="Q51" s="62" t="str">
        <f t="shared" si="1"/>
        <v/>
      </c>
      <c r="R51" s="11" t="str">
        <f t="shared" si="2"/>
        <v/>
      </c>
    </row>
    <row r="52" spans="1:18">
      <c r="A52" s="60"/>
      <c r="B52" s="11" t="str">
        <f t="shared" si="0"/>
        <v/>
      </c>
      <c r="C52" s="11" t="str">
        <f>IF(D52="","",IFERROR(INDEX(基础资料!$AJ$5:$AJ$204,MATCH(D52,基础资料!$AK$5:$AK$204,0)),""))</f>
        <v/>
      </c>
      <c r="D52" s="54"/>
      <c r="E52" s="54"/>
      <c r="F52" s="54"/>
      <c r="G52" s="54"/>
      <c r="H52" s="54"/>
      <c r="I52" s="54"/>
      <c r="J52" s="55"/>
      <c r="K52" s="55"/>
      <c r="L52" s="62" t="str">
        <f>IF(OR(A52="",E52=""),"",SUMIFS(期初数据!$C$5:$C$14,期初数据!$A$5:$A$14,E52)+SUMIFS($J$4:J52,$E$4:E52,E52)-SUMIFS($K$4:K52,$E$4:E52,E52)+SUMIFS($K$4:K52,$F$4:F52,E52,$D$4:D52,"账户转账"))</f>
        <v/>
      </c>
      <c r="M52" s="11" t="str">
        <f>IF(E52="","",IFERROR(VLOOKUP(E52,基础资料!$A$5:$C$204,3,FALSE),""))</f>
        <v/>
      </c>
      <c r="N52" s="11" t="str">
        <f>IF(D52="账户转账",IFERROR(VLOOKUP(F52,基础资料!$A$5:$C$204,3,FALSE),""),"")</f>
        <v/>
      </c>
      <c r="O52" s="11" t="str">
        <f>IF(D52="","",IF(D52="账户转账",N52,IFERROR(IF(VLOOKUP(D52,基础资料!$AK$5:$AM$204,2,FALSE)="1002",M52,VLOOKUP(D52,基础资料!$AK$5:$AM$204,2,FALSE)),"")))</f>
        <v/>
      </c>
      <c r="P52" s="11" t="str">
        <f>IF(D52="","",IF(D52="账户转账",M52,IFERROR(IF(VLOOKUP(D52,基础资料!$AK$5:$AM$204,3,FALSE)="1002",M52,VLOOKUP(D52,基础资料!$AK$5:$AM$204,3,FALSE)),"")))</f>
        <v/>
      </c>
      <c r="Q52" s="62" t="str">
        <f t="shared" si="1"/>
        <v/>
      </c>
      <c r="R52" s="11" t="str">
        <f t="shared" si="2"/>
        <v/>
      </c>
    </row>
    <row r="53" spans="1:18">
      <c r="A53" s="60"/>
      <c r="B53" s="11" t="str">
        <f t="shared" si="0"/>
        <v/>
      </c>
      <c r="C53" s="11" t="str">
        <f>IF(D53="","",IFERROR(INDEX(基础资料!$AJ$5:$AJ$204,MATCH(D53,基础资料!$AK$5:$AK$204,0)),""))</f>
        <v/>
      </c>
      <c r="D53" s="54"/>
      <c r="E53" s="54"/>
      <c r="F53" s="54"/>
      <c r="G53" s="54"/>
      <c r="H53" s="54"/>
      <c r="I53" s="54"/>
      <c r="J53" s="55"/>
      <c r="K53" s="55"/>
      <c r="L53" s="62" t="str">
        <f>IF(OR(A53="",E53=""),"",SUMIFS(期初数据!$C$5:$C$14,期初数据!$A$5:$A$14,E53)+SUMIFS($J$4:J53,$E$4:E53,E53)-SUMIFS($K$4:K53,$E$4:E53,E53)+SUMIFS($K$4:K53,$F$4:F53,E53,$D$4:D53,"账户转账"))</f>
        <v/>
      </c>
      <c r="M53" s="11" t="str">
        <f>IF(E53="","",IFERROR(VLOOKUP(E53,基础资料!$A$5:$C$204,3,FALSE),""))</f>
        <v/>
      </c>
      <c r="N53" s="11" t="str">
        <f>IF(D53="账户转账",IFERROR(VLOOKUP(F53,基础资料!$A$5:$C$204,3,FALSE),""),"")</f>
        <v/>
      </c>
      <c r="O53" s="11" t="str">
        <f>IF(D53="","",IF(D53="账户转账",N53,IFERROR(IF(VLOOKUP(D53,基础资料!$AK$5:$AM$204,2,FALSE)="1002",M53,VLOOKUP(D53,基础资料!$AK$5:$AM$204,2,FALSE)),"")))</f>
        <v/>
      </c>
      <c r="P53" s="11" t="str">
        <f>IF(D53="","",IF(D53="账户转账",M53,IFERROR(IF(VLOOKUP(D53,基础资料!$AK$5:$AM$204,3,FALSE)="1002",M53,VLOOKUP(D53,基础资料!$AK$5:$AM$204,3,FALSE)),"")))</f>
        <v/>
      </c>
      <c r="Q53" s="62" t="str">
        <f t="shared" si="1"/>
        <v/>
      </c>
      <c r="R53" s="11" t="str">
        <f t="shared" si="2"/>
        <v/>
      </c>
    </row>
    <row r="54" spans="1:18">
      <c r="A54" s="60"/>
      <c r="B54" s="11" t="str">
        <f t="shared" si="0"/>
        <v/>
      </c>
      <c r="C54" s="11" t="str">
        <f>IF(D54="","",IFERROR(INDEX(基础资料!$AJ$5:$AJ$204,MATCH(D54,基础资料!$AK$5:$AK$204,0)),""))</f>
        <v/>
      </c>
      <c r="D54" s="54"/>
      <c r="E54" s="54"/>
      <c r="F54" s="54"/>
      <c r="G54" s="54"/>
      <c r="H54" s="54"/>
      <c r="I54" s="54"/>
      <c r="J54" s="55"/>
      <c r="K54" s="55"/>
      <c r="L54" s="62" t="str">
        <f>IF(OR(A54="",E54=""),"",SUMIFS(期初数据!$C$5:$C$14,期初数据!$A$5:$A$14,E54)+SUMIFS($J$4:J54,$E$4:E54,E54)-SUMIFS($K$4:K54,$E$4:E54,E54)+SUMIFS($K$4:K54,$F$4:F54,E54,$D$4:D54,"账户转账"))</f>
        <v/>
      </c>
      <c r="M54" s="11" t="str">
        <f>IF(E54="","",IFERROR(VLOOKUP(E54,基础资料!$A$5:$C$204,3,FALSE),""))</f>
        <v/>
      </c>
      <c r="N54" s="11" t="str">
        <f>IF(D54="账户转账",IFERROR(VLOOKUP(F54,基础资料!$A$5:$C$204,3,FALSE),""),"")</f>
        <v/>
      </c>
      <c r="O54" s="11" t="str">
        <f>IF(D54="","",IF(D54="账户转账",N54,IFERROR(IF(VLOOKUP(D54,基础资料!$AK$5:$AM$204,2,FALSE)="1002",M54,VLOOKUP(D54,基础资料!$AK$5:$AM$204,2,FALSE)),"")))</f>
        <v/>
      </c>
      <c r="P54" s="11" t="str">
        <f>IF(D54="","",IF(D54="账户转账",M54,IFERROR(IF(VLOOKUP(D54,基础资料!$AK$5:$AM$204,3,FALSE)="1002",M54,VLOOKUP(D54,基础资料!$AK$5:$AM$204,3,FALSE)),"")))</f>
        <v/>
      </c>
      <c r="Q54" s="62" t="str">
        <f t="shared" si="1"/>
        <v/>
      </c>
      <c r="R54" s="11" t="str">
        <f t="shared" si="2"/>
        <v/>
      </c>
    </row>
    <row r="55" spans="1:18">
      <c r="A55" s="60"/>
      <c r="B55" s="11" t="str">
        <f t="shared" si="0"/>
        <v/>
      </c>
      <c r="C55" s="11" t="str">
        <f>IF(D55="","",IFERROR(INDEX(基础资料!$AJ$5:$AJ$204,MATCH(D55,基础资料!$AK$5:$AK$204,0)),""))</f>
        <v/>
      </c>
      <c r="D55" s="54"/>
      <c r="E55" s="54"/>
      <c r="F55" s="54"/>
      <c r="G55" s="54"/>
      <c r="H55" s="54"/>
      <c r="I55" s="54"/>
      <c r="J55" s="55"/>
      <c r="K55" s="55"/>
      <c r="L55" s="62" t="str">
        <f>IF(OR(A55="",E55=""),"",SUMIFS(期初数据!$C$5:$C$14,期初数据!$A$5:$A$14,E55)+SUMIFS($J$4:J55,$E$4:E55,E55)-SUMIFS($K$4:K55,$E$4:E55,E55)+SUMIFS($K$4:K55,$F$4:F55,E55,$D$4:D55,"账户转账"))</f>
        <v/>
      </c>
      <c r="M55" s="11" t="str">
        <f>IF(E55="","",IFERROR(VLOOKUP(E55,基础资料!$A$5:$C$204,3,FALSE),""))</f>
        <v/>
      </c>
      <c r="N55" s="11" t="str">
        <f>IF(D55="账户转账",IFERROR(VLOOKUP(F55,基础资料!$A$5:$C$204,3,FALSE),""),"")</f>
        <v/>
      </c>
      <c r="O55" s="11" t="str">
        <f>IF(D55="","",IF(D55="账户转账",N55,IFERROR(IF(VLOOKUP(D55,基础资料!$AK$5:$AM$204,2,FALSE)="1002",M55,VLOOKUP(D55,基础资料!$AK$5:$AM$204,2,FALSE)),"")))</f>
        <v/>
      </c>
      <c r="P55" s="11" t="str">
        <f>IF(D55="","",IF(D55="账户转账",M55,IFERROR(IF(VLOOKUP(D55,基础资料!$AK$5:$AM$204,3,FALSE)="1002",M55,VLOOKUP(D55,基础资料!$AK$5:$AM$204,3,FALSE)),"")))</f>
        <v/>
      </c>
      <c r="Q55" s="62" t="str">
        <f t="shared" si="1"/>
        <v/>
      </c>
      <c r="R55" s="11" t="str">
        <f t="shared" si="2"/>
        <v/>
      </c>
    </row>
    <row r="56" spans="1:18">
      <c r="A56" s="60"/>
      <c r="B56" s="11" t="str">
        <f t="shared" si="0"/>
        <v/>
      </c>
      <c r="C56" s="11" t="str">
        <f>IF(D56="","",IFERROR(INDEX(基础资料!$AJ$5:$AJ$204,MATCH(D56,基础资料!$AK$5:$AK$204,0)),""))</f>
        <v/>
      </c>
      <c r="D56" s="54"/>
      <c r="E56" s="54"/>
      <c r="F56" s="54"/>
      <c r="G56" s="54"/>
      <c r="H56" s="54"/>
      <c r="I56" s="54"/>
      <c r="J56" s="55"/>
      <c r="K56" s="55"/>
      <c r="L56" s="62" t="str">
        <f>IF(OR(A56="",E56=""),"",SUMIFS(期初数据!$C$5:$C$14,期初数据!$A$5:$A$14,E56)+SUMIFS($J$4:J56,$E$4:E56,E56)-SUMIFS($K$4:K56,$E$4:E56,E56)+SUMIFS($K$4:K56,$F$4:F56,E56,$D$4:D56,"账户转账"))</f>
        <v/>
      </c>
      <c r="M56" s="11" t="str">
        <f>IF(E56="","",IFERROR(VLOOKUP(E56,基础资料!$A$5:$C$204,3,FALSE),""))</f>
        <v/>
      </c>
      <c r="N56" s="11" t="str">
        <f>IF(D56="账户转账",IFERROR(VLOOKUP(F56,基础资料!$A$5:$C$204,3,FALSE),""),"")</f>
        <v/>
      </c>
      <c r="O56" s="11" t="str">
        <f>IF(D56="","",IF(D56="账户转账",N56,IFERROR(IF(VLOOKUP(D56,基础资料!$AK$5:$AM$204,2,FALSE)="1002",M56,VLOOKUP(D56,基础资料!$AK$5:$AM$204,2,FALSE)),"")))</f>
        <v/>
      </c>
      <c r="P56" s="11" t="str">
        <f>IF(D56="","",IF(D56="账户转账",M56,IFERROR(IF(VLOOKUP(D56,基础资料!$AK$5:$AM$204,3,FALSE)="1002",M56,VLOOKUP(D56,基础资料!$AK$5:$AM$204,3,FALSE)),"")))</f>
        <v/>
      </c>
      <c r="Q56" s="62" t="str">
        <f t="shared" si="1"/>
        <v/>
      </c>
      <c r="R56" s="11" t="str">
        <f t="shared" si="2"/>
        <v/>
      </c>
    </row>
    <row r="57" spans="1:18">
      <c r="A57" s="60"/>
      <c r="B57" s="11" t="str">
        <f t="shared" si="0"/>
        <v/>
      </c>
      <c r="C57" s="11" t="str">
        <f>IF(D57="","",IFERROR(INDEX(基础资料!$AJ$5:$AJ$204,MATCH(D57,基础资料!$AK$5:$AK$204,0)),""))</f>
        <v/>
      </c>
      <c r="D57" s="54"/>
      <c r="E57" s="54"/>
      <c r="F57" s="54"/>
      <c r="G57" s="54"/>
      <c r="H57" s="54"/>
      <c r="I57" s="54"/>
      <c r="J57" s="55"/>
      <c r="K57" s="55"/>
      <c r="L57" s="62" t="str">
        <f>IF(OR(A57="",E57=""),"",SUMIFS(期初数据!$C$5:$C$14,期初数据!$A$5:$A$14,E57)+SUMIFS($J$4:J57,$E$4:E57,E57)-SUMIFS($K$4:K57,$E$4:E57,E57)+SUMIFS($K$4:K57,$F$4:F57,E57,$D$4:D57,"账户转账"))</f>
        <v/>
      </c>
      <c r="M57" s="11" t="str">
        <f>IF(E57="","",IFERROR(VLOOKUP(E57,基础资料!$A$5:$C$204,3,FALSE),""))</f>
        <v/>
      </c>
      <c r="N57" s="11" t="str">
        <f>IF(D57="账户转账",IFERROR(VLOOKUP(F57,基础资料!$A$5:$C$204,3,FALSE),""),"")</f>
        <v/>
      </c>
      <c r="O57" s="11" t="str">
        <f>IF(D57="","",IF(D57="账户转账",N57,IFERROR(IF(VLOOKUP(D57,基础资料!$AK$5:$AM$204,2,FALSE)="1002",M57,VLOOKUP(D57,基础资料!$AK$5:$AM$204,2,FALSE)),"")))</f>
        <v/>
      </c>
      <c r="P57" s="11" t="str">
        <f>IF(D57="","",IF(D57="账户转账",M57,IFERROR(IF(VLOOKUP(D57,基础资料!$AK$5:$AM$204,3,FALSE)="1002",M57,VLOOKUP(D57,基础资料!$AK$5:$AM$204,3,FALSE)),"")))</f>
        <v/>
      </c>
      <c r="Q57" s="62" t="str">
        <f t="shared" si="1"/>
        <v/>
      </c>
      <c r="R57" s="11" t="str">
        <f t="shared" si="2"/>
        <v/>
      </c>
    </row>
    <row r="58" spans="1:18">
      <c r="A58" s="60"/>
      <c r="B58" s="11" t="str">
        <f t="shared" si="0"/>
        <v/>
      </c>
      <c r="C58" s="11" t="str">
        <f>IF(D58="","",IFERROR(INDEX(基础资料!$AJ$5:$AJ$204,MATCH(D58,基础资料!$AK$5:$AK$204,0)),""))</f>
        <v/>
      </c>
      <c r="D58" s="54"/>
      <c r="E58" s="54"/>
      <c r="F58" s="54"/>
      <c r="G58" s="54"/>
      <c r="H58" s="54"/>
      <c r="I58" s="54"/>
      <c r="J58" s="55"/>
      <c r="K58" s="55"/>
      <c r="L58" s="62" t="str">
        <f>IF(OR(A58="",E58=""),"",SUMIFS(期初数据!$C$5:$C$14,期初数据!$A$5:$A$14,E58)+SUMIFS($J$4:J58,$E$4:E58,E58)-SUMIFS($K$4:K58,$E$4:E58,E58)+SUMIFS($K$4:K58,$F$4:F58,E58,$D$4:D58,"账户转账"))</f>
        <v/>
      </c>
      <c r="M58" s="11" t="str">
        <f>IF(E58="","",IFERROR(VLOOKUP(E58,基础资料!$A$5:$C$204,3,FALSE),""))</f>
        <v/>
      </c>
      <c r="N58" s="11" t="str">
        <f>IF(D58="账户转账",IFERROR(VLOOKUP(F58,基础资料!$A$5:$C$204,3,FALSE),""),"")</f>
        <v/>
      </c>
      <c r="O58" s="11" t="str">
        <f>IF(D58="","",IF(D58="账户转账",N58,IFERROR(IF(VLOOKUP(D58,基础资料!$AK$5:$AM$204,2,FALSE)="1002",M58,VLOOKUP(D58,基础资料!$AK$5:$AM$204,2,FALSE)),"")))</f>
        <v/>
      </c>
      <c r="P58" s="11" t="str">
        <f>IF(D58="","",IF(D58="账户转账",M58,IFERROR(IF(VLOOKUP(D58,基础资料!$AK$5:$AM$204,3,FALSE)="1002",M58,VLOOKUP(D58,基础资料!$AK$5:$AM$204,3,FALSE)),"")))</f>
        <v/>
      </c>
      <c r="Q58" s="62" t="str">
        <f t="shared" si="1"/>
        <v/>
      </c>
      <c r="R58" s="11" t="str">
        <f t="shared" si="2"/>
        <v/>
      </c>
    </row>
    <row r="59" spans="1:18">
      <c r="A59" s="60"/>
      <c r="B59" s="11" t="str">
        <f t="shared" si="0"/>
        <v/>
      </c>
      <c r="C59" s="11" t="str">
        <f>IF(D59="","",IFERROR(INDEX(基础资料!$AJ$5:$AJ$204,MATCH(D59,基础资料!$AK$5:$AK$204,0)),""))</f>
        <v/>
      </c>
      <c r="D59" s="54"/>
      <c r="E59" s="54"/>
      <c r="F59" s="54"/>
      <c r="G59" s="54"/>
      <c r="H59" s="54"/>
      <c r="I59" s="54"/>
      <c r="J59" s="55"/>
      <c r="K59" s="55"/>
      <c r="L59" s="62" t="str">
        <f>IF(OR(A59="",E59=""),"",SUMIFS(期初数据!$C$5:$C$14,期初数据!$A$5:$A$14,E59)+SUMIFS($J$4:J59,$E$4:E59,E59)-SUMIFS($K$4:K59,$E$4:E59,E59)+SUMIFS($K$4:K59,$F$4:F59,E59,$D$4:D59,"账户转账"))</f>
        <v/>
      </c>
      <c r="M59" s="11" t="str">
        <f>IF(E59="","",IFERROR(VLOOKUP(E59,基础资料!$A$5:$C$204,3,FALSE),""))</f>
        <v/>
      </c>
      <c r="N59" s="11" t="str">
        <f>IF(D59="账户转账",IFERROR(VLOOKUP(F59,基础资料!$A$5:$C$204,3,FALSE),""),"")</f>
        <v/>
      </c>
      <c r="O59" s="11" t="str">
        <f>IF(D59="","",IF(D59="账户转账",N59,IFERROR(IF(VLOOKUP(D59,基础资料!$AK$5:$AM$204,2,FALSE)="1002",M59,VLOOKUP(D59,基础资料!$AK$5:$AM$204,2,FALSE)),"")))</f>
        <v/>
      </c>
      <c r="P59" s="11" t="str">
        <f>IF(D59="","",IF(D59="账户转账",M59,IFERROR(IF(VLOOKUP(D59,基础资料!$AK$5:$AM$204,3,FALSE)="1002",M59,VLOOKUP(D59,基础资料!$AK$5:$AM$204,3,FALSE)),"")))</f>
        <v/>
      </c>
      <c r="Q59" s="62" t="str">
        <f t="shared" si="1"/>
        <v/>
      </c>
      <c r="R59" s="11" t="str">
        <f t="shared" si="2"/>
        <v/>
      </c>
    </row>
    <row r="60" spans="1:18">
      <c r="A60" s="60"/>
      <c r="B60" s="11" t="str">
        <f t="shared" si="0"/>
        <v/>
      </c>
      <c r="C60" s="11" t="str">
        <f>IF(D60="","",IFERROR(INDEX(基础资料!$AJ$5:$AJ$204,MATCH(D60,基础资料!$AK$5:$AK$204,0)),""))</f>
        <v/>
      </c>
      <c r="D60" s="54"/>
      <c r="E60" s="54"/>
      <c r="F60" s="54"/>
      <c r="G60" s="54"/>
      <c r="H60" s="54"/>
      <c r="I60" s="54"/>
      <c r="J60" s="55"/>
      <c r="K60" s="55"/>
      <c r="L60" s="62" t="str">
        <f>IF(OR(A60="",E60=""),"",SUMIFS(期初数据!$C$5:$C$14,期初数据!$A$5:$A$14,E60)+SUMIFS($J$4:J60,$E$4:E60,E60)-SUMIFS($K$4:K60,$E$4:E60,E60)+SUMIFS($K$4:K60,$F$4:F60,E60,$D$4:D60,"账户转账"))</f>
        <v/>
      </c>
      <c r="M60" s="11" t="str">
        <f>IF(E60="","",IFERROR(VLOOKUP(E60,基础资料!$A$5:$C$204,3,FALSE),""))</f>
        <v/>
      </c>
      <c r="N60" s="11" t="str">
        <f>IF(D60="账户转账",IFERROR(VLOOKUP(F60,基础资料!$A$5:$C$204,3,FALSE),""),"")</f>
        <v/>
      </c>
      <c r="O60" s="11" t="str">
        <f>IF(D60="","",IF(D60="账户转账",N60,IFERROR(IF(VLOOKUP(D60,基础资料!$AK$5:$AM$204,2,FALSE)="1002",M60,VLOOKUP(D60,基础资料!$AK$5:$AM$204,2,FALSE)),"")))</f>
        <v/>
      </c>
      <c r="P60" s="11" t="str">
        <f>IF(D60="","",IF(D60="账户转账",M60,IFERROR(IF(VLOOKUP(D60,基础资料!$AK$5:$AM$204,3,FALSE)="1002",M60,VLOOKUP(D60,基础资料!$AK$5:$AM$204,3,FALSE)),"")))</f>
        <v/>
      </c>
      <c r="Q60" s="62" t="str">
        <f t="shared" si="1"/>
        <v/>
      </c>
      <c r="R60" s="11" t="str">
        <f t="shared" si="2"/>
        <v/>
      </c>
    </row>
    <row r="61" spans="1:18">
      <c r="A61" s="60"/>
      <c r="B61" s="11" t="str">
        <f t="shared" si="0"/>
        <v/>
      </c>
      <c r="C61" s="11" t="str">
        <f>IF(D61="","",IFERROR(INDEX(基础资料!$AJ$5:$AJ$204,MATCH(D61,基础资料!$AK$5:$AK$204,0)),""))</f>
        <v/>
      </c>
      <c r="D61" s="54"/>
      <c r="E61" s="54"/>
      <c r="F61" s="54"/>
      <c r="G61" s="54"/>
      <c r="H61" s="54"/>
      <c r="I61" s="54"/>
      <c r="J61" s="55"/>
      <c r="K61" s="55"/>
      <c r="L61" s="62" t="str">
        <f>IF(OR(A61="",E61=""),"",SUMIFS(期初数据!$C$5:$C$14,期初数据!$A$5:$A$14,E61)+SUMIFS($J$4:J61,$E$4:E61,E61)-SUMIFS($K$4:K61,$E$4:E61,E61)+SUMIFS($K$4:K61,$F$4:F61,E61,$D$4:D61,"账户转账"))</f>
        <v/>
      </c>
      <c r="M61" s="11" t="str">
        <f>IF(E61="","",IFERROR(VLOOKUP(E61,基础资料!$A$5:$C$204,3,FALSE),""))</f>
        <v/>
      </c>
      <c r="N61" s="11" t="str">
        <f>IF(D61="账户转账",IFERROR(VLOOKUP(F61,基础资料!$A$5:$C$204,3,FALSE),""),"")</f>
        <v/>
      </c>
      <c r="O61" s="11" t="str">
        <f>IF(D61="","",IF(D61="账户转账",N61,IFERROR(IF(VLOOKUP(D61,基础资料!$AK$5:$AM$204,2,FALSE)="1002",M61,VLOOKUP(D61,基础资料!$AK$5:$AM$204,2,FALSE)),"")))</f>
        <v/>
      </c>
      <c r="P61" s="11" t="str">
        <f>IF(D61="","",IF(D61="账户转账",M61,IFERROR(IF(VLOOKUP(D61,基础资料!$AK$5:$AM$204,3,FALSE)="1002",M61,VLOOKUP(D61,基础资料!$AK$5:$AM$204,3,FALSE)),"")))</f>
        <v/>
      </c>
      <c r="Q61" s="62" t="str">
        <f t="shared" si="1"/>
        <v/>
      </c>
      <c r="R61" s="11" t="str">
        <f t="shared" si="2"/>
        <v/>
      </c>
    </row>
    <row r="62" spans="1:18">
      <c r="A62" s="60"/>
      <c r="B62" s="11" t="str">
        <f t="shared" si="0"/>
        <v/>
      </c>
      <c r="C62" s="11" t="str">
        <f>IF(D62="","",IFERROR(INDEX(基础资料!$AJ$5:$AJ$204,MATCH(D62,基础资料!$AK$5:$AK$204,0)),""))</f>
        <v/>
      </c>
      <c r="D62" s="54"/>
      <c r="E62" s="54"/>
      <c r="F62" s="54"/>
      <c r="G62" s="54"/>
      <c r="H62" s="54"/>
      <c r="I62" s="54"/>
      <c r="J62" s="55"/>
      <c r="K62" s="55"/>
      <c r="L62" s="62" t="str">
        <f>IF(OR(A62="",E62=""),"",SUMIFS(期初数据!$C$5:$C$14,期初数据!$A$5:$A$14,E62)+SUMIFS($J$4:J62,$E$4:E62,E62)-SUMIFS($K$4:K62,$E$4:E62,E62)+SUMIFS($K$4:K62,$F$4:F62,E62,$D$4:D62,"账户转账"))</f>
        <v/>
      </c>
      <c r="M62" s="11" t="str">
        <f>IF(E62="","",IFERROR(VLOOKUP(E62,基础资料!$A$5:$C$204,3,FALSE),""))</f>
        <v/>
      </c>
      <c r="N62" s="11" t="str">
        <f>IF(D62="账户转账",IFERROR(VLOOKUP(F62,基础资料!$A$5:$C$204,3,FALSE),""),"")</f>
        <v/>
      </c>
      <c r="O62" s="11" t="str">
        <f>IF(D62="","",IF(D62="账户转账",N62,IFERROR(IF(VLOOKUP(D62,基础资料!$AK$5:$AM$204,2,FALSE)="1002",M62,VLOOKUP(D62,基础资料!$AK$5:$AM$204,2,FALSE)),"")))</f>
        <v/>
      </c>
      <c r="P62" s="11" t="str">
        <f>IF(D62="","",IF(D62="账户转账",M62,IFERROR(IF(VLOOKUP(D62,基础资料!$AK$5:$AM$204,3,FALSE)="1002",M62,VLOOKUP(D62,基础资料!$AK$5:$AM$204,3,FALSE)),"")))</f>
        <v/>
      </c>
      <c r="Q62" s="62" t="str">
        <f t="shared" si="1"/>
        <v/>
      </c>
      <c r="R62" s="11" t="str">
        <f t="shared" si="2"/>
        <v/>
      </c>
    </row>
    <row r="63" spans="1:18">
      <c r="A63" s="60"/>
      <c r="B63" s="11" t="str">
        <f t="shared" si="0"/>
        <v/>
      </c>
      <c r="C63" s="11" t="str">
        <f>IF(D63="","",IFERROR(INDEX(基础资料!$AJ$5:$AJ$204,MATCH(D63,基础资料!$AK$5:$AK$204,0)),""))</f>
        <v/>
      </c>
      <c r="D63" s="54"/>
      <c r="E63" s="54"/>
      <c r="F63" s="54"/>
      <c r="G63" s="54"/>
      <c r="H63" s="54"/>
      <c r="I63" s="54"/>
      <c r="J63" s="55"/>
      <c r="K63" s="55"/>
      <c r="L63" s="62" t="str">
        <f>IF(OR(A63="",E63=""),"",SUMIFS(期初数据!$C$5:$C$14,期初数据!$A$5:$A$14,E63)+SUMIFS($J$4:J63,$E$4:E63,E63)-SUMIFS($K$4:K63,$E$4:E63,E63)+SUMIFS($K$4:K63,$F$4:F63,E63,$D$4:D63,"账户转账"))</f>
        <v/>
      </c>
      <c r="M63" s="11" t="str">
        <f>IF(E63="","",IFERROR(VLOOKUP(E63,基础资料!$A$5:$C$204,3,FALSE),""))</f>
        <v/>
      </c>
      <c r="N63" s="11" t="str">
        <f>IF(D63="账户转账",IFERROR(VLOOKUP(F63,基础资料!$A$5:$C$204,3,FALSE),""),"")</f>
        <v/>
      </c>
      <c r="O63" s="11" t="str">
        <f>IF(D63="","",IF(D63="账户转账",N63,IFERROR(IF(VLOOKUP(D63,基础资料!$AK$5:$AM$204,2,FALSE)="1002",M63,VLOOKUP(D63,基础资料!$AK$5:$AM$204,2,FALSE)),"")))</f>
        <v/>
      </c>
      <c r="P63" s="11" t="str">
        <f>IF(D63="","",IF(D63="账户转账",M63,IFERROR(IF(VLOOKUP(D63,基础资料!$AK$5:$AM$204,3,FALSE)="1002",M63,VLOOKUP(D63,基础资料!$AK$5:$AM$204,3,FALSE)),"")))</f>
        <v/>
      </c>
      <c r="Q63" s="62" t="str">
        <f t="shared" si="1"/>
        <v/>
      </c>
      <c r="R63" s="11" t="str">
        <f t="shared" si="2"/>
        <v/>
      </c>
    </row>
    <row r="64" spans="1:18">
      <c r="A64" s="60"/>
      <c r="B64" s="11" t="str">
        <f t="shared" si="0"/>
        <v/>
      </c>
      <c r="C64" s="11" t="str">
        <f>IF(D64="","",IFERROR(INDEX(基础资料!$AJ$5:$AJ$204,MATCH(D64,基础资料!$AK$5:$AK$204,0)),""))</f>
        <v/>
      </c>
      <c r="D64" s="54"/>
      <c r="E64" s="54"/>
      <c r="F64" s="54"/>
      <c r="G64" s="54"/>
      <c r="H64" s="54"/>
      <c r="I64" s="54"/>
      <c r="J64" s="55"/>
      <c r="K64" s="55"/>
      <c r="L64" s="62" t="str">
        <f>IF(OR(A64="",E64=""),"",SUMIFS(期初数据!$C$5:$C$14,期初数据!$A$5:$A$14,E64)+SUMIFS($J$4:J64,$E$4:E64,E64)-SUMIFS($K$4:K64,$E$4:E64,E64)+SUMIFS($K$4:K64,$F$4:F64,E64,$D$4:D64,"账户转账"))</f>
        <v/>
      </c>
      <c r="M64" s="11" t="str">
        <f>IF(E64="","",IFERROR(VLOOKUP(E64,基础资料!$A$5:$C$204,3,FALSE),""))</f>
        <v/>
      </c>
      <c r="N64" s="11" t="str">
        <f>IF(D64="账户转账",IFERROR(VLOOKUP(F64,基础资料!$A$5:$C$204,3,FALSE),""),"")</f>
        <v/>
      </c>
      <c r="O64" s="11" t="str">
        <f>IF(D64="","",IF(D64="账户转账",N64,IFERROR(IF(VLOOKUP(D64,基础资料!$AK$5:$AM$204,2,FALSE)="1002",M64,VLOOKUP(D64,基础资料!$AK$5:$AM$204,2,FALSE)),"")))</f>
        <v/>
      </c>
      <c r="P64" s="11" t="str">
        <f>IF(D64="","",IF(D64="账户转账",M64,IFERROR(IF(VLOOKUP(D64,基础资料!$AK$5:$AM$204,3,FALSE)="1002",M64,VLOOKUP(D64,基础资料!$AK$5:$AM$204,3,FALSE)),"")))</f>
        <v/>
      </c>
      <c r="Q64" s="62" t="str">
        <f t="shared" si="1"/>
        <v/>
      </c>
      <c r="R64" s="11" t="str">
        <f t="shared" si="2"/>
        <v/>
      </c>
    </row>
    <row r="65" spans="1:18">
      <c r="A65" s="60"/>
      <c r="B65" s="11" t="str">
        <f t="shared" si="0"/>
        <v/>
      </c>
      <c r="C65" s="11" t="str">
        <f>IF(D65="","",IFERROR(INDEX(基础资料!$AJ$5:$AJ$204,MATCH(D65,基础资料!$AK$5:$AK$204,0)),""))</f>
        <v/>
      </c>
      <c r="D65" s="54"/>
      <c r="E65" s="54"/>
      <c r="F65" s="54"/>
      <c r="G65" s="54"/>
      <c r="H65" s="54"/>
      <c r="I65" s="54"/>
      <c r="J65" s="55"/>
      <c r="K65" s="55"/>
      <c r="L65" s="62" t="str">
        <f>IF(OR(A65="",E65=""),"",SUMIFS(期初数据!$C$5:$C$14,期初数据!$A$5:$A$14,E65)+SUMIFS($J$4:J65,$E$4:E65,E65)-SUMIFS($K$4:K65,$E$4:E65,E65)+SUMIFS($K$4:K65,$F$4:F65,E65,$D$4:D65,"账户转账"))</f>
        <v/>
      </c>
      <c r="M65" s="11" t="str">
        <f>IF(E65="","",IFERROR(VLOOKUP(E65,基础资料!$A$5:$C$204,3,FALSE),""))</f>
        <v/>
      </c>
      <c r="N65" s="11" t="str">
        <f>IF(D65="账户转账",IFERROR(VLOOKUP(F65,基础资料!$A$5:$C$204,3,FALSE),""),"")</f>
        <v/>
      </c>
      <c r="O65" s="11" t="str">
        <f>IF(D65="","",IF(D65="账户转账",N65,IFERROR(IF(VLOOKUP(D65,基础资料!$AK$5:$AM$204,2,FALSE)="1002",M65,VLOOKUP(D65,基础资料!$AK$5:$AM$204,2,FALSE)),"")))</f>
        <v/>
      </c>
      <c r="P65" s="11" t="str">
        <f>IF(D65="","",IF(D65="账户转账",M65,IFERROR(IF(VLOOKUP(D65,基础资料!$AK$5:$AM$204,3,FALSE)="1002",M65,VLOOKUP(D65,基础资料!$AK$5:$AM$204,3,FALSE)),"")))</f>
        <v/>
      </c>
      <c r="Q65" s="62" t="str">
        <f t="shared" si="1"/>
        <v/>
      </c>
      <c r="R65" s="11" t="str">
        <f t="shared" si="2"/>
        <v/>
      </c>
    </row>
    <row r="66" spans="1:18">
      <c r="A66" s="60"/>
      <c r="B66" s="11" t="str">
        <f t="shared" si="0"/>
        <v/>
      </c>
      <c r="C66" s="11" t="str">
        <f>IF(D66="","",IFERROR(INDEX(基础资料!$AJ$5:$AJ$204,MATCH(D66,基础资料!$AK$5:$AK$204,0)),""))</f>
        <v/>
      </c>
      <c r="D66" s="54"/>
      <c r="E66" s="54"/>
      <c r="F66" s="54"/>
      <c r="G66" s="54"/>
      <c r="H66" s="54"/>
      <c r="I66" s="54"/>
      <c r="J66" s="55"/>
      <c r="K66" s="55"/>
      <c r="L66" s="62" t="str">
        <f>IF(OR(A66="",E66=""),"",SUMIFS(期初数据!$C$5:$C$14,期初数据!$A$5:$A$14,E66)+SUMIFS($J$4:J66,$E$4:E66,E66)-SUMIFS($K$4:K66,$E$4:E66,E66)+SUMIFS($K$4:K66,$F$4:F66,E66,$D$4:D66,"账户转账"))</f>
        <v/>
      </c>
      <c r="M66" s="11" t="str">
        <f>IF(E66="","",IFERROR(VLOOKUP(E66,基础资料!$A$5:$C$204,3,FALSE),""))</f>
        <v/>
      </c>
      <c r="N66" s="11" t="str">
        <f>IF(D66="账户转账",IFERROR(VLOOKUP(F66,基础资料!$A$5:$C$204,3,FALSE),""),"")</f>
        <v/>
      </c>
      <c r="O66" s="11" t="str">
        <f>IF(D66="","",IF(D66="账户转账",N66,IFERROR(IF(VLOOKUP(D66,基础资料!$AK$5:$AM$204,2,FALSE)="1002",M66,VLOOKUP(D66,基础资料!$AK$5:$AM$204,2,FALSE)),"")))</f>
        <v/>
      </c>
      <c r="P66" s="11" t="str">
        <f>IF(D66="","",IF(D66="账户转账",M66,IFERROR(IF(VLOOKUP(D66,基础资料!$AK$5:$AM$204,3,FALSE)="1002",M66,VLOOKUP(D66,基础资料!$AK$5:$AM$204,3,FALSE)),"")))</f>
        <v/>
      </c>
      <c r="Q66" s="62" t="str">
        <f t="shared" si="1"/>
        <v/>
      </c>
      <c r="R66" s="11" t="str">
        <f t="shared" si="2"/>
        <v/>
      </c>
    </row>
    <row r="67" spans="1:18">
      <c r="A67" s="60"/>
      <c r="B67" s="11" t="str">
        <f t="shared" si="0"/>
        <v/>
      </c>
      <c r="C67" s="11" t="str">
        <f>IF(D67="","",IFERROR(INDEX(基础资料!$AJ$5:$AJ$204,MATCH(D67,基础资料!$AK$5:$AK$204,0)),""))</f>
        <v/>
      </c>
      <c r="D67" s="54"/>
      <c r="E67" s="54"/>
      <c r="F67" s="54"/>
      <c r="G67" s="54"/>
      <c r="H67" s="54"/>
      <c r="I67" s="54"/>
      <c r="J67" s="55"/>
      <c r="K67" s="55"/>
      <c r="L67" s="62" t="str">
        <f>IF(OR(A67="",E67=""),"",SUMIFS(期初数据!$C$5:$C$14,期初数据!$A$5:$A$14,E67)+SUMIFS($J$4:J67,$E$4:E67,E67)-SUMIFS($K$4:K67,$E$4:E67,E67)+SUMIFS($K$4:K67,$F$4:F67,E67,$D$4:D67,"账户转账"))</f>
        <v/>
      </c>
      <c r="M67" s="11" t="str">
        <f>IF(E67="","",IFERROR(VLOOKUP(E67,基础资料!$A$5:$C$204,3,FALSE),""))</f>
        <v/>
      </c>
      <c r="N67" s="11" t="str">
        <f>IF(D67="账户转账",IFERROR(VLOOKUP(F67,基础资料!$A$5:$C$204,3,FALSE),""),"")</f>
        <v/>
      </c>
      <c r="O67" s="11" t="str">
        <f>IF(D67="","",IF(D67="账户转账",N67,IFERROR(IF(VLOOKUP(D67,基础资料!$AK$5:$AM$204,2,FALSE)="1002",M67,VLOOKUP(D67,基础资料!$AK$5:$AM$204,2,FALSE)),"")))</f>
        <v/>
      </c>
      <c r="P67" s="11" t="str">
        <f>IF(D67="","",IF(D67="账户转账",M67,IFERROR(IF(VLOOKUP(D67,基础资料!$AK$5:$AM$204,3,FALSE)="1002",M67,VLOOKUP(D67,基础资料!$AK$5:$AM$204,3,FALSE)),"")))</f>
        <v/>
      </c>
      <c r="Q67" s="62" t="str">
        <f t="shared" si="1"/>
        <v/>
      </c>
      <c r="R67" s="11" t="str">
        <f t="shared" si="2"/>
        <v/>
      </c>
    </row>
    <row r="68" spans="1:18">
      <c r="A68" s="60"/>
      <c r="B68" s="11" t="str">
        <f t="shared" ref="B68:B131" si="3">IF(A68="","",TEXT(A68,"yyyy-mm"))</f>
        <v/>
      </c>
      <c r="C68" s="11" t="str">
        <f>IF(D68="","",IFERROR(INDEX(基础资料!$AJ$5:$AJ$204,MATCH(D68,基础资料!$AK$5:$AK$204,0)),""))</f>
        <v/>
      </c>
      <c r="D68" s="54"/>
      <c r="E68" s="54"/>
      <c r="F68" s="54"/>
      <c r="G68" s="54"/>
      <c r="H68" s="54"/>
      <c r="I68" s="54"/>
      <c r="J68" s="55"/>
      <c r="K68" s="55"/>
      <c r="L68" s="62" t="str">
        <f>IF(OR(A68="",E68=""),"",SUMIFS(期初数据!$C$5:$C$14,期初数据!$A$5:$A$14,E68)+SUMIFS($J$4:J68,$E$4:E68,E68)-SUMIFS($K$4:K68,$E$4:E68,E68)+SUMIFS($K$4:K68,$F$4:F68,E68,$D$4:D68,"账户转账"))</f>
        <v/>
      </c>
      <c r="M68" s="11" t="str">
        <f>IF(E68="","",IFERROR(VLOOKUP(E68,基础资料!$A$5:$C$204,3,FALSE),""))</f>
        <v/>
      </c>
      <c r="N68" s="11" t="str">
        <f>IF(D68="账户转账",IFERROR(VLOOKUP(F68,基础资料!$A$5:$C$204,3,FALSE),""),"")</f>
        <v/>
      </c>
      <c r="O68" s="11" t="str">
        <f>IF(D68="","",IF(D68="账户转账",N68,IFERROR(IF(VLOOKUP(D68,基础资料!$AK$5:$AM$204,2,FALSE)="1002",M68,VLOOKUP(D68,基础资料!$AK$5:$AM$204,2,FALSE)),"")))</f>
        <v/>
      </c>
      <c r="P68" s="11" t="str">
        <f>IF(D68="","",IF(D68="账户转账",M68,IFERROR(IF(VLOOKUP(D68,基础资料!$AK$5:$AM$204,3,FALSE)="1002",M68,VLOOKUP(D68,基础资料!$AK$5:$AM$204,3,FALSE)),"")))</f>
        <v/>
      </c>
      <c r="Q68" s="62" t="str">
        <f t="shared" ref="Q68:Q131" si="4">IF(A68="","",N(J68)+N(K68))</f>
        <v/>
      </c>
      <c r="R68" s="11" t="str">
        <f t="shared" ref="R68:R131" si="5">IF(A68="","","可录入")</f>
        <v/>
      </c>
    </row>
    <row r="69" spans="1:18">
      <c r="A69" s="60"/>
      <c r="B69" s="11" t="str">
        <f t="shared" si="3"/>
        <v/>
      </c>
      <c r="C69" s="11" t="str">
        <f>IF(D69="","",IFERROR(INDEX(基础资料!$AJ$5:$AJ$204,MATCH(D69,基础资料!$AK$5:$AK$204,0)),""))</f>
        <v/>
      </c>
      <c r="D69" s="54"/>
      <c r="E69" s="54"/>
      <c r="F69" s="54"/>
      <c r="G69" s="54"/>
      <c r="H69" s="54"/>
      <c r="I69" s="54"/>
      <c r="J69" s="55"/>
      <c r="K69" s="55"/>
      <c r="L69" s="62" t="str">
        <f>IF(OR(A69="",E69=""),"",SUMIFS(期初数据!$C$5:$C$14,期初数据!$A$5:$A$14,E69)+SUMIFS($J$4:J69,$E$4:E69,E69)-SUMIFS($K$4:K69,$E$4:E69,E69)+SUMIFS($K$4:K69,$F$4:F69,E69,$D$4:D69,"账户转账"))</f>
        <v/>
      </c>
      <c r="M69" s="11" t="str">
        <f>IF(E69="","",IFERROR(VLOOKUP(E69,基础资料!$A$5:$C$204,3,FALSE),""))</f>
        <v/>
      </c>
      <c r="N69" s="11" t="str">
        <f>IF(D69="账户转账",IFERROR(VLOOKUP(F69,基础资料!$A$5:$C$204,3,FALSE),""),"")</f>
        <v/>
      </c>
      <c r="O69" s="11" t="str">
        <f>IF(D69="","",IF(D69="账户转账",N69,IFERROR(IF(VLOOKUP(D69,基础资料!$AK$5:$AM$204,2,FALSE)="1002",M69,VLOOKUP(D69,基础资料!$AK$5:$AM$204,2,FALSE)),"")))</f>
        <v/>
      </c>
      <c r="P69" s="11" t="str">
        <f>IF(D69="","",IF(D69="账户转账",M69,IFERROR(IF(VLOOKUP(D69,基础资料!$AK$5:$AM$204,3,FALSE)="1002",M69,VLOOKUP(D69,基础资料!$AK$5:$AM$204,3,FALSE)),"")))</f>
        <v/>
      </c>
      <c r="Q69" s="62" t="str">
        <f t="shared" si="4"/>
        <v/>
      </c>
      <c r="R69" s="11" t="str">
        <f t="shared" si="5"/>
        <v/>
      </c>
    </row>
    <row r="70" spans="1:18">
      <c r="A70" s="60"/>
      <c r="B70" s="11" t="str">
        <f t="shared" si="3"/>
        <v/>
      </c>
      <c r="C70" s="11" t="str">
        <f>IF(D70="","",IFERROR(INDEX(基础资料!$AJ$5:$AJ$204,MATCH(D70,基础资料!$AK$5:$AK$204,0)),""))</f>
        <v/>
      </c>
      <c r="D70" s="54"/>
      <c r="E70" s="54"/>
      <c r="F70" s="54"/>
      <c r="G70" s="54"/>
      <c r="H70" s="54"/>
      <c r="I70" s="54"/>
      <c r="J70" s="55"/>
      <c r="K70" s="55"/>
      <c r="L70" s="62" t="str">
        <f>IF(OR(A70="",E70=""),"",SUMIFS(期初数据!$C$5:$C$14,期初数据!$A$5:$A$14,E70)+SUMIFS($J$4:J70,$E$4:E70,E70)-SUMIFS($K$4:K70,$E$4:E70,E70)+SUMIFS($K$4:K70,$F$4:F70,E70,$D$4:D70,"账户转账"))</f>
        <v/>
      </c>
      <c r="M70" s="11" t="str">
        <f>IF(E70="","",IFERROR(VLOOKUP(E70,基础资料!$A$5:$C$204,3,FALSE),""))</f>
        <v/>
      </c>
      <c r="N70" s="11" t="str">
        <f>IF(D70="账户转账",IFERROR(VLOOKUP(F70,基础资料!$A$5:$C$204,3,FALSE),""),"")</f>
        <v/>
      </c>
      <c r="O70" s="11" t="str">
        <f>IF(D70="","",IF(D70="账户转账",N70,IFERROR(IF(VLOOKUP(D70,基础资料!$AK$5:$AM$204,2,FALSE)="1002",M70,VLOOKUP(D70,基础资料!$AK$5:$AM$204,2,FALSE)),"")))</f>
        <v/>
      </c>
      <c r="P70" s="11" t="str">
        <f>IF(D70="","",IF(D70="账户转账",M70,IFERROR(IF(VLOOKUP(D70,基础资料!$AK$5:$AM$204,3,FALSE)="1002",M70,VLOOKUP(D70,基础资料!$AK$5:$AM$204,3,FALSE)),"")))</f>
        <v/>
      </c>
      <c r="Q70" s="62" t="str">
        <f t="shared" si="4"/>
        <v/>
      </c>
      <c r="R70" s="11" t="str">
        <f t="shared" si="5"/>
        <v/>
      </c>
    </row>
    <row r="71" spans="1:18">
      <c r="A71" s="60"/>
      <c r="B71" s="11" t="str">
        <f t="shared" si="3"/>
        <v/>
      </c>
      <c r="C71" s="11" t="str">
        <f>IF(D71="","",IFERROR(INDEX(基础资料!$AJ$5:$AJ$204,MATCH(D71,基础资料!$AK$5:$AK$204,0)),""))</f>
        <v/>
      </c>
      <c r="D71" s="54"/>
      <c r="E71" s="54"/>
      <c r="F71" s="54"/>
      <c r="G71" s="54"/>
      <c r="H71" s="54"/>
      <c r="I71" s="54"/>
      <c r="J71" s="55"/>
      <c r="K71" s="55"/>
      <c r="L71" s="62" t="str">
        <f>IF(OR(A71="",E71=""),"",SUMIFS(期初数据!$C$5:$C$14,期初数据!$A$5:$A$14,E71)+SUMIFS($J$4:J71,$E$4:E71,E71)-SUMIFS($K$4:K71,$E$4:E71,E71)+SUMIFS($K$4:K71,$F$4:F71,E71,$D$4:D71,"账户转账"))</f>
        <v/>
      </c>
      <c r="M71" s="11" t="str">
        <f>IF(E71="","",IFERROR(VLOOKUP(E71,基础资料!$A$5:$C$204,3,FALSE),""))</f>
        <v/>
      </c>
      <c r="N71" s="11" t="str">
        <f>IF(D71="账户转账",IFERROR(VLOOKUP(F71,基础资料!$A$5:$C$204,3,FALSE),""),"")</f>
        <v/>
      </c>
      <c r="O71" s="11" t="str">
        <f>IF(D71="","",IF(D71="账户转账",N71,IFERROR(IF(VLOOKUP(D71,基础资料!$AK$5:$AM$204,2,FALSE)="1002",M71,VLOOKUP(D71,基础资料!$AK$5:$AM$204,2,FALSE)),"")))</f>
        <v/>
      </c>
      <c r="P71" s="11" t="str">
        <f>IF(D71="","",IF(D71="账户转账",M71,IFERROR(IF(VLOOKUP(D71,基础资料!$AK$5:$AM$204,3,FALSE)="1002",M71,VLOOKUP(D71,基础资料!$AK$5:$AM$204,3,FALSE)),"")))</f>
        <v/>
      </c>
      <c r="Q71" s="62" t="str">
        <f t="shared" si="4"/>
        <v/>
      </c>
      <c r="R71" s="11" t="str">
        <f t="shared" si="5"/>
        <v/>
      </c>
    </row>
    <row r="72" spans="1:18">
      <c r="A72" s="60"/>
      <c r="B72" s="11" t="str">
        <f t="shared" si="3"/>
        <v/>
      </c>
      <c r="C72" s="11" t="str">
        <f>IF(D72="","",IFERROR(INDEX(基础资料!$AJ$5:$AJ$204,MATCH(D72,基础资料!$AK$5:$AK$204,0)),""))</f>
        <v/>
      </c>
      <c r="D72" s="54"/>
      <c r="E72" s="54"/>
      <c r="F72" s="54"/>
      <c r="G72" s="54"/>
      <c r="H72" s="54"/>
      <c r="I72" s="54"/>
      <c r="J72" s="55"/>
      <c r="K72" s="55"/>
      <c r="L72" s="62" t="str">
        <f>IF(OR(A72="",E72=""),"",SUMIFS(期初数据!$C$5:$C$14,期初数据!$A$5:$A$14,E72)+SUMIFS($J$4:J72,$E$4:E72,E72)-SUMIFS($K$4:K72,$E$4:E72,E72)+SUMIFS($K$4:K72,$F$4:F72,E72,$D$4:D72,"账户转账"))</f>
        <v/>
      </c>
      <c r="M72" s="11" t="str">
        <f>IF(E72="","",IFERROR(VLOOKUP(E72,基础资料!$A$5:$C$204,3,FALSE),""))</f>
        <v/>
      </c>
      <c r="N72" s="11" t="str">
        <f>IF(D72="账户转账",IFERROR(VLOOKUP(F72,基础资料!$A$5:$C$204,3,FALSE),""),"")</f>
        <v/>
      </c>
      <c r="O72" s="11" t="str">
        <f>IF(D72="","",IF(D72="账户转账",N72,IFERROR(IF(VLOOKUP(D72,基础资料!$AK$5:$AM$204,2,FALSE)="1002",M72,VLOOKUP(D72,基础资料!$AK$5:$AM$204,2,FALSE)),"")))</f>
        <v/>
      </c>
      <c r="P72" s="11" t="str">
        <f>IF(D72="","",IF(D72="账户转账",M72,IFERROR(IF(VLOOKUP(D72,基础资料!$AK$5:$AM$204,3,FALSE)="1002",M72,VLOOKUP(D72,基础资料!$AK$5:$AM$204,3,FALSE)),"")))</f>
        <v/>
      </c>
      <c r="Q72" s="62" t="str">
        <f t="shared" si="4"/>
        <v/>
      </c>
      <c r="R72" s="11" t="str">
        <f t="shared" si="5"/>
        <v/>
      </c>
    </row>
    <row r="73" spans="1:18">
      <c r="A73" s="60"/>
      <c r="B73" s="11" t="str">
        <f t="shared" si="3"/>
        <v/>
      </c>
      <c r="C73" s="11" t="str">
        <f>IF(D73="","",IFERROR(INDEX(基础资料!$AJ$5:$AJ$204,MATCH(D73,基础资料!$AK$5:$AK$204,0)),""))</f>
        <v/>
      </c>
      <c r="D73" s="54"/>
      <c r="E73" s="54"/>
      <c r="F73" s="54"/>
      <c r="G73" s="54"/>
      <c r="H73" s="54"/>
      <c r="I73" s="54"/>
      <c r="J73" s="55"/>
      <c r="K73" s="55"/>
      <c r="L73" s="62" t="str">
        <f>IF(OR(A73="",E73=""),"",SUMIFS(期初数据!$C$5:$C$14,期初数据!$A$5:$A$14,E73)+SUMIFS($J$4:J73,$E$4:E73,E73)-SUMIFS($K$4:K73,$E$4:E73,E73)+SUMIFS($K$4:K73,$F$4:F73,E73,$D$4:D73,"账户转账"))</f>
        <v/>
      </c>
      <c r="M73" s="11" t="str">
        <f>IF(E73="","",IFERROR(VLOOKUP(E73,基础资料!$A$5:$C$204,3,FALSE),""))</f>
        <v/>
      </c>
      <c r="N73" s="11" t="str">
        <f>IF(D73="账户转账",IFERROR(VLOOKUP(F73,基础资料!$A$5:$C$204,3,FALSE),""),"")</f>
        <v/>
      </c>
      <c r="O73" s="11" t="str">
        <f>IF(D73="","",IF(D73="账户转账",N73,IFERROR(IF(VLOOKUP(D73,基础资料!$AK$5:$AM$204,2,FALSE)="1002",M73,VLOOKUP(D73,基础资料!$AK$5:$AM$204,2,FALSE)),"")))</f>
        <v/>
      </c>
      <c r="P73" s="11" t="str">
        <f>IF(D73="","",IF(D73="账户转账",M73,IFERROR(IF(VLOOKUP(D73,基础资料!$AK$5:$AM$204,3,FALSE)="1002",M73,VLOOKUP(D73,基础资料!$AK$5:$AM$204,3,FALSE)),"")))</f>
        <v/>
      </c>
      <c r="Q73" s="62" t="str">
        <f t="shared" si="4"/>
        <v/>
      </c>
      <c r="R73" s="11" t="str">
        <f t="shared" si="5"/>
        <v/>
      </c>
    </row>
    <row r="74" spans="1:18">
      <c r="A74" s="60"/>
      <c r="B74" s="11" t="str">
        <f t="shared" si="3"/>
        <v/>
      </c>
      <c r="C74" s="11" t="str">
        <f>IF(D74="","",IFERROR(INDEX(基础资料!$AJ$5:$AJ$204,MATCH(D74,基础资料!$AK$5:$AK$204,0)),""))</f>
        <v/>
      </c>
      <c r="D74" s="54"/>
      <c r="E74" s="54"/>
      <c r="F74" s="54"/>
      <c r="G74" s="54"/>
      <c r="H74" s="54"/>
      <c r="I74" s="54"/>
      <c r="J74" s="55"/>
      <c r="K74" s="55"/>
      <c r="L74" s="62" t="str">
        <f>IF(OR(A74="",E74=""),"",SUMIFS(期初数据!$C$5:$C$14,期初数据!$A$5:$A$14,E74)+SUMIFS($J$4:J74,$E$4:E74,E74)-SUMIFS($K$4:K74,$E$4:E74,E74)+SUMIFS($K$4:K74,$F$4:F74,E74,$D$4:D74,"账户转账"))</f>
        <v/>
      </c>
      <c r="M74" s="11" t="str">
        <f>IF(E74="","",IFERROR(VLOOKUP(E74,基础资料!$A$5:$C$204,3,FALSE),""))</f>
        <v/>
      </c>
      <c r="N74" s="11" t="str">
        <f>IF(D74="账户转账",IFERROR(VLOOKUP(F74,基础资料!$A$5:$C$204,3,FALSE),""),"")</f>
        <v/>
      </c>
      <c r="O74" s="11" t="str">
        <f>IF(D74="","",IF(D74="账户转账",N74,IFERROR(IF(VLOOKUP(D74,基础资料!$AK$5:$AM$204,2,FALSE)="1002",M74,VLOOKUP(D74,基础资料!$AK$5:$AM$204,2,FALSE)),"")))</f>
        <v/>
      </c>
      <c r="P74" s="11" t="str">
        <f>IF(D74="","",IF(D74="账户转账",M74,IFERROR(IF(VLOOKUP(D74,基础资料!$AK$5:$AM$204,3,FALSE)="1002",M74,VLOOKUP(D74,基础资料!$AK$5:$AM$204,3,FALSE)),"")))</f>
        <v/>
      </c>
      <c r="Q74" s="62" t="str">
        <f t="shared" si="4"/>
        <v/>
      </c>
      <c r="R74" s="11" t="str">
        <f t="shared" si="5"/>
        <v/>
      </c>
    </row>
    <row r="75" spans="1:18">
      <c r="A75" s="60"/>
      <c r="B75" s="11" t="str">
        <f t="shared" si="3"/>
        <v/>
      </c>
      <c r="C75" s="11" t="str">
        <f>IF(D75="","",IFERROR(INDEX(基础资料!$AJ$5:$AJ$204,MATCH(D75,基础资料!$AK$5:$AK$204,0)),""))</f>
        <v/>
      </c>
      <c r="D75" s="54"/>
      <c r="E75" s="54"/>
      <c r="F75" s="54"/>
      <c r="G75" s="54"/>
      <c r="H75" s="54"/>
      <c r="I75" s="54"/>
      <c r="J75" s="55"/>
      <c r="K75" s="55"/>
      <c r="L75" s="62" t="str">
        <f>IF(OR(A75="",E75=""),"",SUMIFS(期初数据!$C$5:$C$14,期初数据!$A$5:$A$14,E75)+SUMIFS($J$4:J75,$E$4:E75,E75)-SUMIFS($K$4:K75,$E$4:E75,E75)+SUMIFS($K$4:K75,$F$4:F75,E75,$D$4:D75,"账户转账"))</f>
        <v/>
      </c>
      <c r="M75" s="11" t="str">
        <f>IF(E75="","",IFERROR(VLOOKUP(E75,基础资料!$A$5:$C$204,3,FALSE),""))</f>
        <v/>
      </c>
      <c r="N75" s="11" t="str">
        <f>IF(D75="账户转账",IFERROR(VLOOKUP(F75,基础资料!$A$5:$C$204,3,FALSE),""),"")</f>
        <v/>
      </c>
      <c r="O75" s="11" t="str">
        <f>IF(D75="","",IF(D75="账户转账",N75,IFERROR(IF(VLOOKUP(D75,基础资料!$AK$5:$AM$204,2,FALSE)="1002",M75,VLOOKUP(D75,基础资料!$AK$5:$AM$204,2,FALSE)),"")))</f>
        <v/>
      </c>
      <c r="P75" s="11" t="str">
        <f>IF(D75="","",IF(D75="账户转账",M75,IFERROR(IF(VLOOKUP(D75,基础资料!$AK$5:$AM$204,3,FALSE)="1002",M75,VLOOKUP(D75,基础资料!$AK$5:$AM$204,3,FALSE)),"")))</f>
        <v/>
      </c>
      <c r="Q75" s="62" t="str">
        <f t="shared" si="4"/>
        <v/>
      </c>
      <c r="R75" s="11" t="str">
        <f t="shared" si="5"/>
        <v/>
      </c>
    </row>
    <row r="76" spans="1:18">
      <c r="A76" s="60"/>
      <c r="B76" s="11" t="str">
        <f t="shared" si="3"/>
        <v/>
      </c>
      <c r="C76" s="11" t="str">
        <f>IF(D76="","",IFERROR(INDEX(基础资料!$AJ$5:$AJ$204,MATCH(D76,基础资料!$AK$5:$AK$204,0)),""))</f>
        <v/>
      </c>
      <c r="D76" s="54"/>
      <c r="E76" s="54"/>
      <c r="F76" s="54"/>
      <c r="G76" s="54"/>
      <c r="H76" s="54"/>
      <c r="I76" s="54"/>
      <c r="J76" s="55"/>
      <c r="K76" s="55"/>
      <c r="L76" s="62" t="str">
        <f>IF(OR(A76="",E76=""),"",SUMIFS(期初数据!$C$5:$C$14,期初数据!$A$5:$A$14,E76)+SUMIFS($J$4:J76,$E$4:E76,E76)-SUMIFS($K$4:K76,$E$4:E76,E76)+SUMIFS($K$4:K76,$F$4:F76,E76,$D$4:D76,"账户转账"))</f>
        <v/>
      </c>
      <c r="M76" s="11" t="str">
        <f>IF(E76="","",IFERROR(VLOOKUP(E76,基础资料!$A$5:$C$204,3,FALSE),""))</f>
        <v/>
      </c>
      <c r="N76" s="11" t="str">
        <f>IF(D76="账户转账",IFERROR(VLOOKUP(F76,基础资料!$A$5:$C$204,3,FALSE),""),"")</f>
        <v/>
      </c>
      <c r="O76" s="11" t="str">
        <f>IF(D76="","",IF(D76="账户转账",N76,IFERROR(IF(VLOOKUP(D76,基础资料!$AK$5:$AM$204,2,FALSE)="1002",M76,VLOOKUP(D76,基础资料!$AK$5:$AM$204,2,FALSE)),"")))</f>
        <v/>
      </c>
      <c r="P76" s="11" t="str">
        <f>IF(D76="","",IF(D76="账户转账",M76,IFERROR(IF(VLOOKUP(D76,基础资料!$AK$5:$AM$204,3,FALSE)="1002",M76,VLOOKUP(D76,基础资料!$AK$5:$AM$204,3,FALSE)),"")))</f>
        <v/>
      </c>
      <c r="Q76" s="62" t="str">
        <f t="shared" si="4"/>
        <v/>
      </c>
      <c r="R76" s="11" t="str">
        <f t="shared" si="5"/>
        <v/>
      </c>
    </row>
    <row r="77" spans="1:18">
      <c r="A77" s="60"/>
      <c r="B77" s="11" t="str">
        <f t="shared" si="3"/>
        <v/>
      </c>
      <c r="C77" s="11" t="str">
        <f>IF(D77="","",IFERROR(INDEX(基础资料!$AJ$5:$AJ$204,MATCH(D77,基础资料!$AK$5:$AK$204,0)),""))</f>
        <v/>
      </c>
      <c r="D77" s="54"/>
      <c r="E77" s="54"/>
      <c r="F77" s="54"/>
      <c r="G77" s="54"/>
      <c r="H77" s="54"/>
      <c r="I77" s="54"/>
      <c r="J77" s="55"/>
      <c r="K77" s="55"/>
      <c r="L77" s="62" t="str">
        <f>IF(OR(A77="",E77=""),"",SUMIFS(期初数据!$C$5:$C$14,期初数据!$A$5:$A$14,E77)+SUMIFS($J$4:J77,$E$4:E77,E77)-SUMIFS($K$4:K77,$E$4:E77,E77)+SUMIFS($K$4:K77,$F$4:F77,E77,$D$4:D77,"账户转账"))</f>
        <v/>
      </c>
      <c r="M77" s="11" t="str">
        <f>IF(E77="","",IFERROR(VLOOKUP(E77,基础资料!$A$5:$C$204,3,FALSE),""))</f>
        <v/>
      </c>
      <c r="N77" s="11" t="str">
        <f>IF(D77="账户转账",IFERROR(VLOOKUP(F77,基础资料!$A$5:$C$204,3,FALSE),""),"")</f>
        <v/>
      </c>
      <c r="O77" s="11" t="str">
        <f>IF(D77="","",IF(D77="账户转账",N77,IFERROR(IF(VLOOKUP(D77,基础资料!$AK$5:$AM$204,2,FALSE)="1002",M77,VLOOKUP(D77,基础资料!$AK$5:$AM$204,2,FALSE)),"")))</f>
        <v/>
      </c>
      <c r="P77" s="11" t="str">
        <f>IF(D77="","",IF(D77="账户转账",M77,IFERROR(IF(VLOOKUP(D77,基础资料!$AK$5:$AM$204,3,FALSE)="1002",M77,VLOOKUP(D77,基础资料!$AK$5:$AM$204,3,FALSE)),"")))</f>
        <v/>
      </c>
      <c r="Q77" s="62" t="str">
        <f t="shared" si="4"/>
        <v/>
      </c>
      <c r="R77" s="11" t="str">
        <f t="shared" si="5"/>
        <v/>
      </c>
    </row>
    <row r="78" spans="1:18">
      <c r="A78" s="60"/>
      <c r="B78" s="11" t="str">
        <f t="shared" si="3"/>
        <v/>
      </c>
      <c r="C78" s="11" t="str">
        <f>IF(D78="","",IFERROR(INDEX(基础资料!$AJ$5:$AJ$204,MATCH(D78,基础资料!$AK$5:$AK$204,0)),""))</f>
        <v/>
      </c>
      <c r="D78" s="54"/>
      <c r="E78" s="54"/>
      <c r="F78" s="54"/>
      <c r="G78" s="54"/>
      <c r="H78" s="54"/>
      <c r="I78" s="54"/>
      <c r="J78" s="55"/>
      <c r="K78" s="55"/>
      <c r="L78" s="62" t="str">
        <f>IF(OR(A78="",E78=""),"",SUMIFS(期初数据!$C$5:$C$14,期初数据!$A$5:$A$14,E78)+SUMIFS($J$4:J78,$E$4:E78,E78)-SUMIFS($K$4:K78,$E$4:E78,E78)+SUMIFS($K$4:K78,$F$4:F78,E78,$D$4:D78,"账户转账"))</f>
        <v/>
      </c>
      <c r="M78" s="11" t="str">
        <f>IF(E78="","",IFERROR(VLOOKUP(E78,基础资料!$A$5:$C$204,3,FALSE),""))</f>
        <v/>
      </c>
      <c r="N78" s="11" t="str">
        <f>IF(D78="账户转账",IFERROR(VLOOKUP(F78,基础资料!$A$5:$C$204,3,FALSE),""),"")</f>
        <v/>
      </c>
      <c r="O78" s="11" t="str">
        <f>IF(D78="","",IF(D78="账户转账",N78,IFERROR(IF(VLOOKUP(D78,基础资料!$AK$5:$AM$204,2,FALSE)="1002",M78,VLOOKUP(D78,基础资料!$AK$5:$AM$204,2,FALSE)),"")))</f>
        <v/>
      </c>
      <c r="P78" s="11" t="str">
        <f>IF(D78="","",IF(D78="账户转账",M78,IFERROR(IF(VLOOKUP(D78,基础资料!$AK$5:$AM$204,3,FALSE)="1002",M78,VLOOKUP(D78,基础资料!$AK$5:$AM$204,3,FALSE)),"")))</f>
        <v/>
      </c>
      <c r="Q78" s="62" t="str">
        <f t="shared" si="4"/>
        <v/>
      </c>
      <c r="R78" s="11" t="str">
        <f t="shared" si="5"/>
        <v/>
      </c>
    </row>
    <row r="79" spans="1:18">
      <c r="A79" s="60"/>
      <c r="B79" s="11" t="str">
        <f t="shared" si="3"/>
        <v/>
      </c>
      <c r="C79" s="11" t="str">
        <f>IF(D79="","",IFERROR(INDEX(基础资料!$AJ$5:$AJ$204,MATCH(D79,基础资料!$AK$5:$AK$204,0)),""))</f>
        <v/>
      </c>
      <c r="D79" s="54"/>
      <c r="E79" s="54"/>
      <c r="F79" s="54"/>
      <c r="G79" s="54"/>
      <c r="H79" s="54"/>
      <c r="I79" s="54"/>
      <c r="J79" s="55"/>
      <c r="K79" s="55"/>
      <c r="L79" s="62" t="str">
        <f>IF(OR(A79="",E79=""),"",SUMIFS(期初数据!$C$5:$C$14,期初数据!$A$5:$A$14,E79)+SUMIFS($J$4:J79,$E$4:E79,E79)-SUMIFS($K$4:K79,$E$4:E79,E79)+SUMIFS($K$4:K79,$F$4:F79,E79,$D$4:D79,"账户转账"))</f>
        <v/>
      </c>
      <c r="M79" s="11" t="str">
        <f>IF(E79="","",IFERROR(VLOOKUP(E79,基础资料!$A$5:$C$204,3,FALSE),""))</f>
        <v/>
      </c>
      <c r="N79" s="11" t="str">
        <f>IF(D79="账户转账",IFERROR(VLOOKUP(F79,基础资料!$A$5:$C$204,3,FALSE),""),"")</f>
        <v/>
      </c>
      <c r="O79" s="11" t="str">
        <f>IF(D79="","",IF(D79="账户转账",N79,IFERROR(IF(VLOOKUP(D79,基础资料!$AK$5:$AM$204,2,FALSE)="1002",M79,VLOOKUP(D79,基础资料!$AK$5:$AM$204,2,FALSE)),"")))</f>
        <v/>
      </c>
      <c r="P79" s="11" t="str">
        <f>IF(D79="","",IF(D79="账户转账",M79,IFERROR(IF(VLOOKUP(D79,基础资料!$AK$5:$AM$204,3,FALSE)="1002",M79,VLOOKUP(D79,基础资料!$AK$5:$AM$204,3,FALSE)),"")))</f>
        <v/>
      </c>
      <c r="Q79" s="62" t="str">
        <f t="shared" si="4"/>
        <v/>
      </c>
      <c r="R79" s="11" t="str">
        <f t="shared" si="5"/>
        <v/>
      </c>
    </row>
    <row r="80" spans="1:18">
      <c r="A80" s="60"/>
      <c r="B80" s="11" t="str">
        <f t="shared" si="3"/>
        <v/>
      </c>
      <c r="C80" s="11" t="str">
        <f>IF(D80="","",IFERROR(INDEX(基础资料!$AJ$5:$AJ$204,MATCH(D80,基础资料!$AK$5:$AK$204,0)),""))</f>
        <v/>
      </c>
      <c r="D80" s="54"/>
      <c r="E80" s="54"/>
      <c r="F80" s="54"/>
      <c r="G80" s="54"/>
      <c r="H80" s="54"/>
      <c r="I80" s="54"/>
      <c r="J80" s="55"/>
      <c r="K80" s="55"/>
      <c r="L80" s="62" t="str">
        <f>IF(OR(A80="",E80=""),"",SUMIFS(期初数据!$C$5:$C$14,期初数据!$A$5:$A$14,E80)+SUMIFS($J$4:J80,$E$4:E80,E80)-SUMIFS($K$4:K80,$E$4:E80,E80)+SUMIFS($K$4:K80,$F$4:F80,E80,$D$4:D80,"账户转账"))</f>
        <v/>
      </c>
      <c r="M80" s="11" t="str">
        <f>IF(E80="","",IFERROR(VLOOKUP(E80,基础资料!$A$5:$C$204,3,FALSE),""))</f>
        <v/>
      </c>
      <c r="N80" s="11" t="str">
        <f>IF(D80="账户转账",IFERROR(VLOOKUP(F80,基础资料!$A$5:$C$204,3,FALSE),""),"")</f>
        <v/>
      </c>
      <c r="O80" s="11" t="str">
        <f>IF(D80="","",IF(D80="账户转账",N80,IFERROR(IF(VLOOKUP(D80,基础资料!$AK$5:$AM$204,2,FALSE)="1002",M80,VLOOKUP(D80,基础资料!$AK$5:$AM$204,2,FALSE)),"")))</f>
        <v/>
      </c>
      <c r="P80" s="11" t="str">
        <f>IF(D80="","",IF(D80="账户转账",M80,IFERROR(IF(VLOOKUP(D80,基础资料!$AK$5:$AM$204,3,FALSE)="1002",M80,VLOOKUP(D80,基础资料!$AK$5:$AM$204,3,FALSE)),"")))</f>
        <v/>
      </c>
      <c r="Q80" s="62" t="str">
        <f t="shared" si="4"/>
        <v/>
      </c>
      <c r="R80" s="11" t="str">
        <f t="shared" si="5"/>
        <v/>
      </c>
    </row>
    <row r="81" spans="1:18">
      <c r="A81" s="60"/>
      <c r="B81" s="11" t="str">
        <f t="shared" si="3"/>
        <v/>
      </c>
      <c r="C81" s="11" t="str">
        <f>IF(D81="","",IFERROR(INDEX(基础资料!$AJ$5:$AJ$204,MATCH(D81,基础资料!$AK$5:$AK$204,0)),""))</f>
        <v/>
      </c>
      <c r="D81" s="54"/>
      <c r="E81" s="54"/>
      <c r="F81" s="54"/>
      <c r="G81" s="54"/>
      <c r="H81" s="54"/>
      <c r="I81" s="54"/>
      <c r="J81" s="55"/>
      <c r="K81" s="55"/>
      <c r="L81" s="62" t="str">
        <f>IF(OR(A81="",E81=""),"",SUMIFS(期初数据!$C$5:$C$14,期初数据!$A$5:$A$14,E81)+SUMIFS($J$4:J81,$E$4:E81,E81)-SUMIFS($K$4:K81,$E$4:E81,E81)+SUMIFS($K$4:K81,$F$4:F81,E81,$D$4:D81,"账户转账"))</f>
        <v/>
      </c>
      <c r="M81" s="11" t="str">
        <f>IF(E81="","",IFERROR(VLOOKUP(E81,基础资料!$A$5:$C$204,3,FALSE),""))</f>
        <v/>
      </c>
      <c r="N81" s="11" t="str">
        <f>IF(D81="账户转账",IFERROR(VLOOKUP(F81,基础资料!$A$5:$C$204,3,FALSE),""),"")</f>
        <v/>
      </c>
      <c r="O81" s="11" t="str">
        <f>IF(D81="","",IF(D81="账户转账",N81,IFERROR(IF(VLOOKUP(D81,基础资料!$AK$5:$AM$204,2,FALSE)="1002",M81,VLOOKUP(D81,基础资料!$AK$5:$AM$204,2,FALSE)),"")))</f>
        <v/>
      </c>
      <c r="P81" s="11" t="str">
        <f>IF(D81="","",IF(D81="账户转账",M81,IFERROR(IF(VLOOKUP(D81,基础资料!$AK$5:$AM$204,3,FALSE)="1002",M81,VLOOKUP(D81,基础资料!$AK$5:$AM$204,3,FALSE)),"")))</f>
        <v/>
      </c>
      <c r="Q81" s="62" t="str">
        <f t="shared" si="4"/>
        <v/>
      </c>
      <c r="R81" s="11" t="str">
        <f t="shared" si="5"/>
        <v/>
      </c>
    </row>
    <row r="82" spans="1:18">
      <c r="A82" s="60"/>
      <c r="B82" s="11" t="str">
        <f t="shared" si="3"/>
        <v/>
      </c>
      <c r="C82" s="11" t="str">
        <f>IF(D82="","",IFERROR(INDEX(基础资料!$AJ$5:$AJ$204,MATCH(D82,基础资料!$AK$5:$AK$204,0)),""))</f>
        <v/>
      </c>
      <c r="D82" s="54"/>
      <c r="E82" s="54"/>
      <c r="F82" s="54"/>
      <c r="G82" s="54"/>
      <c r="H82" s="54"/>
      <c r="I82" s="54"/>
      <c r="J82" s="55"/>
      <c r="K82" s="55"/>
      <c r="L82" s="62" t="str">
        <f>IF(OR(A82="",E82=""),"",SUMIFS(期初数据!$C$5:$C$14,期初数据!$A$5:$A$14,E82)+SUMIFS($J$4:J82,$E$4:E82,E82)-SUMIFS($K$4:K82,$E$4:E82,E82)+SUMIFS($K$4:K82,$F$4:F82,E82,$D$4:D82,"账户转账"))</f>
        <v/>
      </c>
      <c r="M82" s="11" t="str">
        <f>IF(E82="","",IFERROR(VLOOKUP(E82,基础资料!$A$5:$C$204,3,FALSE),""))</f>
        <v/>
      </c>
      <c r="N82" s="11" t="str">
        <f>IF(D82="账户转账",IFERROR(VLOOKUP(F82,基础资料!$A$5:$C$204,3,FALSE),""),"")</f>
        <v/>
      </c>
      <c r="O82" s="11" t="str">
        <f>IF(D82="","",IF(D82="账户转账",N82,IFERROR(IF(VLOOKUP(D82,基础资料!$AK$5:$AM$204,2,FALSE)="1002",M82,VLOOKUP(D82,基础资料!$AK$5:$AM$204,2,FALSE)),"")))</f>
        <v/>
      </c>
      <c r="P82" s="11" t="str">
        <f>IF(D82="","",IF(D82="账户转账",M82,IFERROR(IF(VLOOKUP(D82,基础资料!$AK$5:$AM$204,3,FALSE)="1002",M82,VLOOKUP(D82,基础资料!$AK$5:$AM$204,3,FALSE)),"")))</f>
        <v/>
      </c>
      <c r="Q82" s="62" t="str">
        <f t="shared" si="4"/>
        <v/>
      </c>
      <c r="R82" s="11" t="str">
        <f t="shared" si="5"/>
        <v/>
      </c>
    </row>
    <row r="83" spans="1:18">
      <c r="A83" s="60"/>
      <c r="B83" s="11" t="str">
        <f t="shared" si="3"/>
        <v/>
      </c>
      <c r="C83" s="11" t="str">
        <f>IF(D83="","",IFERROR(INDEX(基础资料!$AJ$5:$AJ$204,MATCH(D83,基础资料!$AK$5:$AK$204,0)),""))</f>
        <v/>
      </c>
      <c r="D83" s="54"/>
      <c r="E83" s="54"/>
      <c r="F83" s="54"/>
      <c r="G83" s="54"/>
      <c r="H83" s="54"/>
      <c r="I83" s="54"/>
      <c r="J83" s="55"/>
      <c r="K83" s="55"/>
      <c r="L83" s="62" t="str">
        <f>IF(OR(A83="",E83=""),"",SUMIFS(期初数据!$C$5:$C$14,期初数据!$A$5:$A$14,E83)+SUMIFS($J$4:J83,$E$4:E83,E83)-SUMIFS($K$4:K83,$E$4:E83,E83)+SUMIFS($K$4:K83,$F$4:F83,E83,$D$4:D83,"账户转账"))</f>
        <v/>
      </c>
      <c r="M83" s="11" t="str">
        <f>IF(E83="","",IFERROR(VLOOKUP(E83,基础资料!$A$5:$C$204,3,FALSE),""))</f>
        <v/>
      </c>
      <c r="N83" s="11" t="str">
        <f>IF(D83="账户转账",IFERROR(VLOOKUP(F83,基础资料!$A$5:$C$204,3,FALSE),""),"")</f>
        <v/>
      </c>
      <c r="O83" s="11" t="str">
        <f>IF(D83="","",IF(D83="账户转账",N83,IFERROR(IF(VLOOKUP(D83,基础资料!$AK$5:$AM$204,2,FALSE)="1002",M83,VLOOKUP(D83,基础资料!$AK$5:$AM$204,2,FALSE)),"")))</f>
        <v/>
      </c>
      <c r="P83" s="11" t="str">
        <f>IF(D83="","",IF(D83="账户转账",M83,IFERROR(IF(VLOOKUP(D83,基础资料!$AK$5:$AM$204,3,FALSE)="1002",M83,VLOOKUP(D83,基础资料!$AK$5:$AM$204,3,FALSE)),"")))</f>
        <v/>
      </c>
      <c r="Q83" s="62" t="str">
        <f t="shared" si="4"/>
        <v/>
      </c>
      <c r="R83" s="11" t="str">
        <f t="shared" si="5"/>
        <v/>
      </c>
    </row>
    <row r="84" spans="1:18">
      <c r="A84" s="60"/>
      <c r="B84" s="11" t="str">
        <f t="shared" si="3"/>
        <v/>
      </c>
      <c r="C84" s="11" t="str">
        <f>IF(D84="","",IFERROR(INDEX(基础资料!$AJ$5:$AJ$204,MATCH(D84,基础资料!$AK$5:$AK$204,0)),""))</f>
        <v/>
      </c>
      <c r="D84" s="54"/>
      <c r="E84" s="54"/>
      <c r="F84" s="54"/>
      <c r="G84" s="54"/>
      <c r="H84" s="54"/>
      <c r="I84" s="54"/>
      <c r="J84" s="55"/>
      <c r="K84" s="55"/>
      <c r="L84" s="62" t="str">
        <f>IF(OR(A84="",E84=""),"",SUMIFS(期初数据!$C$5:$C$14,期初数据!$A$5:$A$14,E84)+SUMIFS($J$4:J84,$E$4:E84,E84)-SUMIFS($K$4:K84,$E$4:E84,E84)+SUMIFS($K$4:K84,$F$4:F84,E84,$D$4:D84,"账户转账"))</f>
        <v/>
      </c>
      <c r="M84" s="11" t="str">
        <f>IF(E84="","",IFERROR(VLOOKUP(E84,基础资料!$A$5:$C$204,3,FALSE),""))</f>
        <v/>
      </c>
      <c r="N84" s="11" t="str">
        <f>IF(D84="账户转账",IFERROR(VLOOKUP(F84,基础资料!$A$5:$C$204,3,FALSE),""),"")</f>
        <v/>
      </c>
      <c r="O84" s="11" t="str">
        <f>IF(D84="","",IF(D84="账户转账",N84,IFERROR(IF(VLOOKUP(D84,基础资料!$AK$5:$AM$204,2,FALSE)="1002",M84,VLOOKUP(D84,基础资料!$AK$5:$AM$204,2,FALSE)),"")))</f>
        <v/>
      </c>
      <c r="P84" s="11" t="str">
        <f>IF(D84="","",IF(D84="账户转账",M84,IFERROR(IF(VLOOKUP(D84,基础资料!$AK$5:$AM$204,3,FALSE)="1002",M84,VLOOKUP(D84,基础资料!$AK$5:$AM$204,3,FALSE)),"")))</f>
        <v/>
      </c>
      <c r="Q84" s="62" t="str">
        <f t="shared" si="4"/>
        <v/>
      </c>
      <c r="R84" s="11" t="str">
        <f t="shared" si="5"/>
        <v/>
      </c>
    </row>
    <row r="85" spans="1:18">
      <c r="A85" s="60"/>
      <c r="B85" s="11" t="str">
        <f t="shared" si="3"/>
        <v/>
      </c>
      <c r="C85" s="11" t="str">
        <f>IF(D85="","",IFERROR(INDEX(基础资料!$AJ$5:$AJ$204,MATCH(D85,基础资料!$AK$5:$AK$204,0)),""))</f>
        <v/>
      </c>
      <c r="D85" s="54"/>
      <c r="E85" s="54"/>
      <c r="F85" s="54"/>
      <c r="G85" s="54"/>
      <c r="H85" s="54"/>
      <c r="I85" s="54"/>
      <c r="J85" s="55"/>
      <c r="K85" s="55"/>
      <c r="L85" s="62" t="str">
        <f>IF(OR(A85="",E85=""),"",SUMIFS(期初数据!$C$5:$C$14,期初数据!$A$5:$A$14,E85)+SUMIFS($J$4:J85,$E$4:E85,E85)-SUMIFS($K$4:K85,$E$4:E85,E85)+SUMIFS($K$4:K85,$F$4:F85,E85,$D$4:D85,"账户转账"))</f>
        <v/>
      </c>
      <c r="M85" s="11" t="str">
        <f>IF(E85="","",IFERROR(VLOOKUP(E85,基础资料!$A$5:$C$204,3,FALSE),""))</f>
        <v/>
      </c>
      <c r="N85" s="11" t="str">
        <f>IF(D85="账户转账",IFERROR(VLOOKUP(F85,基础资料!$A$5:$C$204,3,FALSE),""),"")</f>
        <v/>
      </c>
      <c r="O85" s="11" t="str">
        <f>IF(D85="","",IF(D85="账户转账",N85,IFERROR(IF(VLOOKUP(D85,基础资料!$AK$5:$AM$204,2,FALSE)="1002",M85,VLOOKUP(D85,基础资料!$AK$5:$AM$204,2,FALSE)),"")))</f>
        <v/>
      </c>
      <c r="P85" s="11" t="str">
        <f>IF(D85="","",IF(D85="账户转账",M85,IFERROR(IF(VLOOKUP(D85,基础资料!$AK$5:$AM$204,3,FALSE)="1002",M85,VLOOKUP(D85,基础资料!$AK$5:$AM$204,3,FALSE)),"")))</f>
        <v/>
      </c>
      <c r="Q85" s="62" t="str">
        <f t="shared" si="4"/>
        <v/>
      </c>
      <c r="R85" s="11" t="str">
        <f t="shared" si="5"/>
        <v/>
      </c>
    </row>
    <row r="86" spans="1:18">
      <c r="A86" s="60"/>
      <c r="B86" s="11" t="str">
        <f t="shared" si="3"/>
        <v/>
      </c>
      <c r="C86" s="11" t="str">
        <f>IF(D86="","",IFERROR(INDEX(基础资料!$AJ$5:$AJ$204,MATCH(D86,基础资料!$AK$5:$AK$204,0)),""))</f>
        <v/>
      </c>
      <c r="D86" s="54"/>
      <c r="E86" s="54"/>
      <c r="F86" s="54"/>
      <c r="G86" s="54"/>
      <c r="H86" s="54"/>
      <c r="I86" s="54"/>
      <c r="J86" s="55"/>
      <c r="K86" s="55"/>
      <c r="L86" s="62" t="str">
        <f>IF(OR(A86="",E86=""),"",SUMIFS(期初数据!$C$5:$C$14,期初数据!$A$5:$A$14,E86)+SUMIFS($J$4:J86,$E$4:E86,E86)-SUMIFS($K$4:K86,$E$4:E86,E86)+SUMIFS($K$4:K86,$F$4:F86,E86,$D$4:D86,"账户转账"))</f>
        <v/>
      </c>
      <c r="M86" s="11" t="str">
        <f>IF(E86="","",IFERROR(VLOOKUP(E86,基础资料!$A$5:$C$204,3,FALSE),""))</f>
        <v/>
      </c>
      <c r="N86" s="11" t="str">
        <f>IF(D86="账户转账",IFERROR(VLOOKUP(F86,基础资料!$A$5:$C$204,3,FALSE),""),"")</f>
        <v/>
      </c>
      <c r="O86" s="11" t="str">
        <f>IF(D86="","",IF(D86="账户转账",N86,IFERROR(IF(VLOOKUP(D86,基础资料!$AK$5:$AM$204,2,FALSE)="1002",M86,VLOOKUP(D86,基础资料!$AK$5:$AM$204,2,FALSE)),"")))</f>
        <v/>
      </c>
      <c r="P86" s="11" t="str">
        <f>IF(D86="","",IF(D86="账户转账",M86,IFERROR(IF(VLOOKUP(D86,基础资料!$AK$5:$AM$204,3,FALSE)="1002",M86,VLOOKUP(D86,基础资料!$AK$5:$AM$204,3,FALSE)),"")))</f>
        <v/>
      </c>
      <c r="Q86" s="62" t="str">
        <f t="shared" si="4"/>
        <v/>
      </c>
      <c r="R86" s="11" t="str">
        <f t="shared" si="5"/>
        <v/>
      </c>
    </row>
    <row r="87" spans="1:18">
      <c r="A87" s="60"/>
      <c r="B87" s="11" t="str">
        <f t="shared" si="3"/>
        <v/>
      </c>
      <c r="C87" s="11" t="str">
        <f>IF(D87="","",IFERROR(INDEX(基础资料!$AJ$5:$AJ$204,MATCH(D87,基础资料!$AK$5:$AK$204,0)),""))</f>
        <v/>
      </c>
      <c r="D87" s="54"/>
      <c r="E87" s="54"/>
      <c r="F87" s="54"/>
      <c r="G87" s="54"/>
      <c r="H87" s="54"/>
      <c r="I87" s="54"/>
      <c r="J87" s="55"/>
      <c r="K87" s="55"/>
      <c r="L87" s="62" t="str">
        <f>IF(OR(A87="",E87=""),"",SUMIFS(期初数据!$C$5:$C$14,期初数据!$A$5:$A$14,E87)+SUMIFS($J$4:J87,$E$4:E87,E87)-SUMIFS($K$4:K87,$E$4:E87,E87)+SUMIFS($K$4:K87,$F$4:F87,E87,$D$4:D87,"账户转账"))</f>
        <v/>
      </c>
      <c r="M87" s="11" t="str">
        <f>IF(E87="","",IFERROR(VLOOKUP(E87,基础资料!$A$5:$C$204,3,FALSE),""))</f>
        <v/>
      </c>
      <c r="N87" s="11" t="str">
        <f>IF(D87="账户转账",IFERROR(VLOOKUP(F87,基础资料!$A$5:$C$204,3,FALSE),""),"")</f>
        <v/>
      </c>
      <c r="O87" s="11" t="str">
        <f>IF(D87="","",IF(D87="账户转账",N87,IFERROR(IF(VLOOKUP(D87,基础资料!$AK$5:$AM$204,2,FALSE)="1002",M87,VLOOKUP(D87,基础资料!$AK$5:$AM$204,2,FALSE)),"")))</f>
        <v/>
      </c>
      <c r="P87" s="11" t="str">
        <f>IF(D87="","",IF(D87="账户转账",M87,IFERROR(IF(VLOOKUP(D87,基础资料!$AK$5:$AM$204,3,FALSE)="1002",M87,VLOOKUP(D87,基础资料!$AK$5:$AM$204,3,FALSE)),"")))</f>
        <v/>
      </c>
      <c r="Q87" s="62" t="str">
        <f t="shared" si="4"/>
        <v/>
      </c>
      <c r="R87" s="11" t="str">
        <f t="shared" si="5"/>
        <v/>
      </c>
    </row>
    <row r="88" spans="1:18">
      <c r="A88" s="60"/>
      <c r="B88" s="11" t="str">
        <f t="shared" si="3"/>
        <v/>
      </c>
      <c r="C88" s="11" t="str">
        <f>IF(D88="","",IFERROR(INDEX(基础资料!$AJ$5:$AJ$204,MATCH(D88,基础资料!$AK$5:$AK$204,0)),""))</f>
        <v/>
      </c>
      <c r="D88" s="54"/>
      <c r="E88" s="54"/>
      <c r="F88" s="54"/>
      <c r="G88" s="54"/>
      <c r="H88" s="54"/>
      <c r="I88" s="54"/>
      <c r="J88" s="55"/>
      <c r="K88" s="55"/>
      <c r="L88" s="62" t="str">
        <f>IF(OR(A88="",E88=""),"",SUMIFS(期初数据!$C$5:$C$14,期初数据!$A$5:$A$14,E88)+SUMIFS($J$4:J88,$E$4:E88,E88)-SUMIFS($K$4:K88,$E$4:E88,E88)+SUMIFS($K$4:K88,$F$4:F88,E88,$D$4:D88,"账户转账"))</f>
        <v/>
      </c>
      <c r="M88" s="11" t="str">
        <f>IF(E88="","",IFERROR(VLOOKUP(E88,基础资料!$A$5:$C$204,3,FALSE),""))</f>
        <v/>
      </c>
      <c r="N88" s="11" t="str">
        <f>IF(D88="账户转账",IFERROR(VLOOKUP(F88,基础资料!$A$5:$C$204,3,FALSE),""),"")</f>
        <v/>
      </c>
      <c r="O88" s="11" t="str">
        <f>IF(D88="","",IF(D88="账户转账",N88,IFERROR(IF(VLOOKUP(D88,基础资料!$AK$5:$AM$204,2,FALSE)="1002",M88,VLOOKUP(D88,基础资料!$AK$5:$AM$204,2,FALSE)),"")))</f>
        <v/>
      </c>
      <c r="P88" s="11" t="str">
        <f>IF(D88="","",IF(D88="账户转账",M88,IFERROR(IF(VLOOKUP(D88,基础资料!$AK$5:$AM$204,3,FALSE)="1002",M88,VLOOKUP(D88,基础资料!$AK$5:$AM$204,3,FALSE)),"")))</f>
        <v/>
      </c>
      <c r="Q88" s="62" t="str">
        <f t="shared" si="4"/>
        <v/>
      </c>
      <c r="R88" s="11" t="str">
        <f t="shared" si="5"/>
        <v/>
      </c>
    </row>
    <row r="89" spans="1:18">
      <c r="A89" s="60"/>
      <c r="B89" s="11" t="str">
        <f t="shared" si="3"/>
        <v/>
      </c>
      <c r="C89" s="11" t="str">
        <f>IF(D89="","",IFERROR(INDEX(基础资料!$AJ$5:$AJ$204,MATCH(D89,基础资料!$AK$5:$AK$204,0)),""))</f>
        <v/>
      </c>
      <c r="D89" s="54"/>
      <c r="E89" s="54"/>
      <c r="F89" s="54"/>
      <c r="G89" s="54"/>
      <c r="H89" s="54"/>
      <c r="I89" s="54"/>
      <c r="J89" s="55"/>
      <c r="K89" s="55"/>
      <c r="L89" s="62" t="str">
        <f>IF(OR(A89="",E89=""),"",SUMIFS(期初数据!$C$5:$C$14,期初数据!$A$5:$A$14,E89)+SUMIFS($J$4:J89,$E$4:E89,E89)-SUMIFS($K$4:K89,$E$4:E89,E89)+SUMIFS($K$4:K89,$F$4:F89,E89,$D$4:D89,"账户转账"))</f>
        <v/>
      </c>
      <c r="M89" s="11" t="str">
        <f>IF(E89="","",IFERROR(VLOOKUP(E89,基础资料!$A$5:$C$204,3,FALSE),""))</f>
        <v/>
      </c>
      <c r="N89" s="11" t="str">
        <f>IF(D89="账户转账",IFERROR(VLOOKUP(F89,基础资料!$A$5:$C$204,3,FALSE),""),"")</f>
        <v/>
      </c>
      <c r="O89" s="11" t="str">
        <f>IF(D89="","",IF(D89="账户转账",N89,IFERROR(IF(VLOOKUP(D89,基础资料!$AK$5:$AM$204,2,FALSE)="1002",M89,VLOOKUP(D89,基础资料!$AK$5:$AM$204,2,FALSE)),"")))</f>
        <v/>
      </c>
      <c r="P89" s="11" t="str">
        <f>IF(D89="","",IF(D89="账户转账",M89,IFERROR(IF(VLOOKUP(D89,基础资料!$AK$5:$AM$204,3,FALSE)="1002",M89,VLOOKUP(D89,基础资料!$AK$5:$AM$204,3,FALSE)),"")))</f>
        <v/>
      </c>
      <c r="Q89" s="62" t="str">
        <f t="shared" si="4"/>
        <v/>
      </c>
      <c r="R89" s="11" t="str">
        <f t="shared" si="5"/>
        <v/>
      </c>
    </row>
    <row r="90" spans="1:18">
      <c r="A90" s="60"/>
      <c r="B90" s="11" t="str">
        <f t="shared" si="3"/>
        <v/>
      </c>
      <c r="C90" s="11" t="str">
        <f>IF(D90="","",IFERROR(INDEX(基础资料!$AJ$5:$AJ$204,MATCH(D90,基础资料!$AK$5:$AK$204,0)),""))</f>
        <v/>
      </c>
      <c r="D90" s="54"/>
      <c r="E90" s="54"/>
      <c r="F90" s="54"/>
      <c r="G90" s="54"/>
      <c r="H90" s="54"/>
      <c r="I90" s="54"/>
      <c r="J90" s="55"/>
      <c r="K90" s="55"/>
      <c r="L90" s="62" t="str">
        <f>IF(OR(A90="",E90=""),"",SUMIFS(期初数据!$C$5:$C$14,期初数据!$A$5:$A$14,E90)+SUMIFS($J$4:J90,$E$4:E90,E90)-SUMIFS($K$4:K90,$E$4:E90,E90)+SUMIFS($K$4:K90,$F$4:F90,E90,$D$4:D90,"账户转账"))</f>
        <v/>
      </c>
      <c r="M90" s="11" t="str">
        <f>IF(E90="","",IFERROR(VLOOKUP(E90,基础资料!$A$5:$C$204,3,FALSE),""))</f>
        <v/>
      </c>
      <c r="N90" s="11" t="str">
        <f>IF(D90="账户转账",IFERROR(VLOOKUP(F90,基础资料!$A$5:$C$204,3,FALSE),""),"")</f>
        <v/>
      </c>
      <c r="O90" s="11" t="str">
        <f>IF(D90="","",IF(D90="账户转账",N90,IFERROR(IF(VLOOKUP(D90,基础资料!$AK$5:$AM$204,2,FALSE)="1002",M90,VLOOKUP(D90,基础资料!$AK$5:$AM$204,2,FALSE)),"")))</f>
        <v/>
      </c>
      <c r="P90" s="11" t="str">
        <f>IF(D90="","",IF(D90="账户转账",M90,IFERROR(IF(VLOOKUP(D90,基础资料!$AK$5:$AM$204,3,FALSE)="1002",M90,VLOOKUP(D90,基础资料!$AK$5:$AM$204,3,FALSE)),"")))</f>
        <v/>
      </c>
      <c r="Q90" s="62" t="str">
        <f t="shared" si="4"/>
        <v/>
      </c>
      <c r="R90" s="11" t="str">
        <f t="shared" si="5"/>
        <v/>
      </c>
    </row>
    <row r="91" spans="1:18">
      <c r="A91" s="60"/>
      <c r="B91" s="11" t="str">
        <f t="shared" si="3"/>
        <v/>
      </c>
      <c r="C91" s="11" t="str">
        <f>IF(D91="","",IFERROR(INDEX(基础资料!$AJ$5:$AJ$204,MATCH(D91,基础资料!$AK$5:$AK$204,0)),""))</f>
        <v/>
      </c>
      <c r="D91" s="54"/>
      <c r="E91" s="54"/>
      <c r="F91" s="54"/>
      <c r="G91" s="54"/>
      <c r="H91" s="54"/>
      <c r="I91" s="54"/>
      <c r="J91" s="55"/>
      <c r="K91" s="55"/>
      <c r="L91" s="62" t="str">
        <f>IF(OR(A91="",E91=""),"",SUMIFS(期初数据!$C$5:$C$14,期初数据!$A$5:$A$14,E91)+SUMIFS($J$4:J91,$E$4:E91,E91)-SUMIFS($K$4:K91,$E$4:E91,E91)+SUMIFS($K$4:K91,$F$4:F91,E91,$D$4:D91,"账户转账"))</f>
        <v/>
      </c>
      <c r="M91" s="11" t="str">
        <f>IF(E91="","",IFERROR(VLOOKUP(E91,基础资料!$A$5:$C$204,3,FALSE),""))</f>
        <v/>
      </c>
      <c r="N91" s="11" t="str">
        <f>IF(D91="账户转账",IFERROR(VLOOKUP(F91,基础资料!$A$5:$C$204,3,FALSE),""),"")</f>
        <v/>
      </c>
      <c r="O91" s="11" t="str">
        <f>IF(D91="","",IF(D91="账户转账",N91,IFERROR(IF(VLOOKUP(D91,基础资料!$AK$5:$AM$204,2,FALSE)="1002",M91,VLOOKUP(D91,基础资料!$AK$5:$AM$204,2,FALSE)),"")))</f>
        <v/>
      </c>
      <c r="P91" s="11" t="str">
        <f>IF(D91="","",IF(D91="账户转账",M91,IFERROR(IF(VLOOKUP(D91,基础资料!$AK$5:$AM$204,3,FALSE)="1002",M91,VLOOKUP(D91,基础资料!$AK$5:$AM$204,3,FALSE)),"")))</f>
        <v/>
      </c>
      <c r="Q91" s="62" t="str">
        <f t="shared" si="4"/>
        <v/>
      </c>
      <c r="R91" s="11" t="str">
        <f t="shared" si="5"/>
        <v/>
      </c>
    </row>
    <row r="92" spans="1:18">
      <c r="A92" s="60"/>
      <c r="B92" s="11" t="str">
        <f t="shared" si="3"/>
        <v/>
      </c>
      <c r="C92" s="11" t="str">
        <f>IF(D92="","",IFERROR(INDEX(基础资料!$AJ$5:$AJ$204,MATCH(D92,基础资料!$AK$5:$AK$204,0)),""))</f>
        <v/>
      </c>
      <c r="D92" s="54"/>
      <c r="E92" s="54"/>
      <c r="F92" s="54"/>
      <c r="G92" s="54"/>
      <c r="H92" s="54"/>
      <c r="I92" s="54"/>
      <c r="J92" s="55"/>
      <c r="K92" s="55"/>
      <c r="L92" s="62" t="str">
        <f>IF(OR(A92="",E92=""),"",SUMIFS(期初数据!$C$5:$C$14,期初数据!$A$5:$A$14,E92)+SUMIFS($J$4:J92,$E$4:E92,E92)-SUMIFS($K$4:K92,$E$4:E92,E92)+SUMIFS($K$4:K92,$F$4:F92,E92,$D$4:D92,"账户转账"))</f>
        <v/>
      </c>
      <c r="M92" s="11" t="str">
        <f>IF(E92="","",IFERROR(VLOOKUP(E92,基础资料!$A$5:$C$204,3,FALSE),""))</f>
        <v/>
      </c>
      <c r="N92" s="11" t="str">
        <f>IF(D92="账户转账",IFERROR(VLOOKUP(F92,基础资料!$A$5:$C$204,3,FALSE),""),"")</f>
        <v/>
      </c>
      <c r="O92" s="11" t="str">
        <f>IF(D92="","",IF(D92="账户转账",N92,IFERROR(IF(VLOOKUP(D92,基础资料!$AK$5:$AM$204,2,FALSE)="1002",M92,VLOOKUP(D92,基础资料!$AK$5:$AM$204,2,FALSE)),"")))</f>
        <v/>
      </c>
      <c r="P92" s="11" t="str">
        <f>IF(D92="","",IF(D92="账户转账",M92,IFERROR(IF(VLOOKUP(D92,基础资料!$AK$5:$AM$204,3,FALSE)="1002",M92,VLOOKUP(D92,基础资料!$AK$5:$AM$204,3,FALSE)),"")))</f>
        <v/>
      </c>
      <c r="Q92" s="62" t="str">
        <f t="shared" si="4"/>
        <v/>
      </c>
      <c r="R92" s="11" t="str">
        <f t="shared" si="5"/>
        <v/>
      </c>
    </row>
    <row r="93" spans="1:18">
      <c r="A93" s="60"/>
      <c r="B93" s="11" t="str">
        <f t="shared" si="3"/>
        <v/>
      </c>
      <c r="C93" s="11" t="str">
        <f>IF(D93="","",IFERROR(INDEX(基础资料!$AJ$5:$AJ$204,MATCH(D93,基础资料!$AK$5:$AK$204,0)),""))</f>
        <v/>
      </c>
      <c r="D93" s="54"/>
      <c r="E93" s="54"/>
      <c r="F93" s="54"/>
      <c r="G93" s="54"/>
      <c r="H93" s="54"/>
      <c r="I93" s="54"/>
      <c r="J93" s="55"/>
      <c r="K93" s="55"/>
      <c r="L93" s="62" t="str">
        <f>IF(OR(A93="",E93=""),"",SUMIFS(期初数据!$C$5:$C$14,期初数据!$A$5:$A$14,E93)+SUMIFS($J$4:J93,$E$4:E93,E93)-SUMIFS($K$4:K93,$E$4:E93,E93)+SUMIFS($K$4:K93,$F$4:F93,E93,$D$4:D93,"账户转账"))</f>
        <v/>
      </c>
      <c r="M93" s="11" t="str">
        <f>IF(E93="","",IFERROR(VLOOKUP(E93,基础资料!$A$5:$C$204,3,FALSE),""))</f>
        <v/>
      </c>
      <c r="N93" s="11" t="str">
        <f>IF(D93="账户转账",IFERROR(VLOOKUP(F93,基础资料!$A$5:$C$204,3,FALSE),""),"")</f>
        <v/>
      </c>
      <c r="O93" s="11" t="str">
        <f>IF(D93="","",IF(D93="账户转账",N93,IFERROR(IF(VLOOKUP(D93,基础资料!$AK$5:$AM$204,2,FALSE)="1002",M93,VLOOKUP(D93,基础资料!$AK$5:$AM$204,2,FALSE)),"")))</f>
        <v/>
      </c>
      <c r="P93" s="11" t="str">
        <f>IF(D93="","",IF(D93="账户转账",M93,IFERROR(IF(VLOOKUP(D93,基础资料!$AK$5:$AM$204,3,FALSE)="1002",M93,VLOOKUP(D93,基础资料!$AK$5:$AM$204,3,FALSE)),"")))</f>
        <v/>
      </c>
      <c r="Q93" s="62" t="str">
        <f t="shared" si="4"/>
        <v/>
      </c>
      <c r="R93" s="11" t="str">
        <f t="shared" si="5"/>
        <v/>
      </c>
    </row>
    <row r="94" spans="1:18">
      <c r="A94" s="60"/>
      <c r="B94" s="11" t="str">
        <f t="shared" si="3"/>
        <v/>
      </c>
      <c r="C94" s="11" t="str">
        <f>IF(D94="","",IFERROR(INDEX(基础资料!$AJ$5:$AJ$204,MATCH(D94,基础资料!$AK$5:$AK$204,0)),""))</f>
        <v/>
      </c>
      <c r="D94" s="54"/>
      <c r="E94" s="54"/>
      <c r="F94" s="54"/>
      <c r="G94" s="54"/>
      <c r="H94" s="54"/>
      <c r="I94" s="54"/>
      <c r="J94" s="55"/>
      <c r="K94" s="55"/>
      <c r="L94" s="62" t="str">
        <f>IF(OR(A94="",E94=""),"",SUMIFS(期初数据!$C$5:$C$14,期初数据!$A$5:$A$14,E94)+SUMIFS($J$4:J94,$E$4:E94,E94)-SUMIFS($K$4:K94,$E$4:E94,E94)+SUMIFS($K$4:K94,$F$4:F94,E94,$D$4:D94,"账户转账"))</f>
        <v/>
      </c>
      <c r="M94" s="11" t="str">
        <f>IF(E94="","",IFERROR(VLOOKUP(E94,基础资料!$A$5:$C$204,3,FALSE),""))</f>
        <v/>
      </c>
      <c r="N94" s="11" t="str">
        <f>IF(D94="账户转账",IFERROR(VLOOKUP(F94,基础资料!$A$5:$C$204,3,FALSE),""),"")</f>
        <v/>
      </c>
      <c r="O94" s="11" t="str">
        <f>IF(D94="","",IF(D94="账户转账",N94,IFERROR(IF(VLOOKUP(D94,基础资料!$AK$5:$AM$204,2,FALSE)="1002",M94,VLOOKUP(D94,基础资料!$AK$5:$AM$204,2,FALSE)),"")))</f>
        <v/>
      </c>
      <c r="P94" s="11" t="str">
        <f>IF(D94="","",IF(D94="账户转账",M94,IFERROR(IF(VLOOKUP(D94,基础资料!$AK$5:$AM$204,3,FALSE)="1002",M94,VLOOKUP(D94,基础资料!$AK$5:$AM$204,3,FALSE)),"")))</f>
        <v/>
      </c>
      <c r="Q94" s="62" t="str">
        <f t="shared" si="4"/>
        <v/>
      </c>
      <c r="R94" s="11" t="str">
        <f t="shared" si="5"/>
        <v/>
      </c>
    </row>
    <row r="95" spans="1:18">
      <c r="A95" s="60"/>
      <c r="B95" s="11" t="str">
        <f t="shared" si="3"/>
        <v/>
      </c>
      <c r="C95" s="11" t="str">
        <f>IF(D95="","",IFERROR(INDEX(基础资料!$AJ$5:$AJ$204,MATCH(D95,基础资料!$AK$5:$AK$204,0)),""))</f>
        <v/>
      </c>
      <c r="D95" s="54"/>
      <c r="E95" s="54"/>
      <c r="F95" s="54"/>
      <c r="G95" s="54"/>
      <c r="H95" s="54"/>
      <c r="I95" s="54"/>
      <c r="J95" s="55"/>
      <c r="K95" s="55"/>
      <c r="L95" s="62" t="str">
        <f>IF(OR(A95="",E95=""),"",SUMIFS(期初数据!$C$5:$C$14,期初数据!$A$5:$A$14,E95)+SUMIFS($J$4:J95,$E$4:E95,E95)-SUMIFS($K$4:K95,$E$4:E95,E95)+SUMIFS($K$4:K95,$F$4:F95,E95,$D$4:D95,"账户转账"))</f>
        <v/>
      </c>
      <c r="M95" s="11" t="str">
        <f>IF(E95="","",IFERROR(VLOOKUP(E95,基础资料!$A$5:$C$204,3,FALSE),""))</f>
        <v/>
      </c>
      <c r="N95" s="11" t="str">
        <f>IF(D95="账户转账",IFERROR(VLOOKUP(F95,基础资料!$A$5:$C$204,3,FALSE),""),"")</f>
        <v/>
      </c>
      <c r="O95" s="11" t="str">
        <f>IF(D95="","",IF(D95="账户转账",N95,IFERROR(IF(VLOOKUP(D95,基础资料!$AK$5:$AM$204,2,FALSE)="1002",M95,VLOOKUP(D95,基础资料!$AK$5:$AM$204,2,FALSE)),"")))</f>
        <v/>
      </c>
      <c r="P95" s="11" t="str">
        <f>IF(D95="","",IF(D95="账户转账",M95,IFERROR(IF(VLOOKUP(D95,基础资料!$AK$5:$AM$204,3,FALSE)="1002",M95,VLOOKUP(D95,基础资料!$AK$5:$AM$204,3,FALSE)),"")))</f>
        <v/>
      </c>
      <c r="Q95" s="62" t="str">
        <f t="shared" si="4"/>
        <v/>
      </c>
      <c r="R95" s="11" t="str">
        <f t="shared" si="5"/>
        <v/>
      </c>
    </row>
    <row r="96" spans="1:18">
      <c r="A96" s="60"/>
      <c r="B96" s="11" t="str">
        <f t="shared" si="3"/>
        <v/>
      </c>
      <c r="C96" s="11" t="str">
        <f>IF(D96="","",IFERROR(INDEX(基础资料!$AJ$5:$AJ$204,MATCH(D96,基础资料!$AK$5:$AK$204,0)),""))</f>
        <v/>
      </c>
      <c r="D96" s="54"/>
      <c r="E96" s="54"/>
      <c r="F96" s="54"/>
      <c r="G96" s="54"/>
      <c r="H96" s="54"/>
      <c r="I96" s="54"/>
      <c r="J96" s="55"/>
      <c r="K96" s="55"/>
      <c r="L96" s="62" t="str">
        <f>IF(OR(A96="",E96=""),"",SUMIFS(期初数据!$C$5:$C$14,期初数据!$A$5:$A$14,E96)+SUMIFS($J$4:J96,$E$4:E96,E96)-SUMIFS($K$4:K96,$E$4:E96,E96)+SUMIFS($K$4:K96,$F$4:F96,E96,$D$4:D96,"账户转账"))</f>
        <v/>
      </c>
      <c r="M96" s="11" t="str">
        <f>IF(E96="","",IFERROR(VLOOKUP(E96,基础资料!$A$5:$C$204,3,FALSE),""))</f>
        <v/>
      </c>
      <c r="N96" s="11" t="str">
        <f>IF(D96="账户转账",IFERROR(VLOOKUP(F96,基础资料!$A$5:$C$204,3,FALSE),""),"")</f>
        <v/>
      </c>
      <c r="O96" s="11" t="str">
        <f>IF(D96="","",IF(D96="账户转账",N96,IFERROR(IF(VLOOKUP(D96,基础资料!$AK$5:$AM$204,2,FALSE)="1002",M96,VLOOKUP(D96,基础资料!$AK$5:$AM$204,2,FALSE)),"")))</f>
        <v/>
      </c>
      <c r="P96" s="11" t="str">
        <f>IF(D96="","",IF(D96="账户转账",M96,IFERROR(IF(VLOOKUP(D96,基础资料!$AK$5:$AM$204,3,FALSE)="1002",M96,VLOOKUP(D96,基础资料!$AK$5:$AM$204,3,FALSE)),"")))</f>
        <v/>
      </c>
      <c r="Q96" s="62" t="str">
        <f t="shared" si="4"/>
        <v/>
      </c>
      <c r="R96" s="11" t="str">
        <f t="shared" si="5"/>
        <v/>
      </c>
    </row>
    <row r="97" spans="1:18">
      <c r="A97" s="60"/>
      <c r="B97" s="11" t="str">
        <f t="shared" si="3"/>
        <v/>
      </c>
      <c r="C97" s="11" t="str">
        <f>IF(D97="","",IFERROR(INDEX(基础资料!$AJ$5:$AJ$204,MATCH(D97,基础资料!$AK$5:$AK$204,0)),""))</f>
        <v/>
      </c>
      <c r="D97" s="54"/>
      <c r="E97" s="54"/>
      <c r="F97" s="54"/>
      <c r="G97" s="54"/>
      <c r="H97" s="54"/>
      <c r="I97" s="54"/>
      <c r="J97" s="55"/>
      <c r="K97" s="55"/>
      <c r="L97" s="62" t="str">
        <f>IF(OR(A97="",E97=""),"",SUMIFS(期初数据!$C$5:$C$14,期初数据!$A$5:$A$14,E97)+SUMIFS($J$4:J97,$E$4:E97,E97)-SUMIFS($K$4:K97,$E$4:E97,E97)+SUMIFS($K$4:K97,$F$4:F97,E97,$D$4:D97,"账户转账"))</f>
        <v/>
      </c>
      <c r="M97" s="11" t="str">
        <f>IF(E97="","",IFERROR(VLOOKUP(E97,基础资料!$A$5:$C$204,3,FALSE),""))</f>
        <v/>
      </c>
      <c r="N97" s="11" t="str">
        <f>IF(D97="账户转账",IFERROR(VLOOKUP(F97,基础资料!$A$5:$C$204,3,FALSE),""),"")</f>
        <v/>
      </c>
      <c r="O97" s="11" t="str">
        <f>IF(D97="","",IF(D97="账户转账",N97,IFERROR(IF(VLOOKUP(D97,基础资料!$AK$5:$AM$204,2,FALSE)="1002",M97,VLOOKUP(D97,基础资料!$AK$5:$AM$204,2,FALSE)),"")))</f>
        <v/>
      </c>
      <c r="P97" s="11" t="str">
        <f>IF(D97="","",IF(D97="账户转账",M97,IFERROR(IF(VLOOKUP(D97,基础资料!$AK$5:$AM$204,3,FALSE)="1002",M97,VLOOKUP(D97,基础资料!$AK$5:$AM$204,3,FALSE)),"")))</f>
        <v/>
      </c>
      <c r="Q97" s="62" t="str">
        <f t="shared" si="4"/>
        <v/>
      </c>
      <c r="R97" s="11" t="str">
        <f t="shared" si="5"/>
        <v/>
      </c>
    </row>
    <row r="98" spans="1:18">
      <c r="A98" s="60"/>
      <c r="B98" s="11" t="str">
        <f t="shared" si="3"/>
        <v/>
      </c>
      <c r="C98" s="11" t="str">
        <f>IF(D98="","",IFERROR(INDEX(基础资料!$AJ$5:$AJ$204,MATCH(D98,基础资料!$AK$5:$AK$204,0)),""))</f>
        <v/>
      </c>
      <c r="D98" s="54"/>
      <c r="E98" s="54"/>
      <c r="F98" s="54"/>
      <c r="G98" s="54"/>
      <c r="H98" s="54"/>
      <c r="I98" s="54"/>
      <c r="J98" s="55"/>
      <c r="K98" s="55"/>
      <c r="L98" s="62" t="str">
        <f>IF(OR(A98="",E98=""),"",SUMIFS(期初数据!$C$5:$C$14,期初数据!$A$5:$A$14,E98)+SUMIFS($J$4:J98,$E$4:E98,E98)-SUMIFS($K$4:K98,$E$4:E98,E98)+SUMIFS($K$4:K98,$F$4:F98,E98,$D$4:D98,"账户转账"))</f>
        <v/>
      </c>
      <c r="M98" s="11" t="str">
        <f>IF(E98="","",IFERROR(VLOOKUP(E98,基础资料!$A$5:$C$204,3,FALSE),""))</f>
        <v/>
      </c>
      <c r="N98" s="11" t="str">
        <f>IF(D98="账户转账",IFERROR(VLOOKUP(F98,基础资料!$A$5:$C$204,3,FALSE),""),"")</f>
        <v/>
      </c>
      <c r="O98" s="11" t="str">
        <f>IF(D98="","",IF(D98="账户转账",N98,IFERROR(IF(VLOOKUP(D98,基础资料!$AK$5:$AM$204,2,FALSE)="1002",M98,VLOOKUP(D98,基础资料!$AK$5:$AM$204,2,FALSE)),"")))</f>
        <v/>
      </c>
      <c r="P98" s="11" t="str">
        <f>IF(D98="","",IF(D98="账户转账",M98,IFERROR(IF(VLOOKUP(D98,基础资料!$AK$5:$AM$204,3,FALSE)="1002",M98,VLOOKUP(D98,基础资料!$AK$5:$AM$204,3,FALSE)),"")))</f>
        <v/>
      </c>
      <c r="Q98" s="62" t="str">
        <f t="shared" si="4"/>
        <v/>
      </c>
      <c r="R98" s="11" t="str">
        <f t="shared" si="5"/>
        <v/>
      </c>
    </row>
    <row r="99" spans="1:18">
      <c r="A99" s="60"/>
      <c r="B99" s="11" t="str">
        <f t="shared" si="3"/>
        <v/>
      </c>
      <c r="C99" s="11" t="str">
        <f>IF(D99="","",IFERROR(INDEX(基础资料!$AJ$5:$AJ$204,MATCH(D99,基础资料!$AK$5:$AK$204,0)),""))</f>
        <v/>
      </c>
      <c r="D99" s="54"/>
      <c r="E99" s="54"/>
      <c r="F99" s="54"/>
      <c r="G99" s="54"/>
      <c r="H99" s="54"/>
      <c r="I99" s="54"/>
      <c r="J99" s="55"/>
      <c r="K99" s="55"/>
      <c r="L99" s="62" t="str">
        <f>IF(OR(A99="",E99=""),"",SUMIFS(期初数据!$C$5:$C$14,期初数据!$A$5:$A$14,E99)+SUMIFS($J$4:J99,$E$4:E99,E99)-SUMIFS($K$4:K99,$E$4:E99,E99)+SUMIFS($K$4:K99,$F$4:F99,E99,$D$4:D99,"账户转账"))</f>
        <v/>
      </c>
      <c r="M99" s="11" t="str">
        <f>IF(E99="","",IFERROR(VLOOKUP(E99,基础资料!$A$5:$C$204,3,FALSE),""))</f>
        <v/>
      </c>
      <c r="N99" s="11" t="str">
        <f>IF(D99="账户转账",IFERROR(VLOOKUP(F99,基础资料!$A$5:$C$204,3,FALSE),""),"")</f>
        <v/>
      </c>
      <c r="O99" s="11" t="str">
        <f>IF(D99="","",IF(D99="账户转账",N99,IFERROR(IF(VLOOKUP(D99,基础资料!$AK$5:$AM$204,2,FALSE)="1002",M99,VLOOKUP(D99,基础资料!$AK$5:$AM$204,2,FALSE)),"")))</f>
        <v/>
      </c>
      <c r="P99" s="11" t="str">
        <f>IF(D99="","",IF(D99="账户转账",M99,IFERROR(IF(VLOOKUP(D99,基础资料!$AK$5:$AM$204,3,FALSE)="1002",M99,VLOOKUP(D99,基础资料!$AK$5:$AM$204,3,FALSE)),"")))</f>
        <v/>
      </c>
      <c r="Q99" s="62" t="str">
        <f t="shared" si="4"/>
        <v/>
      </c>
      <c r="R99" s="11" t="str">
        <f t="shared" si="5"/>
        <v/>
      </c>
    </row>
    <row r="100" spans="1:18">
      <c r="A100" s="60"/>
      <c r="B100" s="11" t="str">
        <f t="shared" si="3"/>
        <v/>
      </c>
      <c r="C100" s="11" t="str">
        <f>IF(D100="","",IFERROR(INDEX(基础资料!$AJ$5:$AJ$204,MATCH(D100,基础资料!$AK$5:$AK$204,0)),""))</f>
        <v/>
      </c>
      <c r="D100" s="54"/>
      <c r="E100" s="54"/>
      <c r="F100" s="54"/>
      <c r="G100" s="54"/>
      <c r="H100" s="54"/>
      <c r="I100" s="54"/>
      <c r="J100" s="55"/>
      <c r="K100" s="55"/>
      <c r="L100" s="62" t="str">
        <f>IF(OR(A100="",E100=""),"",SUMIFS(期初数据!$C$5:$C$14,期初数据!$A$5:$A$14,E100)+SUMIFS($J$4:J100,$E$4:E100,E100)-SUMIFS($K$4:K100,$E$4:E100,E100)+SUMIFS($K$4:K100,$F$4:F100,E100,$D$4:D100,"账户转账"))</f>
        <v/>
      </c>
      <c r="M100" s="11" t="str">
        <f>IF(E100="","",IFERROR(VLOOKUP(E100,基础资料!$A$5:$C$204,3,FALSE),""))</f>
        <v/>
      </c>
      <c r="N100" s="11" t="str">
        <f>IF(D100="账户转账",IFERROR(VLOOKUP(F100,基础资料!$A$5:$C$204,3,FALSE),""),"")</f>
        <v/>
      </c>
      <c r="O100" s="11" t="str">
        <f>IF(D100="","",IF(D100="账户转账",N100,IFERROR(IF(VLOOKUP(D100,基础资料!$AK$5:$AM$204,2,FALSE)="1002",M100,VLOOKUP(D100,基础资料!$AK$5:$AM$204,2,FALSE)),"")))</f>
        <v/>
      </c>
      <c r="P100" s="11" t="str">
        <f>IF(D100="","",IF(D100="账户转账",M100,IFERROR(IF(VLOOKUP(D100,基础资料!$AK$5:$AM$204,3,FALSE)="1002",M100,VLOOKUP(D100,基础资料!$AK$5:$AM$204,3,FALSE)),"")))</f>
        <v/>
      </c>
      <c r="Q100" s="62" t="str">
        <f t="shared" si="4"/>
        <v/>
      </c>
      <c r="R100" s="11" t="str">
        <f t="shared" si="5"/>
        <v/>
      </c>
    </row>
    <row r="101" spans="1:18">
      <c r="A101" s="60"/>
      <c r="B101" s="11" t="str">
        <f t="shared" si="3"/>
        <v/>
      </c>
      <c r="C101" s="11" t="str">
        <f>IF(D101="","",IFERROR(INDEX(基础资料!$AJ$5:$AJ$204,MATCH(D101,基础资料!$AK$5:$AK$204,0)),""))</f>
        <v/>
      </c>
      <c r="D101" s="54"/>
      <c r="E101" s="54"/>
      <c r="F101" s="54"/>
      <c r="G101" s="54"/>
      <c r="H101" s="54"/>
      <c r="I101" s="54"/>
      <c r="J101" s="55"/>
      <c r="K101" s="55"/>
      <c r="L101" s="62" t="str">
        <f>IF(OR(A101="",E101=""),"",SUMIFS(期初数据!$C$5:$C$14,期初数据!$A$5:$A$14,E101)+SUMIFS($J$4:J101,$E$4:E101,E101)-SUMIFS($K$4:K101,$E$4:E101,E101)+SUMIFS($K$4:K101,$F$4:F101,E101,$D$4:D101,"账户转账"))</f>
        <v/>
      </c>
      <c r="M101" s="11" t="str">
        <f>IF(E101="","",IFERROR(VLOOKUP(E101,基础资料!$A$5:$C$204,3,FALSE),""))</f>
        <v/>
      </c>
      <c r="N101" s="11" t="str">
        <f>IF(D101="账户转账",IFERROR(VLOOKUP(F101,基础资料!$A$5:$C$204,3,FALSE),""),"")</f>
        <v/>
      </c>
      <c r="O101" s="11" t="str">
        <f>IF(D101="","",IF(D101="账户转账",N101,IFERROR(IF(VLOOKUP(D101,基础资料!$AK$5:$AM$204,2,FALSE)="1002",M101,VLOOKUP(D101,基础资料!$AK$5:$AM$204,2,FALSE)),"")))</f>
        <v/>
      </c>
      <c r="P101" s="11" t="str">
        <f>IF(D101="","",IF(D101="账户转账",M101,IFERROR(IF(VLOOKUP(D101,基础资料!$AK$5:$AM$204,3,FALSE)="1002",M101,VLOOKUP(D101,基础资料!$AK$5:$AM$204,3,FALSE)),"")))</f>
        <v/>
      </c>
      <c r="Q101" s="62" t="str">
        <f t="shared" si="4"/>
        <v/>
      </c>
      <c r="R101" s="11" t="str">
        <f t="shared" si="5"/>
        <v/>
      </c>
    </row>
    <row r="102" spans="1:18">
      <c r="A102" s="60"/>
      <c r="B102" s="11" t="str">
        <f t="shared" si="3"/>
        <v/>
      </c>
      <c r="C102" s="11" t="str">
        <f>IF(D102="","",IFERROR(INDEX(基础资料!$AJ$5:$AJ$204,MATCH(D102,基础资料!$AK$5:$AK$204,0)),""))</f>
        <v/>
      </c>
      <c r="D102" s="54"/>
      <c r="E102" s="54"/>
      <c r="F102" s="54"/>
      <c r="G102" s="54"/>
      <c r="H102" s="54"/>
      <c r="I102" s="54"/>
      <c r="J102" s="55"/>
      <c r="K102" s="55"/>
      <c r="L102" s="62" t="str">
        <f>IF(OR(A102="",E102=""),"",SUMIFS(期初数据!$C$5:$C$14,期初数据!$A$5:$A$14,E102)+SUMIFS($J$4:J102,$E$4:E102,E102)-SUMIFS($K$4:K102,$E$4:E102,E102)+SUMIFS($K$4:K102,$F$4:F102,E102,$D$4:D102,"账户转账"))</f>
        <v/>
      </c>
      <c r="M102" s="11" t="str">
        <f>IF(E102="","",IFERROR(VLOOKUP(E102,基础资料!$A$5:$C$204,3,FALSE),""))</f>
        <v/>
      </c>
      <c r="N102" s="11" t="str">
        <f>IF(D102="账户转账",IFERROR(VLOOKUP(F102,基础资料!$A$5:$C$204,3,FALSE),""),"")</f>
        <v/>
      </c>
      <c r="O102" s="11" t="str">
        <f>IF(D102="","",IF(D102="账户转账",N102,IFERROR(IF(VLOOKUP(D102,基础资料!$AK$5:$AM$204,2,FALSE)="1002",M102,VLOOKUP(D102,基础资料!$AK$5:$AM$204,2,FALSE)),"")))</f>
        <v/>
      </c>
      <c r="P102" s="11" t="str">
        <f>IF(D102="","",IF(D102="账户转账",M102,IFERROR(IF(VLOOKUP(D102,基础资料!$AK$5:$AM$204,3,FALSE)="1002",M102,VLOOKUP(D102,基础资料!$AK$5:$AM$204,3,FALSE)),"")))</f>
        <v/>
      </c>
      <c r="Q102" s="62" t="str">
        <f t="shared" si="4"/>
        <v/>
      </c>
      <c r="R102" s="11" t="str">
        <f t="shared" si="5"/>
        <v/>
      </c>
    </row>
    <row r="103" spans="1:18">
      <c r="A103" s="60"/>
      <c r="B103" s="11" t="str">
        <f t="shared" si="3"/>
        <v/>
      </c>
      <c r="C103" s="11" t="str">
        <f>IF(D103="","",IFERROR(INDEX(基础资料!$AJ$5:$AJ$204,MATCH(D103,基础资料!$AK$5:$AK$204,0)),""))</f>
        <v/>
      </c>
      <c r="D103" s="54"/>
      <c r="E103" s="54"/>
      <c r="F103" s="54"/>
      <c r="G103" s="54"/>
      <c r="H103" s="54"/>
      <c r="I103" s="54"/>
      <c r="J103" s="55"/>
      <c r="K103" s="55"/>
      <c r="L103" s="62" t="str">
        <f>IF(OR(A103="",E103=""),"",SUMIFS(期初数据!$C$5:$C$14,期初数据!$A$5:$A$14,E103)+SUMIFS($J$4:J103,$E$4:E103,E103)-SUMIFS($K$4:K103,$E$4:E103,E103)+SUMIFS($K$4:K103,$F$4:F103,E103,$D$4:D103,"账户转账"))</f>
        <v/>
      </c>
      <c r="M103" s="11" t="str">
        <f>IF(E103="","",IFERROR(VLOOKUP(E103,基础资料!$A$5:$C$204,3,FALSE),""))</f>
        <v/>
      </c>
      <c r="N103" s="11" t="str">
        <f>IF(D103="账户转账",IFERROR(VLOOKUP(F103,基础资料!$A$5:$C$204,3,FALSE),""),"")</f>
        <v/>
      </c>
      <c r="O103" s="11" t="str">
        <f>IF(D103="","",IF(D103="账户转账",N103,IFERROR(IF(VLOOKUP(D103,基础资料!$AK$5:$AM$204,2,FALSE)="1002",M103,VLOOKUP(D103,基础资料!$AK$5:$AM$204,2,FALSE)),"")))</f>
        <v/>
      </c>
      <c r="P103" s="11" t="str">
        <f>IF(D103="","",IF(D103="账户转账",M103,IFERROR(IF(VLOOKUP(D103,基础资料!$AK$5:$AM$204,3,FALSE)="1002",M103,VLOOKUP(D103,基础资料!$AK$5:$AM$204,3,FALSE)),"")))</f>
        <v/>
      </c>
      <c r="Q103" s="62" t="str">
        <f t="shared" si="4"/>
        <v/>
      </c>
      <c r="R103" s="11" t="str">
        <f t="shared" si="5"/>
        <v/>
      </c>
    </row>
    <row r="104" spans="1:18">
      <c r="A104" s="5"/>
      <c r="B104" t="str">
        <f t="shared" si="3"/>
        <v/>
      </c>
      <c r="C104" t="str">
        <f>IF(D104="","",IFERROR(INDEX(基础资料!$AJ$5:$AJ$204,MATCH(D104,基础资料!$AK$5:$AK$204,0)),""))</f>
        <v/>
      </c>
      <c r="J104" s="17"/>
      <c r="K104" s="17"/>
      <c r="L104" s="17" t="str">
        <f>IF(OR(A104="",E104=""),"",SUMIFS(期初数据!$C$5:$C$14,期初数据!$A$5:$A$14,E104)+SUMIFS($J$4:J104,$E$4:E104,E104)-SUMIFS($K$4:K104,$E$4:E104,E104)+SUMIFS($K$4:K104,$F$4:F104,E104,$D$4:D104,"账户转账"))</f>
        <v/>
      </c>
      <c r="M104" t="str">
        <f>IF(E104="","",IFERROR(VLOOKUP(E104,基础资料!$A$5:$C$204,3,FALSE),""))</f>
        <v/>
      </c>
      <c r="N104" t="str">
        <f>IF(D104="账户转账",IFERROR(VLOOKUP(F104,基础资料!$A$5:$C$204,3,FALSE),""),"")</f>
        <v/>
      </c>
      <c r="O104" t="str">
        <f>IF(D104="","",IF(D104="账户转账",N104,IFERROR(IF(VLOOKUP(D104,基础资料!$AK$5:$AM$204,2,FALSE)="1002",M104,VLOOKUP(D104,基础资料!$AK$5:$AM$204,2,FALSE)),"")))</f>
        <v/>
      </c>
      <c r="P104" t="str">
        <f>IF(D104="","",IF(D104="账户转账",M104,IFERROR(IF(VLOOKUP(D104,基础资料!$AK$5:$AM$204,3,FALSE)="1002",M104,VLOOKUP(D104,基础资料!$AK$5:$AM$204,3,FALSE)),"")))</f>
        <v/>
      </c>
      <c r="Q104" s="17" t="str">
        <f t="shared" si="4"/>
        <v/>
      </c>
      <c r="R104" t="str">
        <f t="shared" si="5"/>
        <v/>
      </c>
    </row>
    <row r="105" spans="1:18">
      <c r="A105" s="5"/>
      <c r="B105" t="str">
        <f t="shared" si="3"/>
        <v/>
      </c>
      <c r="C105" t="str">
        <f>IF(D105="","",IFERROR(INDEX(基础资料!$AJ$5:$AJ$204,MATCH(D105,基础资料!$AK$5:$AK$204,0)),""))</f>
        <v/>
      </c>
      <c r="J105" s="17"/>
      <c r="K105" s="17"/>
      <c r="L105" s="17" t="str">
        <f>IF(OR(A105="",E105=""),"",SUMIFS(期初数据!$C$5:$C$14,期初数据!$A$5:$A$14,E105)+SUMIFS($J$4:J105,$E$4:E105,E105)-SUMIFS($K$4:K105,$E$4:E105,E105)+SUMIFS($K$4:K105,$F$4:F105,E105,$D$4:D105,"账户转账"))</f>
        <v/>
      </c>
      <c r="M105" t="str">
        <f>IF(E105="","",IFERROR(VLOOKUP(E105,基础资料!$A$5:$C$204,3,FALSE),""))</f>
        <v/>
      </c>
      <c r="N105" t="str">
        <f>IF(D105="账户转账",IFERROR(VLOOKUP(F105,基础资料!$A$5:$C$204,3,FALSE),""),"")</f>
        <v/>
      </c>
      <c r="O105" t="str">
        <f>IF(D105="","",IF(D105="账户转账",N105,IFERROR(IF(VLOOKUP(D105,基础资料!$AK$5:$AM$204,2,FALSE)="1002",M105,VLOOKUP(D105,基础资料!$AK$5:$AM$204,2,FALSE)),"")))</f>
        <v/>
      </c>
      <c r="P105" t="str">
        <f>IF(D105="","",IF(D105="账户转账",M105,IFERROR(IF(VLOOKUP(D105,基础资料!$AK$5:$AM$204,3,FALSE)="1002",M105,VLOOKUP(D105,基础资料!$AK$5:$AM$204,3,FALSE)),"")))</f>
        <v/>
      </c>
      <c r="Q105" s="17" t="str">
        <f t="shared" si="4"/>
        <v/>
      </c>
      <c r="R105" t="str">
        <f t="shared" si="5"/>
        <v/>
      </c>
    </row>
    <row r="106" spans="1:18">
      <c r="A106" s="5"/>
      <c r="B106" t="str">
        <f t="shared" si="3"/>
        <v/>
      </c>
      <c r="C106" t="str">
        <f>IF(D106="","",IFERROR(INDEX(基础资料!$AJ$5:$AJ$204,MATCH(D106,基础资料!$AK$5:$AK$204,0)),""))</f>
        <v/>
      </c>
      <c r="J106" s="17"/>
      <c r="K106" s="17"/>
      <c r="L106" s="17" t="str">
        <f>IF(OR(A106="",E106=""),"",SUMIFS(期初数据!$C$5:$C$14,期初数据!$A$5:$A$14,E106)+SUMIFS($J$4:J106,$E$4:E106,E106)-SUMIFS($K$4:K106,$E$4:E106,E106)+SUMIFS($K$4:K106,$F$4:F106,E106,$D$4:D106,"账户转账"))</f>
        <v/>
      </c>
      <c r="M106" t="str">
        <f>IF(E106="","",IFERROR(VLOOKUP(E106,基础资料!$A$5:$C$204,3,FALSE),""))</f>
        <v/>
      </c>
      <c r="N106" t="str">
        <f>IF(D106="账户转账",IFERROR(VLOOKUP(F106,基础资料!$A$5:$C$204,3,FALSE),""),"")</f>
        <v/>
      </c>
      <c r="O106" t="str">
        <f>IF(D106="","",IF(D106="账户转账",N106,IFERROR(IF(VLOOKUP(D106,基础资料!$AK$5:$AM$204,2,FALSE)="1002",M106,VLOOKUP(D106,基础资料!$AK$5:$AM$204,2,FALSE)),"")))</f>
        <v/>
      </c>
      <c r="P106" t="str">
        <f>IF(D106="","",IF(D106="账户转账",M106,IFERROR(IF(VLOOKUP(D106,基础资料!$AK$5:$AM$204,3,FALSE)="1002",M106,VLOOKUP(D106,基础资料!$AK$5:$AM$204,3,FALSE)),"")))</f>
        <v/>
      </c>
      <c r="Q106" s="17" t="str">
        <f t="shared" si="4"/>
        <v/>
      </c>
      <c r="R106" t="str">
        <f t="shared" si="5"/>
        <v/>
      </c>
    </row>
    <row r="107" spans="1:18">
      <c r="A107" s="5"/>
      <c r="B107" t="str">
        <f t="shared" si="3"/>
        <v/>
      </c>
      <c r="C107" t="str">
        <f>IF(D107="","",IFERROR(INDEX(基础资料!$AJ$5:$AJ$204,MATCH(D107,基础资料!$AK$5:$AK$204,0)),""))</f>
        <v/>
      </c>
      <c r="J107" s="17"/>
      <c r="K107" s="17"/>
      <c r="L107" s="17" t="str">
        <f>IF(OR(A107="",E107=""),"",SUMIFS(期初数据!$C$5:$C$14,期初数据!$A$5:$A$14,E107)+SUMIFS($J$4:J107,$E$4:E107,E107)-SUMIFS($K$4:K107,$E$4:E107,E107)+SUMIFS($K$4:K107,$F$4:F107,E107,$D$4:D107,"账户转账"))</f>
        <v/>
      </c>
      <c r="M107" t="str">
        <f>IF(E107="","",IFERROR(VLOOKUP(E107,基础资料!$A$5:$C$204,3,FALSE),""))</f>
        <v/>
      </c>
      <c r="N107" t="str">
        <f>IF(D107="账户转账",IFERROR(VLOOKUP(F107,基础资料!$A$5:$C$204,3,FALSE),""),"")</f>
        <v/>
      </c>
      <c r="O107" t="str">
        <f>IF(D107="","",IF(D107="账户转账",N107,IFERROR(IF(VLOOKUP(D107,基础资料!$AK$5:$AM$204,2,FALSE)="1002",M107,VLOOKUP(D107,基础资料!$AK$5:$AM$204,2,FALSE)),"")))</f>
        <v/>
      </c>
      <c r="P107" t="str">
        <f>IF(D107="","",IF(D107="账户转账",M107,IFERROR(IF(VLOOKUP(D107,基础资料!$AK$5:$AM$204,3,FALSE)="1002",M107,VLOOKUP(D107,基础资料!$AK$5:$AM$204,3,FALSE)),"")))</f>
        <v/>
      </c>
      <c r="Q107" s="17" t="str">
        <f t="shared" si="4"/>
        <v/>
      </c>
      <c r="R107" t="str">
        <f t="shared" si="5"/>
        <v/>
      </c>
    </row>
    <row r="108" spans="1:18">
      <c r="A108" s="5"/>
      <c r="B108" t="str">
        <f t="shared" si="3"/>
        <v/>
      </c>
      <c r="C108" t="str">
        <f>IF(D108="","",IFERROR(INDEX(基础资料!$AJ$5:$AJ$204,MATCH(D108,基础资料!$AK$5:$AK$204,0)),""))</f>
        <v/>
      </c>
      <c r="J108" s="17"/>
      <c r="K108" s="17"/>
      <c r="L108" s="17" t="str">
        <f>IF(OR(A108="",E108=""),"",SUMIFS(期初数据!$C$5:$C$14,期初数据!$A$5:$A$14,E108)+SUMIFS($J$4:J108,$E$4:E108,E108)-SUMIFS($K$4:K108,$E$4:E108,E108)+SUMIFS($K$4:K108,$F$4:F108,E108,$D$4:D108,"账户转账"))</f>
        <v/>
      </c>
      <c r="M108" t="str">
        <f>IF(E108="","",IFERROR(VLOOKUP(E108,基础资料!$A$5:$C$204,3,FALSE),""))</f>
        <v/>
      </c>
      <c r="N108" t="str">
        <f>IF(D108="账户转账",IFERROR(VLOOKUP(F108,基础资料!$A$5:$C$204,3,FALSE),""),"")</f>
        <v/>
      </c>
      <c r="O108" t="str">
        <f>IF(D108="","",IF(D108="账户转账",N108,IFERROR(IF(VLOOKUP(D108,基础资料!$AK$5:$AM$204,2,FALSE)="1002",M108,VLOOKUP(D108,基础资料!$AK$5:$AM$204,2,FALSE)),"")))</f>
        <v/>
      </c>
      <c r="P108" t="str">
        <f>IF(D108="","",IF(D108="账户转账",M108,IFERROR(IF(VLOOKUP(D108,基础资料!$AK$5:$AM$204,3,FALSE)="1002",M108,VLOOKUP(D108,基础资料!$AK$5:$AM$204,3,FALSE)),"")))</f>
        <v/>
      </c>
      <c r="Q108" s="17" t="str">
        <f t="shared" si="4"/>
        <v/>
      </c>
      <c r="R108" t="str">
        <f t="shared" si="5"/>
        <v/>
      </c>
    </row>
    <row r="109" spans="1:18">
      <c r="A109" s="5"/>
      <c r="B109" t="str">
        <f t="shared" si="3"/>
        <v/>
      </c>
      <c r="C109" t="str">
        <f>IF(D109="","",IFERROR(INDEX(基础资料!$AJ$5:$AJ$204,MATCH(D109,基础资料!$AK$5:$AK$204,0)),""))</f>
        <v/>
      </c>
      <c r="J109" s="17"/>
      <c r="K109" s="17"/>
      <c r="L109" s="17" t="str">
        <f>IF(OR(A109="",E109=""),"",SUMIFS(期初数据!$C$5:$C$14,期初数据!$A$5:$A$14,E109)+SUMIFS($J$4:J109,$E$4:E109,E109)-SUMIFS($K$4:K109,$E$4:E109,E109)+SUMIFS($K$4:K109,$F$4:F109,E109,$D$4:D109,"账户转账"))</f>
        <v/>
      </c>
      <c r="M109" t="str">
        <f>IF(E109="","",IFERROR(VLOOKUP(E109,基础资料!$A$5:$C$204,3,FALSE),""))</f>
        <v/>
      </c>
      <c r="N109" t="str">
        <f>IF(D109="账户转账",IFERROR(VLOOKUP(F109,基础资料!$A$5:$C$204,3,FALSE),""),"")</f>
        <v/>
      </c>
      <c r="O109" t="str">
        <f>IF(D109="","",IF(D109="账户转账",N109,IFERROR(IF(VLOOKUP(D109,基础资料!$AK$5:$AM$204,2,FALSE)="1002",M109,VLOOKUP(D109,基础资料!$AK$5:$AM$204,2,FALSE)),"")))</f>
        <v/>
      </c>
      <c r="P109" t="str">
        <f>IF(D109="","",IF(D109="账户转账",M109,IFERROR(IF(VLOOKUP(D109,基础资料!$AK$5:$AM$204,3,FALSE)="1002",M109,VLOOKUP(D109,基础资料!$AK$5:$AM$204,3,FALSE)),"")))</f>
        <v/>
      </c>
      <c r="Q109" s="17" t="str">
        <f t="shared" si="4"/>
        <v/>
      </c>
      <c r="R109" t="str">
        <f t="shared" si="5"/>
        <v/>
      </c>
    </row>
    <row r="110" spans="1:18">
      <c r="A110" s="5"/>
      <c r="B110" t="str">
        <f t="shared" si="3"/>
        <v/>
      </c>
      <c r="C110" t="str">
        <f>IF(D110="","",IFERROR(INDEX(基础资料!$AJ$5:$AJ$204,MATCH(D110,基础资料!$AK$5:$AK$204,0)),""))</f>
        <v/>
      </c>
      <c r="J110" s="17"/>
      <c r="K110" s="17"/>
      <c r="L110" s="17" t="str">
        <f>IF(OR(A110="",E110=""),"",SUMIFS(期初数据!$C$5:$C$14,期初数据!$A$5:$A$14,E110)+SUMIFS($J$4:J110,$E$4:E110,E110)-SUMIFS($K$4:K110,$E$4:E110,E110)+SUMIFS($K$4:K110,$F$4:F110,E110,$D$4:D110,"账户转账"))</f>
        <v/>
      </c>
      <c r="M110" t="str">
        <f>IF(E110="","",IFERROR(VLOOKUP(E110,基础资料!$A$5:$C$204,3,FALSE),""))</f>
        <v/>
      </c>
      <c r="N110" t="str">
        <f>IF(D110="账户转账",IFERROR(VLOOKUP(F110,基础资料!$A$5:$C$204,3,FALSE),""),"")</f>
        <v/>
      </c>
      <c r="O110" t="str">
        <f>IF(D110="","",IF(D110="账户转账",N110,IFERROR(IF(VLOOKUP(D110,基础资料!$AK$5:$AM$204,2,FALSE)="1002",M110,VLOOKUP(D110,基础资料!$AK$5:$AM$204,2,FALSE)),"")))</f>
        <v/>
      </c>
      <c r="P110" t="str">
        <f>IF(D110="","",IF(D110="账户转账",M110,IFERROR(IF(VLOOKUP(D110,基础资料!$AK$5:$AM$204,3,FALSE)="1002",M110,VLOOKUP(D110,基础资料!$AK$5:$AM$204,3,FALSE)),"")))</f>
        <v/>
      </c>
      <c r="Q110" s="17" t="str">
        <f t="shared" si="4"/>
        <v/>
      </c>
      <c r="R110" t="str">
        <f t="shared" si="5"/>
        <v/>
      </c>
    </row>
    <row r="111" spans="1:18">
      <c r="A111" s="5"/>
      <c r="B111" t="str">
        <f t="shared" si="3"/>
        <v/>
      </c>
      <c r="C111" t="str">
        <f>IF(D111="","",IFERROR(INDEX(基础资料!$AJ$5:$AJ$204,MATCH(D111,基础资料!$AK$5:$AK$204,0)),""))</f>
        <v/>
      </c>
      <c r="J111" s="17"/>
      <c r="K111" s="17"/>
      <c r="L111" s="17" t="str">
        <f>IF(OR(A111="",E111=""),"",SUMIFS(期初数据!$C$5:$C$14,期初数据!$A$5:$A$14,E111)+SUMIFS($J$4:J111,$E$4:E111,E111)-SUMIFS($K$4:K111,$E$4:E111,E111)+SUMIFS($K$4:K111,$F$4:F111,E111,$D$4:D111,"账户转账"))</f>
        <v/>
      </c>
      <c r="M111" t="str">
        <f>IF(E111="","",IFERROR(VLOOKUP(E111,基础资料!$A$5:$C$204,3,FALSE),""))</f>
        <v/>
      </c>
      <c r="N111" t="str">
        <f>IF(D111="账户转账",IFERROR(VLOOKUP(F111,基础资料!$A$5:$C$204,3,FALSE),""),"")</f>
        <v/>
      </c>
      <c r="O111" t="str">
        <f>IF(D111="","",IF(D111="账户转账",N111,IFERROR(IF(VLOOKUP(D111,基础资料!$AK$5:$AM$204,2,FALSE)="1002",M111,VLOOKUP(D111,基础资料!$AK$5:$AM$204,2,FALSE)),"")))</f>
        <v/>
      </c>
      <c r="P111" t="str">
        <f>IF(D111="","",IF(D111="账户转账",M111,IFERROR(IF(VLOOKUP(D111,基础资料!$AK$5:$AM$204,3,FALSE)="1002",M111,VLOOKUP(D111,基础资料!$AK$5:$AM$204,3,FALSE)),"")))</f>
        <v/>
      </c>
      <c r="Q111" s="17" t="str">
        <f t="shared" si="4"/>
        <v/>
      </c>
      <c r="R111" t="str">
        <f t="shared" si="5"/>
        <v/>
      </c>
    </row>
    <row r="112" spans="1:18">
      <c r="A112" s="5"/>
      <c r="B112" t="str">
        <f t="shared" si="3"/>
        <v/>
      </c>
      <c r="C112" t="str">
        <f>IF(D112="","",IFERROR(INDEX(基础资料!$AJ$5:$AJ$204,MATCH(D112,基础资料!$AK$5:$AK$204,0)),""))</f>
        <v/>
      </c>
      <c r="J112" s="17"/>
      <c r="K112" s="17"/>
      <c r="L112" s="17" t="str">
        <f>IF(OR(A112="",E112=""),"",SUMIFS(期初数据!$C$5:$C$14,期初数据!$A$5:$A$14,E112)+SUMIFS($J$4:J112,$E$4:E112,E112)-SUMIFS($K$4:K112,$E$4:E112,E112)+SUMIFS($K$4:K112,$F$4:F112,E112,$D$4:D112,"账户转账"))</f>
        <v/>
      </c>
      <c r="M112" t="str">
        <f>IF(E112="","",IFERROR(VLOOKUP(E112,基础资料!$A$5:$C$204,3,FALSE),""))</f>
        <v/>
      </c>
      <c r="N112" t="str">
        <f>IF(D112="账户转账",IFERROR(VLOOKUP(F112,基础资料!$A$5:$C$204,3,FALSE),""),"")</f>
        <v/>
      </c>
      <c r="O112" t="str">
        <f>IF(D112="","",IF(D112="账户转账",N112,IFERROR(IF(VLOOKUP(D112,基础资料!$AK$5:$AM$204,2,FALSE)="1002",M112,VLOOKUP(D112,基础资料!$AK$5:$AM$204,2,FALSE)),"")))</f>
        <v/>
      </c>
      <c r="P112" t="str">
        <f>IF(D112="","",IF(D112="账户转账",M112,IFERROR(IF(VLOOKUP(D112,基础资料!$AK$5:$AM$204,3,FALSE)="1002",M112,VLOOKUP(D112,基础资料!$AK$5:$AM$204,3,FALSE)),"")))</f>
        <v/>
      </c>
      <c r="Q112" s="17" t="str">
        <f t="shared" si="4"/>
        <v/>
      </c>
      <c r="R112" t="str">
        <f t="shared" si="5"/>
        <v/>
      </c>
    </row>
    <row r="113" spans="1:18">
      <c r="A113" s="5"/>
      <c r="B113" t="str">
        <f t="shared" si="3"/>
        <v/>
      </c>
      <c r="C113" t="str">
        <f>IF(D113="","",IFERROR(INDEX(基础资料!$AJ$5:$AJ$204,MATCH(D113,基础资料!$AK$5:$AK$204,0)),""))</f>
        <v/>
      </c>
      <c r="J113" s="17"/>
      <c r="K113" s="17"/>
      <c r="L113" s="17" t="str">
        <f>IF(OR(A113="",E113=""),"",SUMIFS(期初数据!$C$5:$C$14,期初数据!$A$5:$A$14,E113)+SUMIFS($J$4:J113,$E$4:E113,E113)-SUMIFS($K$4:K113,$E$4:E113,E113)+SUMIFS($K$4:K113,$F$4:F113,E113,$D$4:D113,"账户转账"))</f>
        <v/>
      </c>
      <c r="M113" t="str">
        <f>IF(E113="","",IFERROR(VLOOKUP(E113,基础资料!$A$5:$C$204,3,FALSE),""))</f>
        <v/>
      </c>
      <c r="N113" t="str">
        <f>IF(D113="账户转账",IFERROR(VLOOKUP(F113,基础资料!$A$5:$C$204,3,FALSE),""),"")</f>
        <v/>
      </c>
      <c r="O113" t="str">
        <f>IF(D113="","",IF(D113="账户转账",N113,IFERROR(IF(VLOOKUP(D113,基础资料!$AK$5:$AM$204,2,FALSE)="1002",M113,VLOOKUP(D113,基础资料!$AK$5:$AM$204,2,FALSE)),"")))</f>
        <v/>
      </c>
      <c r="P113" t="str">
        <f>IF(D113="","",IF(D113="账户转账",M113,IFERROR(IF(VLOOKUP(D113,基础资料!$AK$5:$AM$204,3,FALSE)="1002",M113,VLOOKUP(D113,基础资料!$AK$5:$AM$204,3,FALSE)),"")))</f>
        <v/>
      </c>
      <c r="Q113" s="17" t="str">
        <f t="shared" si="4"/>
        <v/>
      </c>
      <c r="R113" t="str">
        <f t="shared" si="5"/>
        <v/>
      </c>
    </row>
    <row r="114" spans="1:18">
      <c r="A114" s="5"/>
      <c r="B114" t="str">
        <f t="shared" si="3"/>
        <v/>
      </c>
      <c r="C114" t="str">
        <f>IF(D114="","",IFERROR(INDEX(基础资料!$AJ$5:$AJ$204,MATCH(D114,基础资料!$AK$5:$AK$204,0)),""))</f>
        <v/>
      </c>
      <c r="J114" s="17"/>
      <c r="K114" s="17"/>
      <c r="L114" s="17" t="str">
        <f>IF(OR(A114="",E114=""),"",SUMIFS(期初数据!$C$5:$C$14,期初数据!$A$5:$A$14,E114)+SUMIFS($J$4:J114,$E$4:E114,E114)-SUMIFS($K$4:K114,$E$4:E114,E114)+SUMIFS($K$4:K114,$F$4:F114,E114,$D$4:D114,"账户转账"))</f>
        <v/>
      </c>
      <c r="M114" t="str">
        <f>IF(E114="","",IFERROR(VLOOKUP(E114,基础资料!$A$5:$C$204,3,FALSE),""))</f>
        <v/>
      </c>
      <c r="N114" t="str">
        <f>IF(D114="账户转账",IFERROR(VLOOKUP(F114,基础资料!$A$5:$C$204,3,FALSE),""),"")</f>
        <v/>
      </c>
      <c r="O114" t="str">
        <f>IF(D114="","",IF(D114="账户转账",N114,IFERROR(IF(VLOOKUP(D114,基础资料!$AK$5:$AM$204,2,FALSE)="1002",M114,VLOOKUP(D114,基础资料!$AK$5:$AM$204,2,FALSE)),"")))</f>
        <v/>
      </c>
      <c r="P114" t="str">
        <f>IF(D114="","",IF(D114="账户转账",M114,IFERROR(IF(VLOOKUP(D114,基础资料!$AK$5:$AM$204,3,FALSE)="1002",M114,VLOOKUP(D114,基础资料!$AK$5:$AM$204,3,FALSE)),"")))</f>
        <v/>
      </c>
      <c r="Q114" s="17" t="str">
        <f t="shared" si="4"/>
        <v/>
      </c>
      <c r="R114" t="str">
        <f t="shared" si="5"/>
        <v/>
      </c>
    </row>
    <row r="115" spans="1:18">
      <c r="A115" s="5"/>
      <c r="B115" t="str">
        <f t="shared" si="3"/>
        <v/>
      </c>
      <c r="C115" t="str">
        <f>IF(D115="","",IFERROR(INDEX(基础资料!$AJ$5:$AJ$204,MATCH(D115,基础资料!$AK$5:$AK$204,0)),""))</f>
        <v/>
      </c>
      <c r="J115" s="17"/>
      <c r="K115" s="17"/>
      <c r="L115" s="17" t="str">
        <f>IF(OR(A115="",E115=""),"",SUMIFS(期初数据!$C$5:$C$14,期初数据!$A$5:$A$14,E115)+SUMIFS($J$4:J115,$E$4:E115,E115)-SUMIFS($K$4:K115,$E$4:E115,E115)+SUMIFS($K$4:K115,$F$4:F115,E115,$D$4:D115,"账户转账"))</f>
        <v/>
      </c>
      <c r="M115" t="str">
        <f>IF(E115="","",IFERROR(VLOOKUP(E115,基础资料!$A$5:$C$204,3,FALSE),""))</f>
        <v/>
      </c>
      <c r="N115" t="str">
        <f>IF(D115="账户转账",IFERROR(VLOOKUP(F115,基础资料!$A$5:$C$204,3,FALSE),""),"")</f>
        <v/>
      </c>
      <c r="O115" t="str">
        <f>IF(D115="","",IF(D115="账户转账",N115,IFERROR(IF(VLOOKUP(D115,基础资料!$AK$5:$AM$204,2,FALSE)="1002",M115,VLOOKUP(D115,基础资料!$AK$5:$AM$204,2,FALSE)),"")))</f>
        <v/>
      </c>
      <c r="P115" t="str">
        <f>IF(D115="","",IF(D115="账户转账",M115,IFERROR(IF(VLOOKUP(D115,基础资料!$AK$5:$AM$204,3,FALSE)="1002",M115,VLOOKUP(D115,基础资料!$AK$5:$AM$204,3,FALSE)),"")))</f>
        <v/>
      </c>
      <c r="Q115" s="17" t="str">
        <f t="shared" si="4"/>
        <v/>
      </c>
      <c r="R115" t="str">
        <f t="shared" si="5"/>
        <v/>
      </c>
    </row>
    <row r="116" spans="1:18">
      <c r="A116" s="5"/>
      <c r="B116" t="str">
        <f t="shared" si="3"/>
        <v/>
      </c>
      <c r="C116" t="str">
        <f>IF(D116="","",IFERROR(INDEX(基础资料!$AJ$5:$AJ$204,MATCH(D116,基础资料!$AK$5:$AK$204,0)),""))</f>
        <v/>
      </c>
      <c r="J116" s="17"/>
      <c r="K116" s="17"/>
      <c r="L116" s="17" t="str">
        <f>IF(OR(A116="",E116=""),"",SUMIFS(期初数据!$C$5:$C$14,期初数据!$A$5:$A$14,E116)+SUMIFS($J$4:J116,$E$4:E116,E116)-SUMIFS($K$4:K116,$E$4:E116,E116)+SUMIFS($K$4:K116,$F$4:F116,E116,$D$4:D116,"账户转账"))</f>
        <v/>
      </c>
      <c r="M116" t="str">
        <f>IF(E116="","",IFERROR(VLOOKUP(E116,基础资料!$A$5:$C$204,3,FALSE),""))</f>
        <v/>
      </c>
      <c r="N116" t="str">
        <f>IF(D116="账户转账",IFERROR(VLOOKUP(F116,基础资料!$A$5:$C$204,3,FALSE),""),"")</f>
        <v/>
      </c>
      <c r="O116" t="str">
        <f>IF(D116="","",IF(D116="账户转账",N116,IFERROR(IF(VLOOKUP(D116,基础资料!$AK$5:$AM$204,2,FALSE)="1002",M116,VLOOKUP(D116,基础资料!$AK$5:$AM$204,2,FALSE)),"")))</f>
        <v/>
      </c>
      <c r="P116" t="str">
        <f>IF(D116="","",IF(D116="账户转账",M116,IFERROR(IF(VLOOKUP(D116,基础资料!$AK$5:$AM$204,3,FALSE)="1002",M116,VLOOKUP(D116,基础资料!$AK$5:$AM$204,3,FALSE)),"")))</f>
        <v/>
      </c>
      <c r="Q116" s="17" t="str">
        <f t="shared" si="4"/>
        <v/>
      </c>
      <c r="R116" t="str">
        <f t="shared" si="5"/>
        <v/>
      </c>
    </row>
    <row r="117" spans="1:18">
      <c r="A117" s="5"/>
      <c r="B117" t="str">
        <f t="shared" si="3"/>
        <v/>
      </c>
      <c r="C117" t="str">
        <f>IF(D117="","",IFERROR(INDEX(基础资料!$AJ$5:$AJ$204,MATCH(D117,基础资料!$AK$5:$AK$204,0)),""))</f>
        <v/>
      </c>
      <c r="J117" s="17"/>
      <c r="K117" s="17"/>
      <c r="L117" s="17" t="str">
        <f>IF(OR(A117="",E117=""),"",SUMIFS(期初数据!$C$5:$C$14,期初数据!$A$5:$A$14,E117)+SUMIFS($J$4:J117,$E$4:E117,E117)-SUMIFS($K$4:K117,$E$4:E117,E117)+SUMIFS($K$4:K117,$F$4:F117,E117,$D$4:D117,"账户转账"))</f>
        <v/>
      </c>
      <c r="M117" t="str">
        <f>IF(E117="","",IFERROR(VLOOKUP(E117,基础资料!$A$5:$C$204,3,FALSE),""))</f>
        <v/>
      </c>
      <c r="N117" t="str">
        <f>IF(D117="账户转账",IFERROR(VLOOKUP(F117,基础资料!$A$5:$C$204,3,FALSE),""),"")</f>
        <v/>
      </c>
      <c r="O117" t="str">
        <f>IF(D117="","",IF(D117="账户转账",N117,IFERROR(IF(VLOOKUP(D117,基础资料!$AK$5:$AM$204,2,FALSE)="1002",M117,VLOOKUP(D117,基础资料!$AK$5:$AM$204,2,FALSE)),"")))</f>
        <v/>
      </c>
      <c r="P117" t="str">
        <f>IF(D117="","",IF(D117="账户转账",M117,IFERROR(IF(VLOOKUP(D117,基础资料!$AK$5:$AM$204,3,FALSE)="1002",M117,VLOOKUP(D117,基础资料!$AK$5:$AM$204,3,FALSE)),"")))</f>
        <v/>
      </c>
      <c r="Q117" s="17" t="str">
        <f t="shared" si="4"/>
        <v/>
      </c>
      <c r="R117" t="str">
        <f t="shared" si="5"/>
        <v/>
      </c>
    </row>
    <row r="118" spans="1:18">
      <c r="A118" s="5"/>
      <c r="B118" t="str">
        <f t="shared" si="3"/>
        <v/>
      </c>
      <c r="C118" t="str">
        <f>IF(D118="","",IFERROR(INDEX(基础资料!$AJ$5:$AJ$204,MATCH(D118,基础资料!$AK$5:$AK$204,0)),""))</f>
        <v/>
      </c>
      <c r="J118" s="17"/>
      <c r="K118" s="17"/>
      <c r="L118" s="17" t="str">
        <f>IF(OR(A118="",E118=""),"",SUMIFS(期初数据!$C$5:$C$14,期初数据!$A$5:$A$14,E118)+SUMIFS($J$4:J118,$E$4:E118,E118)-SUMIFS($K$4:K118,$E$4:E118,E118)+SUMIFS($K$4:K118,$F$4:F118,E118,$D$4:D118,"账户转账"))</f>
        <v/>
      </c>
      <c r="M118" t="str">
        <f>IF(E118="","",IFERROR(VLOOKUP(E118,基础资料!$A$5:$C$204,3,FALSE),""))</f>
        <v/>
      </c>
      <c r="N118" t="str">
        <f>IF(D118="账户转账",IFERROR(VLOOKUP(F118,基础资料!$A$5:$C$204,3,FALSE),""),"")</f>
        <v/>
      </c>
      <c r="O118" t="str">
        <f>IF(D118="","",IF(D118="账户转账",N118,IFERROR(IF(VLOOKUP(D118,基础资料!$AK$5:$AM$204,2,FALSE)="1002",M118,VLOOKUP(D118,基础资料!$AK$5:$AM$204,2,FALSE)),"")))</f>
        <v/>
      </c>
      <c r="P118" t="str">
        <f>IF(D118="","",IF(D118="账户转账",M118,IFERROR(IF(VLOOKUP(D118,基础资料!$AK$5:$AM$204,3,FALSE)="1002",M118,VLOOKUP(D118,基础资料!$AK$5:$AM$204,3,FALSE)),"")))</f>
        <v/>
      </c>
      <c r="Q118" s="17" t="str">
        <f t="shared" si="4"/>
        <v/>
      </c>
      <c r="R118" t="str">
        <f t="shared" si="5"/>
        <v/>
      </c>
    </row>
    <row r="119" spans="1:18">
      <c r="A119" s="5"/>
      <c r="B119" t="str">
        <f t="shared" si="3"/>
        <v/>
      </c>
      <c r="C119" t="str">
        <f>IF(D119="","",IFERROR(INDEX(基础资料!$AJ$5:$AJ$204,MATCH(D119,基础资料!$AK$5:$AK$204,0)),""))</f>
        <v/>
      </c>
      <c r="J119" s="17"/>
      <c r="K119" s="17"/>
      <c r="L119" s="17" t="str">
        <f>IF(OR(A119="",E119=""),"",SUMIFS(期初数据!$C$5:$C$14,期初数据!$A$5:$A$14,E119)+SUMIFS($J$4:J119,$E$4:E119,E119)-SUMIFS($K$4:K119,$E$4:E119,E119)+SUMIFS($K$4:K119,$F$4:F119,E119,$D$4:D119,"账户转账"))</f>
        <v/>
      </c>
      <c r="M119" t="str">
        <f>IF(E119="","",IFERROR(VLOOKUP(E119,基础资料!$A$5:$C$204,3,FALSE),""))</f>
        <v/>
      </c>
      <c r="N119" t="str">
        <f>IF(D119="账户转账",IFERROR(VLOOKUP(F119,基础资料!$A$5:$C$204,3,FALSE),""),"")</f>
        <v/>
      </c>
      <c r="O119" t="str">
        <f>IF(D119="","",IF(D119="账户转账",N119,IFERROR(IF(VLOOKUP(D119,基础资料!$AK$5:$AM$204,2,FALSE)="1002",M119,VLOOKUP(D119,基础资料!$AK$5:$AM$204,2,FALSE)),"")))</f>
        <v/>
      </c>
      <c r="P119" t="str">
        <f>IF(D119="","",IF(D119="账户转账",M119,IFERROR(IF(VLOOKUP(D119,基础资料!$AK$5:$AM$204,3,FALSE)="1002",M119,VLOOKUP(D119,基础资料!$AK$5:$AM$204,3,FALSE)),"")))</f>
        <v/>
      </c>
      <c r="Q119" s="17" t="str">
        <f t="shared" si="4"/>
        <v/>
      </c>
      <c r="R119" t="str">
        <f t="shared" si="5"/>
        <v/>
      </c>
    </row>
    <row r="120" spans="1:18">
      <c r="A120" s="5"/>
      <c r="B120" t="str">
        <f t="shared" si="3"/>
        <v/>
      </c>
      <c r="C120" t="str">
        <f>IF(D120="","",IFERROR(INDEX(基础资料!$AJ$5:$AJ$204,MATCH(D120,基础资料!$AK$5:$AK$204,0)),""))</f>
        <v/>
      </c>
      <c r="J120" s="17"/>
      <c r="K120" s="17"/>
      <c r="L120" s="17" t="str">
        <f>IF(OR(A120="",E120=""),"",SUMIFS(期初数据!$C$5:$C$14,期初数据!$A$5:$A$14,E120)+SUMIFS($J$4:J120,$E$4:E120,E120)-SUMIFS($K$4:K120,$E$4:E120,E120)+SUMIFS($K$4:K120,$F$4:F120,E120,$D$4:D120,"账户转账"))</f>
        <v/>
      </c>
      <c r="M120" t="str">
        <f>IF(E120="","",IFERROR(VLOOKUP(E120,基础资料!$A$5:$C$204,3,FALSE),""))</f>
        <v/>
      </c>
      <c r="N120" t="str">
        <f>IF(D120="账户转账",IFERROR(VLOOKUP(F120,基础资料!$A$5:$C$204,3,FALSE),""),"")</f>
        <v/>
      </c>
      <c r="O120" t="str">
        <f>IF(D120="","",IF(D120="账户转账",N120,IFERROR(IF(VLOOKUP(D120,基础资料!$AK$5:$AM$204,2,FALSE)="1002",M120,VLOOKUP(D120,基础资料!$AK$5:$AM$204,2,FALSE)),"")))</f>
        <v/>
      </c>
      <c r="P120" t="str">
        <f>IF(D120="","",IF(D120="账户转账",M120,IFERROR(IF(VLOOKUP(D120,基础资料!$AK$5:$AM$204,3,FALSE)="1002",M120,VLOOKUP(D120,基础资料!$AK$5:$AM$204,3,FALSE)),"")))</f>
        <v/>
      </c>
      <c r="Q120" s="17" t="str">
        <f t="shared" si="4"/>
        <v/>
      </c>
      <c r="R120" t="str">
        <f t="shared" si="5"/>
        <v/>
      </c>
    </row>
    <row r="121" spans="1:18">
      <c r="A121" s="5"/>
      <c r="B121" t="str">
        <f t="shared" si="3"/>
        <v/>
      </c>
      <c r="C121" t="str">
        <f>IF(D121="","",IFERROR(INDEX(基础资料!$AJ$5:$AJ$204,MATCH(D121,基础资料!$AK$5:$AK$204,0)),""))</f>
        <v/>
      </c>
      <c r="J121" s="17"/>
      <c r="K121" s="17"/>
      <c r="L121" s="17" t="str">
        <f>IF(OR(A121="",E121=""),"",SUMIFS(期初数据!$C$5:$C$14,期初数据!$A$5:$A$14,E121)+SUMIFS($J$4:J121,$E$4:E121,E121)-SUMIFS($K$4:K121,$E$4:E121,E121)+SUMIFS($K$4:K121,$F$4:F121,E121,$D$4:D121,"账户转账"))</f>
        <v/>
      </c>
      <c r="M121" t="str">
        <f>IF(E121="","",IFERROR(VLOOKUP(E121,基础资料!$A$5:$C$204,3,FALSE),""))</f>
        <v/>
      </c>
      <c r="N121" t="str">
        <f>IF(D121="账户转账",IFERROR(VLOOKUP(F121,基础资料!$A$5:$C$204,3,FALSE),""),"")</f>
        <v/>
      </c>
      <c r="O121" t="str">
        <f>IF(D121="","",IF(D121="账户转账",N121,IFERROR(IF(VLOOKUP(D121,基础资料!$AK$5:$AM$204,2,FALSE)="1002",M121,VLOOKUP(D121,基础资料!$AK$5:$AM$204,2,FALSE)),"")))</f>
        <v/>
      </c>
      <c r="P121" t="str">
        <f>IF(D121="","",IF(D121="账户转账",M121,IFERROR(IF(VLOOKUP(D121,基础资料!$AK$5:$AM$204,3,FALSE)="1002",M121,VLOOKUP(D121,基础资料!$AK$5:$AM$204,3,FALSE)),"")))</f>
        <v/>
      </c>
      <c r="Q121" s="17" t="str">
        <f t="shared" si="4"/>
        <v/>
      </c>
      <c r="R121" t="str">
        <f t="shared" si="5"/>
        <v/>
      </c>
    </row>
    <row r="122" spans="1:18">
      <c r="A122" s="5"/>
      <c r="B122" t="str">
        <f t="shared" si="3"/>
        <v/>
      </c>
      <c r="C122" t="str">
        <f>IF(D122="","",IFERROR(INDEX(基础资料!$AJ$5:$AJ$204,MATCH(D122,基础资料!$AK$5:$AK$204,0)),""))</f>
        <v/>
      </c>
      <c r="J122" s="17"/>
      <c r="K122" s="17"/>
      <c r="L122" s="17" t="str">
        <f>IF(OR(A122="",E122=""),"",SUMIFS(期初数据!$C$5:$C$14,期初数据!$A$5:$A$14,E122)+SUMIFS($J$4:J122,$E$4:E122,E122)-SUMIFS($K$4:K122,$E$4:E122,E122)+SUMIFS($K$4:K122,$F$4:F122,E122,$D$4:D122,"账户转账"))</f>
        <v/>
      </c>
      <c r="M122" t="str">
        <f>IF(E122="","",IFERROR(VLOOKUP(E122,基础资料!$A$5:$C$204,3,FALSE),""))</f>
        <v/>
      </c>
      <c r="N122" t="str">
        <f>IF(D122="账户转账",IFERROR(VLOOKUP(F122,基础资料!$A$5:$C$204,3,FALSE),""),"")</f>
        <v/>
      </c>
      <c r="O122" t="str">
        <f>IF(D122="","",IF(D122="账户转账",N122,IFERROR(IF(VLOOKUP(D122,基础资料!$AK$5:$AM$204,2,FALSE)="1002",M122,VLOOKUP(D122,基础资料!$AK$5:$AM$204,2,FALSE)),"")))</f>
        <v/>
      </c>
      <c r="P122" t="str">
        <f>IF(D122="","",IF(D122="账户转账",M122,IFERROR(IF(VLOOKUP(D122,基础资料!$AK$5:$AM$204,3,FALSE)="1002",M122,VLOOKUP(D122,基础资料!$AK$5:$AM$204,3,FALSE)),"")))</f>
        <v/>
      </c>
      <c r="Q122" s="17" t="str">
        <f t="shared" si="4"/>
        <v/>
      </c>
      <c r="R122" t="str">
        <f t="shared" si="5"/>
        <v/>
      </c>
    </row>
    <row r="123" spans="1:18">
      <c r="A123" s="5"/>
      <c r="B123" t="str">
        <f t="shared" si="3"/>
        <v/>
      </c>
      <c r="C123" t="str">
        <f>IF(D123="","",IFERROR(INDEX(基础资料!$AJ$5:$AJ$204,MATCH(D123,基础资料!$AK$5:$AK$204,0)),""))</f>
        <v/>
      </c>
      <c r="J123" s="17"/>
      <c r="K123" s="17"/>
      <c r="L123" s="17" t="str">
        <f>IF(OR(A123="",E123=""),"",SUMIFS(期初数据!$C$5:$C$14,期初数据!$A$5:$A$14,E123)+SUMIFS($J$4:J123,$E$4:E123,E123)-SUMIFS($K$4:K123,$E$4:E123,E123)+SUMIFS($K$4:K123,$F$4:F123,E123,$D$4:D123,"账户转账"))</f>
        <v/>
      </c>
      <c r="M123" t="str">
        <f>IF(E123="","",IFERROR(VLOOKUP(E123,基础资料!$A$5:$C$204,3,FALSE),""))</f>
        <v/>
      </c>
      <c r="N123" t="str">
        <f>IF(D123="账户转账",IFERROR(VLOOKUP(F123,基础资料!$A$5:$C$204,3,FALSE),""),"")</f>
        <v/>
      </c>
      <c r="O123" t="str">
        <f>IF(D123="","",IF(D123="账户转账",N123,IFERROR(IF(VLOOKUP(D123,基础资料!$AK$5:$AM$204,2,FALSE)="1002",M123,VLOOKUP(D123,基础资料!$AK$5:$AM$204,2,FALSE)),"")))</f>
        <v/>
      </c>
      <c r="P123" t="str">
        <f>IF(D123="","",IF(D123="账户转账",M123,IFERROR(IF(VLOOKUP(D123,基础资料!$AK$5:$AM$204,3,FALSE)="1002",M123,VLOOKUP(D123,基础资料!$AK$5:$AM$204,3,FALSE)),"")))</f>
        <v/>
      </c>
      <c r="Q123" s="17" t="str">
        <f t="shared" si="4"/>
        <v/>
      </c>
      <c r="R123" t="str">
        <f t="shared" si="5"/>
        <v/>
      </c>
    </row>
    <row r="124" spans="1:18">
      <c r="A124" s="5"/>
      <c r="B124" t="str">
        <f t="shared" si="3"/>
        <v/>
      </c>
      <c r="C124" t="str">
        <f>IF(D124="","",IFERROR(INDEX(基础资料!$AJ$5:$AJ$204,MATCH(D124,基础资料!$AK$5:$AK$204,0)),""))</f>
        <v/>
      </c>
      <c r="J124" s="17"/>
      <c r="K124" s="17"/>
      <c r="L124" s="17" t="str">
        <f>IF(OR(A124="",E124=""),"",SUMIFS(期初数据!$C$5:$C$14,期初数据!$A$5:$A$14,E124)+SUMIFS($J$4:J124,$E$4:E124,E124)-SUMIFS($K$4:K124,$E$4:E124,E124)+SUMIFS($K$4:K124,$F$4:F124,E124,$D$4:D124,"账户转账"))</f>
        <v/>
      </c>
      <c r="M124" t="str">
        <f>IF(E124="","",IFERROR(VLOOKUP(E124,基础资料!$A$5:$C$204,3,FALSE),""))</f>
        <v/>
      </c>
      <c r="N124" t="str">
        <f>IF(D124="账户转账",IFERROR(VLOOKUP(F124,基础资料!$A$5:$C$204,3,FALSE),""),"")</f>
        <v/>
      </c>
      <c r="O124" t="str">
        <f>IF(D124="","",IF(D124="账户转账",N124,IFERROR(IF(VLOOKUP(D124,基础资料!$AK$5:$AM$204,2,FALSE)="1002",M124,VLOOKUP(D124,基础资料!$AK$5:$AM$204,2,FALSE)),"")))</f>
        <v/>
      </c>
      <c r="P124" t="str">
        <f>IF(D124="","",IF(D124="账户转账",M124,IFERROR(IF(VLOOKUP(D124,基础资料!$AK$5:$AM$204,3,FALSE)="1002",M124,VLOOKUP(D124,基础资料!$AK$5:$AM$204,3,FALSE)),"")))</f>
        <v/>
      </c>
      <c r="Q124" s="17" t="str">
        <f t="shared" si="4"/>
        <v/>
      </c>
      <c r="R124" t="str">
        <f t="shared" si="5"/>
        <v/>
      </c>
    </row>
    <row r="125" spans="1:18">
      <c r="A125" s="5"/>
      <c r="B125" t="str">
        <f t="shared" si="3"/>
        <v/>
      </c>
      <c r="C125" t="str">
        <f>IF(D125="","",IFERROR(INDEX(基础资料!$AJ$5:$AJ$204,MATCH(D125,基础资料!$AK$5:$AK$204,0)),""))</f>
        <v/>
      </c>
      <c r="J125" s="17"/>
      <c r="K125" s="17"/>
      <c r="L125" s="17" t="str">
        <f>IF(OR(A125="",E125=""),"",SUMIFS(期初数据!$C$5:$C$14,期初数据!$A$5:$A$14,E125)+SUMIFS($J$4:J125,$E$4:E125,E125)-SUMIFS($K$4:K125,$E$4:E125,E125)+SUMIFS($K$4:K125,$F$4:F125,E125,$D$4:D125,"账户转账"))</f>
        <v/>
      </c>
      <c r="M125" t="str">
        <f>IF(E125="","",IFERROR(VLOOKUP(E125,基础资料!$A$5:$C$204,3,FALSE),""))</f>
        <v/>
      </c>
      <c r="N125" t="str">
        <f>IF(D125="账户转账",IFERROR(VLOOKUP(F125,基础资料!$A$5:$C$204,3,FALSE),""),"")</f>
        <v/>
      </c>
      <c r="O125" t="str">
        <f>IF(D125="","",IF(D125="账户转账",N125,IFERROR(IF(VLOOKUP(D125,基础资料!$AK$5:$AM$204,2,FALSE)="1002",M125,VLOOKUP(D125,基础资料!$AK$5:$AM$204,2,FALSE)),"")))</f>
        <v/>
      </c>
      <c r="P125" t="str">
        <f>IF(D125="","",IF(D125="账户转账",M125,IFERROR(IF(VLOOKUP(D125,基础资料!$AK$5:$AM$204,3,FALSE)="1002",M125,VLOOKUP(D125,基础资料!$AK$5:$AM$204,3,FALSE)),"")))</f>
        <v/>
      </c>
      <c r="Q125" s="17" t="str">
        <f t="shared" si="4"/>
        <v/>
      </c>
      <c r="R125" t="str">
        <f t="shared" si="5"/>
        <v/>
      </c>
    </row>
    <row r="126" spans="1:18">
      <c r="A126" s="5"/>
      <c r="B126" t="str">
        <f t="shared" si="3"/>
        <v/>
      </c>
      <c r="C126" t="str">
        <f>IF(D126="","",IFERROR(INDEX(基础资料!$AJ$5:$AJ$204,MATCH(D126,基础资料!$AK$5:$AK$204,0)),""))</f>
        <v/>
      </c>
      <c r="J126" s="17"/>
      <c r="K126" s="17"/>
      <c r="L126" s="17" t="str">
        <f>IF(OR(A126="",E126=""),"",SUMIFS(期初数据!$C$5:$C$14,期初数据!$A$5:$A$14,E126)+SUMIFS($J$4:J126,$E$4:E126,E126)-SUMIFS($K$4:K126,$E$4:E126,E126)+SUMIFS($K$4:K126,$F$4:F126,E126,$D$4:D126,"账户转账"))</f>
        <v/>
      </c>
      <c r="M126" t="str">
        <f>IF(E126="","",IFERROR(VLOOKUP(E126,基础资料!$A$5:$C$204,3,FALSE),""))</f>
        <v/>
      </c>
      <c r="N126" t="str">
        <f>IF(D126="账户转账",IFERROR(VLOOKUP(F126,基础资料!$A$5:$C$204,3,FALSE),""),"")</f>
        <v/>
      </c>
      <c r="O126" t="str">
        <f>IF(D126="","",IF(D126="账户转账",N126,IFERROR(IF(VLOOKUP(D126,基础资料!$AK$5:$AM$204,2,FALSE)="1002",M126,VLOOKUP(D126,基础资料!$AK$5:$AM$204,2,FALSE)),"")))</f>
        <v/>
      </c>
      <c r="P126" t="str">
        <f>IF(D126="","",IF(D126="账户转账",M126,IFERROR(IF(VLOOKUP(D126,基础资料!$AK$5:$AM$204,3,FALSE)="1002",M126,VLOOKUP(D126,基础资料!$AK$5:$AM$204,3,FALSE)),"")))</f>
        <v/>
      </c>
      <c r="Q126" s="17" t="str">
        <f t="shared" si="4"/>
        <v/>
      </c>
      <c r="R126" t="str">
        <f t="shared" si="5"/>
        <v/>
      </c>
    </row>
    <row r="127" spans="1:18">
      <c r="A127" s="5"/>
      <c r="B127" t="str">
        <f t="shared" si="3"/>
        <v/>
      </c>
      <c r="C127" t="str">
        <f>IF(D127="","",IFERROR(INDEX(基础资料!$AJ$5:$AJ$204,MATCH(D127,基础资料!$AK$5:$AK$204,0)),""))</f>
        <v/>
      </c>
      <c r="J127" s="17"/>
      <c r="K127" s="17"/>
      <c r="L127" s="17" t="str">
        <f>IF(OR(A127="",E127=""),"",SUMIFS(期初数据!$C$5:$C$14,期初数据!$A$5:$A$14,E127)+SUMIFS($J$4:J127,$E$4:E127,E127)-SUMIFS($K$4:K127,$E$4:E127,E127)+SUMIFS($K$4:K127,$F$4:F127,E127,$D$4:D127,"账户转账"))</f>
        <v/>
      </c>
      <c r="M127" t="str">
        <f>IF(E127="","",IFERROR(VLOOKUP(E127,基础资料!$A$5:$C$204,3,FALSE),""))</f>
        <v/>
      </c>
      <c r="N127" t="str">
        <f>IF(D127="账户转账",IFERROR(VLOOKUP(F127,基础资料!$A$5:$C$204,3,FALSE),""),"")</f>
        <v/>
      </c>
      <c r="O127" t="str">
        <f>IF(D127="","",IF(D127="账户转账",N127,IFERROR(IF(VLOOKUP(D127,基础资料!$AK$5:$AM$204,2,FALSE)="1002",M127,VLOOKUP(D127,基础资料!$AK$5:$AM$204,2,FALSE)),"")))</f>
        <v/>
      </c>
      <c r="P127" t="str">
        <f>IF(D127="","",IF(D127="账户转账",M127,IFERROR(IF(VLOOKUP(D127,基础资料!$AK$5:$AM$204,3,FALSE)="1002",M127,VLOOKUP(D127,基础资料!$AK$5:$AM$204,3,FALSE)),"")))</f>
        <v/>
      </c>
      <c r="Q127" s="17" t="str">
        <f t="shared" si="4"/>
        <v/>
      </c>
      <c r="R127" t="str">
        <f t="shared" si="5"/>
        <v/>
      </c>
    </row>
    <row r="128" spans="1:18">
      <c r="A128" s="5"/>
      <c r="B128" t="str">
        <f t="shared" si="3"/>
        <v/>
      </c>
      <c r="C128" t="str">
        <f>IF(D128="","",IFERROR(INDEX(基础资料!$AJ$5:$AJ$204,MATCH(D128,基础资料!$AK$5:$AK$204,0)),""))</f>
        <v/>
      </c>
      <c r="J128" s="17"/>
      <c r="K128" s="17"/>
      <c r="L128" s="17" t="str">
        <f>IF(OR(A128="",E128=""),"",SUMIFS(期初数据!$C$5:$C$14,期初数据!$A$5:$A$14,E128)+SUMIFS($J$4:J128,$E$4:E128,E128)-SUMIFS($K$4:K128,$E$4:E128,E128)+SUMIFS($K$4:K128,$F$4:F128,E128,$D$4:D128,"账户转账"))</f>
        <v/>
      </c>
      <c r="M128" t="str">
        <f>IF(E128="","",IFERROR(VLOOKUP(E128,基础资料!$A$5:$C$204,3,FALSE),""))</f>
        <v/>
      </c>
      <c r="N128" t="str">
        <f>IF(D128="账户转账",IFERROR(VLOOKUP(F128,基础资料!$A$5:$C$204,3,FALSE),""),"")</f>
        <v/>
      </c>
      <c r="O128" t="str">
        <f>IF(D128="","",IF(D128="账户转账",N128,IFERROR(IF(VLOOKUP(D128,基础资料!$AK$5:$AM$204,2,FALSE)="1002",M128,VLOOKUP(D128,基础资料!$AK$5:$AM$204,2,FALSE)),"")))</f>
        <v/>
      </c>
      <c r="P128" t="str">
        <f>IF(D128="","",IF(D128="账户转账",M128,IFERROR(IF(VLOOKUP(D128,基础资料!$AK$5:$AM$204,3,FALSE)="1002",M128,VLOOKUP(D128,基础资料!$AK$5:$AM$204,3,FALSE)),"")))</f>
        <v/>
      </c>
      <c r="Q128" s="17" t="str">
        <f t="shared" si="4"/>
        <v/>
      </c>
      <c r="R128" t="str">
        <f t="shared" si="5"/>
        <v/>
      </c>
    </row>
    <row r="129" spans="1:18">
      <c r="A129" s="5"/>
      <c r="B129" t="str">
        <f t="shared" si="3"/>
        <v/>
      </c>
      <c r="C129" t="str">
        <f>IF(D129="","",IFERROR(INDEX(基础资料!$AJ$5:$AJ$204,MATCH(D129,基础资料!$AK$5:$AK$204,0)),""))</f>
        <v/>
      </c>
      <c r="J129" s="17"/>
      <c r="K129" s="17"/>
      <c r="L129" s="17" t="str">
        <f>IF(OR(A129="",E129=""),"",SUMIFS(期初数据!$C$5:$C$14,期初数据!$A$5:$A$14,E129)+SUMIFS($J$4:J129,$E$4:E129,E129)-SUMIFS($K$4:K129,$E$4:E129,E129)+SUMIFS($K$4:K129,$F$4:F129,E129,$D$4:D129,"账户转账"))</f>
        <v/>
      </c>
      <c r="M129" t="str">
        <f>IF(E129="","",IFERROR(VLOOKUP(E129,基础资料!$A$5:$C$204,3,FALSE),""))</f>
        <v/>
      </c>
      <c r="N129" t="str">
        <f>IF(D129="账户转账",IFERROR(VLOOKUP(F129,基础资料!$A$5:$C$204,3,FALSE),""),"")</f>
        <v/>
      </c>
      <c r="O129" t="str">
        <f>IF(D129="","",IF(D129="账户转账",N129,IFERROR(IF(VLOOKUP(D129,基础资料!$AK$5:$AM$204,2,FALSE)="1002",M129,VLOOKUP(D129,基础资料!$AK$5:$AM$204,2,FALSE)),"")))</f>
        <v/>
      </c>
      <c r="P129" t="str">
        <f>IF(D129="","",IF(D129="账户转账",M129,IFERROR(IF(VLOOKUP(D129,基础资料!$AK$5:$AM$204,3,FALSE)="1002",M129,VLOOKUP(D129,基础资料!$AK$5:$AM$204,3,FALSE)),"")))</f>
        <v/>
      </c>
      <c r="Q129" s="17" t="str">
        <f t="shared" si="4"/>
        <v/>
      </c>
      <c r="R129" t="str">
        <f t="shared" si="5"/>
        <v/>
      </c>
    </row>
    <row r="130" spans="1:18">
      <c r="A130" s="5"/>
      <c r="B130" t="str">
        <f t="shared" si="3"/>
        <v/>
      </c>
      <c r="C130" t="str">
        <f>IF(D130="","",IFERROR(INDEX(基础资料!$AJ$5:$AJ$204,MATCH(D130,基础资料!$AK$5:$AK$204,0)),""))</f>
        <v/>
      </c>
      <c r="J130" s="17"/>
      <c r="K130" s="17"/>
      <c r="L130" s="17" t="str">
        <f>IF(OR(A130="",E130=""),"",SUMIFS(期初数据!$C$5:$C$14,期初数据!$A$5:$A$14,E130)+SUMIFS($J$4:J130,$E$4:E130,E130)-SUMIFS($K$4:K130,$E$4:E130,E130)+SUMIFS($K$4:K130,$F$4:F130,E130,$D$4:D130,"账户转账"))</f>
        <v/>
      </c>
      <c r="M130" t="str">
        <f>IF(E130="","",IFERROR(VLOOKUP(E130,基础资料!$A$5:$C$204,3,FALSE),""))</f>
        <v/>
      </c>
      <c r="N130" t="str">
        <f>IF(D130="账户转账",IFERROR(VLOOKUP(F130,基础资料!$A$5:$C$204,3,FALSE),""),"")</f>
        <v/>
      </c>
      <c r="O130" t="str">
        <f>IF(D130="","",IF(D130="账户转账",N130,IFERROR(IF(VLOOKUP(D130,基础资料!$AK$5:$AM$204,2,FALSE)="1002",M130,VLOOKUP(D130,基础资料!$AK$5:$AM$204,2,FALSE)),"")))</f>
        <v/>
      </c>
      <c r="P130" t="str">
        <f>IF(D130="","",IF(D130="账户转账",M130,IFERROR(IF(VLOOKUP(D130,基础资料!$AK$5:$AM$204,3,FALSE)="1002",M130,VLOOKUP(D130,基础资料!$AK$5:$AM$204,3,FALSE)),"")))</f>
        <v/>
      </c>
      <c r="Q130" s="17" t="str">
        <f t="shared" si="4"/>
        <v/>
      </c>
      <c r="R130" t="str">
        <f t="shared" si="5"/>
        <v/>
      </c>
    </row>
    <row r="131" spans="1:18">
      <c r="A131" s="5"/>
      <c r="B131" t="str">
        <f t="shared" si="3"/>
        <v/>
      </c>
      <c r="C131" t="str">
        <f>IF(D131="","",IFERROR(INDEX(基础资料!$AJ$5:$AJ$204,MATCH(D131,基础资料!$AK$5:$AK$204,0)),""))</f>
        <v/>
      </c>
      <c r="J131" s="17"/>
      <c r="K131" s="17"/>
      <c r="L131" s="17" t="str">
        <f>IF(OR(A131="",E131=""),"",SUMIFS(期初数据!$C$5:$C$14,期初数据!$A$5:$A$14,E131)+SUMIFS($J$4:J131,$E$4:E131,E131)-SUMIFS($K$4:K131,$E$4:E131,E131)+SUMIFS($K$4:K131,$F$4:F131,E131,$D$4:D131,"账户转账"))</f>
        <v/>
      </c>
      <c r="M131" t="str">
        <f>IF(E131="","",IFERROR(VLOOKUP(E131,基础资料!$A$5:$C$204,3,FALSE),""))</f>
        <v/>
      </c>
      <c r="N131" t="str">
        <f>IF(D131="账户转账",IFERROR(VLOOKUP(F131,基础资料!$A$5:$C$204,3,FALSE),""),"")</f>
        <v/>
      </c>
      <c r="O131" t="str">
        <f>IF(D131="","",IF(D131="账户转账",N131,IFERROR(IF(VLOOKUP(D131,基础资料!$AK$5:$AM$204,2,FALSE)="1002",M131,VLOOKUP(D131,基础资料!$AK$5:$AM$204,2,FALSE)),"")))</f>
        <v/>
      </c>
      <c r="P131" t="str">
        <f>IF(D131="","",IF(D131="账户转账",M131,IFERROR(IF(VLOOKUP(D131,基础资料!$AK$5:$AM$204,3,FALSE)="1002",M131,VLOOKUP(D131,基础资料!$AK$5:$AM$204,3,FALSE)),"")))</f>
        <v/>
      </c>
      <c r="Q131" s="17" t="str">
        <f t="shared" si="4"/>
        <v/>
      </c>
      <c r="R131" t="str">
        <f t="shared" si="5"/>
        <v/>
      </c>
    </row>
    <row r="132" spans="1:18">
      <c r="A132" s="5"/>
      <c r="B132" t="str">
        <f t="shared" ref="B132:B195" si="6">IF(A132="","",TEXT(A132,"yyyy-mm"))</f>
        <v/>
      </c>
      <c r="C132" t="str">
        <f>IF(D132="","",IFERROR(INDEX(基础资料!$AJ$5:$AJ$204,MATCH(D132,基础资料!$AK$5:$AK$204,0)),""))</f>
        <v/>
      </c>
      <c r="J132" s="17"/>
      <c r="K132" s="17"/>
      <c r="L132" s="17" t="str">
        <f>IF(OR(A132="",E132=""),"",SUMIFS(期初数据!$C$5:$C$14,期初数据!$A$5:$A$14,E132)+SUMIFS($J$4:J132,$E$4:E132,E132)-SUMIFS($K$4:K132,$E$4:E132,E132)+SUMIFS($K$4:K132,$F$4:F132,E132,$D$4:D132,"账户转账"))</f>
        <v/>
      </c>
      <c r="M132" t="str">
        <f>IF(E132="","",IFERROR(VLOOKUP(E132,基础资料!$A$5:$C$204,3,FALSE),""))</f>
        <v/>
      </c>
      <c r="N132" t="str">
        <f>IF(D132="账户转账",IFERROR(VLOOKUP(F132,基础资料!$A$5:$C$204,3,FALSE),""),"")</f>
        <v/>
      </c>
      <c r="O132" t="str">
        <f>IF(D132="","",IF(D132="账户转账",N132,IFERROR(IF(VLOOKUP(D132,基础资料!$AK$5:$AM$204,2,FALSE)="1002",M132,VLOOKUP(D132,基础资料!$AK$5:$AM$204,2,FALSE)),"")))</f>
        <v/>
      </c>
      <c r="P132" t="str">
        <f>IF(D132="","",IF(D132="账户转账",M132,IFERROR(IF(VLOOKUP(D132,基础资料!$AK$5:$AM$204,3,FALSE)="1002",M132,VLOOKUP(D132,基础资料!$AK$5:$AM$204,3,FALSE)),"")))</f>
        <v/>
      </c>
      <c r="Q132" s="17" t="str">
        <f t="shared" ref="Q132:Q195" si="7">IF(A132="","",N(J132)+N(K132))</f>
        <v/>
      </c>
      <c r="R132" t="str">
        <f t="shared" ref="R132:R195" si="8">IF(A132="","","可录入")</f>
        <v/>
      </c>
    </row>
    <row r="133" spans="1:18">
      <c r="A133" s="5"/>
      <c r="B133" t="str">
        <f t="shared" si="6"/>
        <v/>
      </c>
      <c r="C133" t="str">
        <f>IF(D133="","",IFERROR(INDEX(基础资料!$AJ$5:$AJ$204,MATCH(D133,基础资料!$AK$5:$AK$204,0)),""))</f>
        <v/>
      </c>
      <c r="J133" s="17"/>
      <c r="K133" s="17"/>
      <c r="L133" s="17" t="str">
        <f>IF(OR(A133="",E133=""),"",SUMIFS(期初数据!$C$5:$C$14,期初数据!$A$5:$A$14,E133)+SUMIFS($J$4:J133,$E$4:E133,E133)-SUMIFS($K$4:K133,$E$4:E133,E133)+SUMIFS($K$4:K133,$F$4:F133,E133,$D$4:D133,"账户转账"))</f>
        <v/>
      </c>
      <c r="M133" t="str">
        <f>IF(E133="","",IFERROR(VLOOKUP(E133,基础资料!$A$5:$C$204,3,FALSE),""))</f>
        <v/>
      </c>
      <c r="N133" t="str">
        <f>IF(D133="账户转账",IFERROR(VLOOKUP(F133,基础资料!$A$5:$C$204,3,FALSE),""),"")</f>
        <v/>
      </c>
      <c r="O133" t="str">
        <f>IF(D133="","",IF(D133="账户转账",N133,IFERROR(IF(VLOOKUP(D133,基础资料!$AK$5:$AM$204,2,FALSE)="1002",M133,VLOOKUP(D133,基础资料!$AK$5:$AM$204,2,FALSE)),"")))</f>
        <v/>
      </c>
      <c r="P133" t="str">
        <f>IF(D133="","",IF(D133="账户转账",M133,IFERROR(IF(VLOOKUP(D133,基础资料!$AK$5:$AM$204,3,FALSE)="1002",M133,VLOOKUP(D133,基础资料!$AK$5:$AM$204,3,FALSE)),"")))</f>
        <v/>
      </c>
      <c r="Q133" s="17" t="str">
        <f t="shared" si="7"/>
        <v/>
      </c>
      <c r="R133" t="str">
        <f t="shared" si="8"/>
        <v/>
      </c>
    </row>
    <row r="134" spans="1:18">
      <c r="A134" s="5"/>
      <c r="B134" t="str">
        <f t="shared" si="6"/>
        <v/>
      </c>
      <c r="C134" t="str">
        <f>IF(D134="","",IFERROR(INDEX(基础资料!$AJ$5:$AJ$204,MATCH(D134,基础资料!$AK$5:$AK$204,0)),""))</f>
        <v/>
      </c>
      <c r="J134" s="17"/>
      <c r="K134" s="17"/>
      <c r="L134" s="17" t="str">
        <f>IF(OR(A134="",E134=""),"",SUMIFS(期初数据!$C$5:$C$14,期初数据!$A$5:$A$14,E134)+SUMIFS($J$4:J134,$E$4:E134,E134)-SUMIFS($K$4:K134,$E$4:E134,E134)+SUMIFS($K$4:K134,$F$4:F134,E134,$D$4:D134,"账户转账"))</f>
        <v/>
      </c>
      <c r="M134" t="str">
        <f>IF(E134="","",IFERROR(VLOOKUP(E134,基础资料!$A$5:$C$204,3,FALSE),""))</f>
        <v/>
      </c>
      <c r="N134" t="str">
        <f>IF(D134="账户转账",IFERROR(VLOOKUP(F134,基础资料!$A$5:$C$204,3,FALSE),""),"")</f>
        <v/>
      </c>
      <c r="O134" t="str">
        <f>IF(D134="","",IF(D134="账户转账",N134,IFERROR(IF(VLOOKUP(D134,基础资料!$AK$5:$AM$204,2,FALSE)="1002",M134,VLOOKUP(D134,基础资料!$AK$5:$AM$204,2,FALSE)),"")))</f>
        <v/>
      </c>
      <c r="P134" t="str">
        <f>IF(D134="","",IF(D134="账户转账",M134,IFERROR(IF(VLOOKUP(D134,基础资料!$AK$5:$AM$204,3,FALSE)="1002",M134,VLOOKUP(D134,基础资料!$AK$5:$AM$204,3,FALSE)),"")))</f>
        <v/>
      </c>
      <c r="Q134" s="17" t="str">
        <f t="shared" si="7"/>
        <v/>
      </c>
      <c r="R134" t="str">
        <f t="shared" si="8"/>
        <v/>
      </c>
    </row>
    <row r="135" spans="1:18">
      <c r="A135" s="5"/>
      <c r="B135" t="str">
        <f t="shared" si="6"/>
        <v/>
      </c>
      <c r="C135" t="str">
        <f>IF(D135="","",IFERROR(INDEX(基础资料!$AJ$5:$AJ$204,MATCH(D135,基础资料!$AK$5:$AK$204,0)),""))</f>
        <v/>
      </c>
      <c r="J135" s="17"/>
      <c r="K135" s="17"/>
      <c r="L135" s="17" t="str">
        <f>IF(OR(A135="",E135=""),"",SUMIFS(期初数据!$C$5:$C$14,期初数据!$A$5:$A$14,E135)+SUMIFS($J$4:J135,$E$4:E135,E135)-SUMIFS($K$4:K135,$E$4:E135,E135)+SUMIFS($K$4:K135,$F$4:F135,E135,$D$4:D135,"账户转账"))</f>
        <v/>
      </c>
      <c r="M135" t="str">
        <f>IF(E135="","",IFERROR(VLOOKUP(E135,基础资料!$A$5:$C$204,3,FALSE),""))</f>
        <v/>
      </c>
      <c r="N135" t="str">
        <f>IF(D135="账户转账",IFERROR(VLOOKUP(F135,基础资料!$A$5:$C$204,3,FALSE),""),"")</f>
        <v/>
      </c>
      <c r="O135" t="str">
        <f>IF(D135="","",IF(D135="账户转账",N135,IFERROR(IF(VLOOKUP(D135,基础资料!$AK$5:$AM$204,2,FALSE)="1002",M135,VLOOKUP(D135,基础资料!$AK$5:$AM$204,2,FALSE)),"")))</f>
        <v/>
      </c>
      <c r="P135" t="str">
        <f>IF(D135="","",IF(D135="账户转账",M135,IFERROR(IF(VLOOKUP(D135,基础资料!$AK$5:$AM$204,3,FALSE)="1002",M135,VLOOKUP(D135,基础资料!$AK$5:$AM$204,3,FALSE)),"")))</f>
        <v/>
      </c>
      <c r="Q135" s="17" t="str">
        <f t="shared" si="7"/>
        <v/>
      </c>
      <c r="R135" t="str">
        <f t="shared" si="8"/>
        <v/>
      </c>
    </row>
    <row r="136" spans="1:18">
      <c r="A136" s="5"/>
      <c r="B136" t="str">
        <f t="shared" si="6"/>
        <v/>
      </c>
      <c r="C136" t="str">
        <f>IF(D136="","",IFERROR(INDEX(基础资料!$AJ$5:$AJ$204,MATCH(D136,基础资料!$AK$5:$AK$204,0)),""))</f>
        <v/>
      </c>
      <c r="J136" s="17"/>
      <c r="K136" s="17"/>
      <c r="L136" s="17" t="str">
        <f>IF(OR(A136="",E136=""),"",SUMIFS(期初数据!$C$5:$C$14,期初数据!$A$5:$A$14,E136)+SUMIFS($J$4:J136,$E$4:E136,E136)-SUMIFS($K$4:K136,$E$4:E136,E136)+SUMIFS($K$4:K136,$F$4:F136,E136,$D$4:D136,"账户转账"))</f>
        <v/>
      </c>
      <c r="M136" t="str">
        <f>IF(E136="","",IFERROR(VLOOKUP(E136,基础资料!$A$5:$C$204,3,FALSE),""))</f>
        <v/>
      </c>
      <c r="N136" t="str">
        <f>IF(D136="账户转账",IFERROR(VLOOKUP(F136,基础资料!$A$5:$C$204,3,FALSE),""),"")</f>
        <v/>
      </c>
      <c r="O136" t="str">
        <f>IF(D136="","",IF(D136="账户转账",N136,IFERROR(IF(VLOOKUP(D136,基础资料!$AK$5:$AM$204,2,FALSE)="1002",M136,VLOOKUP(D136,基础资料!$AK$5:$AM$204,2,FALSE)),"")))</f>
        <v/>
      </c>
      <c r="P136" t="str">
        <f>IF(D136="","",IF(D136="账户转账",M136,IFERROR(IF(VLOOKUP(D136,基础资料!$AK$5:$AM$204,3,FALSE)="1002",M136,VLOOKUP(D136,基础资料!$AK$5:$AM$204,3,FALSE)),"")))</f>
        <v/>
      </c>
      <c r="Q136" s="17" t="str">
        <f t="shared" si="7"/>
        <v/>
      </c>
      <c r="R136" t="str">
        <f t="shared" si="8"/>
        <v/>
      </c>
    </row>
    <row r="137" spans="1:18">
      <c r="A137" s="5"/>
      <c r="B137" t="str">
        <f t="shared" si="6"/>
        <v/>
      </c>
      <c r="C137" t="str">
        <f>IF(D137="","",IFERROR(INDEX(基础资料!$AJ$5:$AJ$204,MATCH(D137,基础资料!$AK$5:$AK$204,0)),""))</f>
        <v/>
      </c>
      <c r="J137" s="17"/>
      <c r="K137" s="17"/>
      <c r="L137" s="17" t="str">
        <f>IF(OR(A137="",E137=""),"",SUMIFS(期初数据!$C$5:$C$14,期初数据!$A$5:$A$14,E137)+SUMIFS($J$4:J137,$E$4:E137,E137)-SUMIFS($K$4:K137,$E$4:E137,E137)+SUMIFS($K$4:K137,$F$4:F137,E137,$D$4:D137,"账户转账"))</f>
        <v/>
      </c>
      <c r="M137" t="str">
        <f>IF(E137="","",IFERROR(VLOOKUP(E137,基础资料!$A$5:$C$204,3,FALSE),""))</f>
        <v/>
      </c>
      <c r="N137" t="str">
        <f>IF(D137="账户转账",IFERROR(VLOOKUP(F137,基础资料!$A$5:$C$204,3,FALSE),""),"")</f>
        <v/>
      </c>
      <c r="O137" t="str">
        <f>IF(D137="","",IF(D137="账户转账",N137,IFERROR(IF(VLOOKUP(D137,基础资料!$AK$5:$AM$204,2,FALSE)="1002",M137,VLOOKUP(D137,基础资料!$AK$5:$AM$204,2,FALSE)),"")))</f>
        <v/>
      </c>
      <c r="P137" t="str">
        <f>IF(D137="","",IF(D137="账户转账",M137,IFERROR(IF(VLOOKUP(D137,基础资料!$AK$5:$AM$204,3,FALSE)="1002",M137,VLOOKUP(D137,基础资料!$AK$5:$AM$204,3,FALSE)),"")))</f>
        <v/>
      </c>
      <c r="Q137" s="17" t="str">
        <f t="shared" si="7"/>
        <v/>
      </c>
      <c r="R137" t="str">
        <f t="shared" si="8"/>
        <v/>
      </c>
    </row>
    <row r="138" spans="1:18">
      <c r="A138" s="5"/>
      <c r="B138" t="str">
        <f t="shared" si="6"/>
        <v/>
      </c>
      <c r="C138" t="str">
        <f>IF(D138="","",IFERROR(INDEX(基础资料!$AJ$5:$AJ$204,MATCH(D138,基础资料!$AK$5:$AK$204,0)),""))</f>
        <v/>
      </c>
      <c r="J138" s="17"/>
      <c r="K138" s="17"/>
      <c r="L138" s="17" t="str">
        <f>IF(OR(A138="",E138=""),"",SUMIFS(期初数据!$C$5:$C$14,期初数据!$A$5:$A$14,E138)+SUMIFS($J$4:J138,$E$4:E138,E138)-SUMIFS($K$4:K138,$E$4:E138,E138)+SUMIFS($K$4:K138,$F$4:F138,E138,$D$4:D138,"账户转账"))</f>
        <v/>
      </c>
      <c r="M138" t="str">
        <f>IF(E138="","",IFERROR(VLOOKUP(E138,基础资料!$A$5:$C$204,3,FALSE),""))</f>
        <v/>
      </c>
      <c r="N138" t="str">
        <f>IF(D138="账户转账",IFERROR(VLOOKUP(F138,基础资料!$A$5:$C$204,3,FALSE),""),"")</f>
        <v/>
      </c>
      <c r="O138" t="str">
        <f>IF(D138="","",IF(D138="账户转账",N138,IFERROR(IF(VLOOKUP(D138,基础资料!$AK$5:$AM$204,2,FALSE)="1002",M138,VLOOKUP(D138,基础资料!$AK$5:$AM$204,2,FALSE)),"")))</f>
        <v/>
      </c>
      <c r="P138" t="str">
        <f>IF(D138="","",IF(D138="账户转账",M138,IFERROR(IF(VLOOKUP(D138,基础资料!$AK$5:$AM$204,3,FALSE)="1002",M138,VLOOKUP(D138,基础资料!$AK$5:$AM$204,3,FALSE)),"")))</f>
        <v/>
      </c>
      <c r="Q138" s="17" t="str">
        <f t="shared" si="7"/>
        <v/>
      </c>
      <c r="R138" t="str">
        <f t="shared" si="8"/>
        <v/>
      </c>
    </row>
    <row r="139" spans="1:18">
      <c r="A139" s="5"/>
      <c r="B139" t="str">
        <f t="shared" si="6"/>
        <v/>
      </c>
      <c r="C139" t="str">
        <f>IF(D139="","",IFERROR(INDEX(基础资料!$AJ$5:$AJ$204,MATCH(D139,基础资料!$AK$5:$AK$204,0)),""))</f>
        <v/>
      </c>
      <c r="J139" s="17"/>
      <c r="K139" s="17"/>
      <c r="L139" s="17" t="str">
        <f>IF(OR(A139="",E139=""),"",SUMIFS(期初数据!$C$5:$C$14,期初数据!$A$5:$A$14,E139)+SUMIFS($J$4:J139,$E$4:E139,E139)-SUMIFS($K$4:K139,$E$4:E139,E139)+SUMIFS($K$4:K139,$F$4:F139,E139,$D$4:D139,"账户转账"))</f>
        <v/>
      </c>
      <c r="M139" t="str">
        <f>IF(E139="","",IFERROR(VLOOKUP(E139,基础资料!$A$5:$C$204,3,FALSE),""))</f>
        <v/>
      </c>
      <c r="N139" t="str">
        <f>IF(D139="账户转账",IFERROR(VLOOKUP(F139,基础资料!$A$5:$C$204,3,FALSE),""),"")</f>
        <v/>
      </c>
      <c r="O139" t="str">
        <f>IF(D139="","",IF(D139="账户转账",N139,IFERROR(IF(VLOOKUP(D139,基础资料!$AK$5:$AM$204,2,FALSE)="1002",M139,VLOOKUP(D139,基础资料!$AK$5:$AM$204,2,FALSE)),"")))</f>
        <v/>
      </c>
      <c r="P139" t="str">
        <f>IF(D139="","",IF(D139="账户转账",M139,IFERROR(IF(VLOOKUP(D139,基础资料!$AK$5:$AM$204,3,FALSE)="1002",M139,VLOOKUP(D139,基础资料!$AK$5:$AM$204,3,FALSE)),"")))</f>
        <v/>
      </c>
      <c r="Q139" s="17" t="str">
        <f t="shared" si="7"/>
        <v/>
      </c>
      <c r="R139" t="str">
        <f t="shared" si="8"/>
        <v/>
      </c>
    </row>
    <row r="140" spans="1:18">
      <c r="A140" s="5"/>
      <c r="B140" t="str">
        <f t="shared" si="6"/>
        <v/>
      </c>
      <c r="C140" t="str">
        <f>IF(D140="","",IFERROR(INDEX(基础资料!$AJ$5:$AJ$204,MATCH(D140,基础资料!$AK$5:$AK$204,0)),""))</f>
        <v/>
      </c>
      <c r="J140" s="17"/>
      <c r="K140" s="17"/>
      <c r="L140" s="17" t="str">
        <f>IF(OR(A140="",E140=""),"",SUMIFS(期初数据!$C$5:$C$14,期初数据!$A$5:$A$14,E140)+SUMIFS($J$4:J140,$E$4:E140,E140)-SUMIFS($K$4:K140,$E$4:E140,E140)+SUMIFS($K$4:K140,$F$4:F140,E140,$D$4:D140,"账户转账"))</f>
        <v/>
      </c>
      <c r="M140" t="str">
        <f>IF(E140="","",IFERROR(VLOOKUP(E140,基础资料!$A$5:$C$204,3,FALSE),""))</f>
        <v/>
      </c>
      <c r="N140" t="str">
        <f>IF(D140="账户转账",IFERROR(VLOOKUP(F140,基础资料!$A$5:$C$204,3,FALSE),""),"")</f>
        <v/>
      </c>
      <c r="O140" t="str">
        <f>IF(D140="","",IF(D140="账户转账",N140,IFERROR(IF(VLOOKUP(D140,基础资料!$AK$5:$AM$204,2,FALSE)="1002",M140,VLOOKUP(D140,基础资料!$AK$5:$AM$204,2,FALSE)),"")))</f>
        <v/>
      </c>
      <c r="P140" t="str">
        <f>IF(D140="","",IF(D140="账户转账",M140,IFERROR(IF(VLOOKUP(D140,基础资料!$AK$5:$AM$204,3,FALSE)="1002",M140,VLOOKUP(D140,基础资料!$AK$5:$AM$204,3,FALSE)),"")))</f>
        <v/>
      </c>
      <c r="Q140" s="17" t="str">
        <f t="shared" si="7"/>
        <v/>
      </c>
      <c r="R140" t="str">
        <f t="shared" si="8"/>
        <v/>
      </c>
    </row>
    <row r="141" spans="1:18">
      <c r="A141" s="5"/>
      <c r="B141" t="str">
        <f t="shared" si="6"/>
        <v/>
      </c>
      <c r="C141" t="str">
        <f>IF(D141="","",IFERROR(INDEX(基础资料!$AJ$5:$AJ$204,MATCH(D141,基础资料!$AK$5:$AK$204,0)),""))</f>
        <v/>
      </c>
      <c r="J141" s="17"/>
      <c r="K141" s="17"/>
      <c r="L141" s="17" t="str">
        <f>IF(OR(A141="",E141=""),"",SUMIFS(期初数据!$C$5:$C$14,期初数据!$A$5:$A$14,E141)+SUMIFS($J$4:J141,$E$4:E141,E141)-SUMIFS($K$4:K141,$E$4:E141,E141)+SUMIFS($K$4:K141,$F$4:F141,E141,$D$4:D141,"账户转账"))</f>
        <v/>
      </c>
      <c r="M141" t="str">
        <f>IF(E141="","",IFERROR(VLOOKUP(E141,基础资料!$A$5:$C$204,3,FALSE),""))</f>
        <v/>
      </c>
      <c r="N141" t="str">
        <f>IF(D141="账户转账",IFERROR(VLOOKUP(F141,基础资料!$A$5:$C$204,3,FALSE),""),"")</f>
        <v/>
      </c>
      <c r="O141" t="str">
        <f>IF(D141="","",IF(D141="账户转账",N141,IFERROR(IF(VLOOKUP(D141,基础资料!$AK$5:$AM$204,2,FALSE)="1002",M141,VLOOKUP(D141,基础资料!$AK$5:$AM$204,2,FALSE)),"")))</f>
        <v/>
      </c>
      <c r="P141" t="str">
        <f>IF(D141="","",IF(D141="账户转账",M141,IFERROR(IF(VLOOKUP(D141,基础资料!$AK$5:$AM$204,3,FALSE)="1002",M141,VLOOKUP(D141,基础资料!$AK$5:$AM$204,3,FALSE)),"")))</f>
        <v/>
      </c>
      <c r="Q141" s="17" t="str">
        <f t="shared" si="7"/>
        <v/>
      </c>
      <c r="R141" t="str">
        <f t="shared" si="8"/>
        <v/>
      </c>
    </row>
    <row r="142" spans="1:18">
      <c r="A142" s="5"/>
      <c r="B142" t="str">
        <f t="shared" si="6"/>
        <v/>
      </c>
      <c r="C142" t="str">
        <f>IF(D142="","",IFERROR(INDEX(基础资料!$AJ$5:$AJ$204,MATCH(D142,基础资料!$AK$5:$AK$204,0)),""))</f>
        <v/>
      </c>
      <c r="J142" s="17"/>
      <c r="K142" s="17"/>
      <c r="L142" s="17" t="str">
        <f>IF(OR(A142="",E142=""),"",SUMIFS(期初数据!$C$5:$C$14,期初数据!$A$5:$A$14,E142)+SUMIFS($J$4:J142,$E$4:E142,E142)-SUMIFS($K$4:K142,$E$4:E142,E142)+SUMIFS($K$4:K142,$F$4:F142,E142,$D$4:D142,"账户转账"))</f>
        <v/>
      </c>
      <c r="M142" t="str">
        <f>IF(E142="","",IFERROR(VLOOKUP(E142,基础资料!$A$5:$C$204,3,FALSE),""))</f>
        <v/>
      </c>
      <c r="N142" t="str">
        <f>IF(D142="账户转账",IFERROR(VLOOKUP(F142,基础资料!$A$5:$C$204,3,FALSE),""),"")</f>
        <v/>
      </c>
      <c r="O142" t="str">
        <f>IF(D142="","",IF(D142="账户转账",N142,IFERROR(IF(VLOOKUP(D142,基础资料!$AK$5:$AM$204,2,FALSE)="1002",M142,VLOOKUP(D142,基础资料!$AK$5:$AM$204,2,FALSE)),"")))</f>
        <v/>
      </c>
      <c r="P142" t="str">
        <f>IF(D142="","",IF(D142="账户转账",M142,IFERROR(IF(VLOOKUP(D142,基础资料!$AK$5:$AM$204,3,FALSE)="1002",M142,VLOOKUP(D142,基础资料!$AK$5:$AM$204,3,FALSE)),"")))</f>
        <v/>
      </c>
      <c r="Q142" s="17" t="str">
        <f t="shared" si="7"/>
        <v/>
      </c>
      <c r="R142" t="str">
        <f t="shared" si="8"/>
        <v/>
      </c>
    </row>
    <row r="143" spans="1:18">
      <c r="A143" s="5"/>
      <c r="B143" t="str">
        <f t="shared" si="6"/>
        <v/>
      </c>
      <c r="C143" t="str">
        <f>IF(D143="","",IFERROR(INDEX(基础资料!$AJ$5:$AJ$204,MATCH(D143,基础资料!$AK$5:$AK$204,0)),""))</f>
        <v/>
      </c>
      <c r="J143" s="17"/>
      <c r="K143" s="17"/>
      <c r="L143" s="17" t="str">
        <f>IF(OR(A143="",E143=""),"",SUMIFS(期初数据!$C$5:$C$14,期初数据!$A$5:$A$14,E143)+SUMIFS($J$4:J143,$E$4:E143,E143)-SUMIFS($K$4:K143,$E$4:E143,E143)+SUMIFS($K$4:K143,$F$4:F143,E143,$D$4:D143,"账户转账"))</f>
        <v/>
      </c>
      <c r="M143" t="str">
        <f>IF(E143="","",IFERROR(VLOOKUP(E143,基础资料!$A$5:$C$204,3,FALSE),""))</f>
        <v/>
      </c>
      <c r="N143" t="str">
        <f>IF(D143="账户转账",IFERROR(VLOOKUP(F143,基础资料!$A$5:$C$204,3,FALSE),""),"")</f>
        <v/>
      </c>
      <c r="O143" t="str">
        <f>IF(D143="","",IF(D143="账户转账",N143,IFERROR(IF(VLOOKUP(D143,基础资料!$AK$5:$AM$204,2,FALSE)="1002",M143,VLOOKUP(D143,基础资料!$AK$5:$AM$204,2,FALSE)),"")))</f>
        <v/>
      </c>
      <c r="P143" t="str">
        <f>IF(D143="","",IF(D143="账户转账",M143,IFERROR(IF(VLOOKUP(D143,基础资料!$AK$5:$AM$204,3,FALSE)="1002",M143,VLOOKUP(D143,基础资料!$AK$5:$AM$204,3,FALSE)),"")))</f>
        <v/>
      </c>
      <c r="Q143" s="17" t="str">
        <f t="shared" si="7"/>
        <v/>
      </c>
      <c r="R143" t="str">
        <f t="shared" si="8"/>
        <v/>
      </c>
    </row>
    <row r="144" spans="1:18">
      <c r="A144" s="5"/>
      <c r="B144" t="str">
        <f t="shared" si="6"/>
        <v/>
      </c>
      <c r="C144" t="str">
        <f>IF(D144="","",IFERROR(INDEX(基础资料!$AJ$5:$AJ$204,MATCH(D144,基础资料!$AK$5:$AK$204,0)),""))</f>
        <v/>
      </c>
      <c r="J144" s="17"/>
      <c r="K144" s="17"/>
      <c r="L144" s="17" t="str">
        <f>IF(OR(A144="",E144=""),"",SUMIFS(期初数据!$C$5:$C$14,期初数据!$A$5:$A$14,E144)+SUMIFS($J$4:J144,$E$4:E144,E144)-SUMIFS($K$4:K144,$E$4:E144,E144)+SUMIFS($K$4:K144,$F$4:F144,E144,$D$4:D144,"账户转账"))</f>
        <v/>
      </c>
      <c r="M144" t="str">
        <f>IF(E144="","",IFERROR(VLOOKUP(E144,基础资料!$A$5:$C$204,3,FALSE),""))</f>
        <v/>
      </c>
      <c r="N144" t="str">
        <f>IF(D144="账户转账",IFERROR(VLOOKUP(F144,基础资料!$A$5:$C$204,3,FALSE),""),"")</f>
        <v/>
      </c>
      <c r="O144" t="str">
        <f>IF(D144="","",IF(D144="账户转账",N144,IFERROR(IF(VLOOKUP(D144,基础资料!$AK$5:$AM$204,2,FALSE)="1002",M144,VLOOKUP(D144,基础资料!$AK$5:$AM$204,2,FALSE)),"")))</f>
        <v/>
      </c>
      <c r="P144" t="str">
        <f>IF(D144="","",IF(D144="账户转账",M144,IFERROR(IF(VLOOKUP(D144,基础资料!$AK$5:$AM$204,3,FALSE)="1002",M144,VLOOKUP(D144,基础资料!$AK$5:$AM$204,3,FALSE)),"")))</f>
        <v/>
      </c>
      <c r="Q144" s="17" t="str">
        <f t="shared" si="7"/>
        <v/>
      </c>
      <c r="R144" t="str">
        <f t="shared" si="8"/>
        <v/>
      </c>
    </row>
    <row r="145" spans="1:18">
      <c r="A145" s="5"/>
      <c r="B145" t="str">
        <f t="shared" si="6"/>
        <v/>
      </c>
      <c r="C145" t="str">
        <f>IF(D145="","",IFERROR(INDEX(基础资料!$AJ$5:$AJ$204,MATCH(D145,基础资料!$AK$5:$AK$204,0)),""))</f>
        <v/>
      </c>
      <c r="J145" s="17"/>
      <c r="K145" s="17"/>
      <c r="L145" s="17" t="str">
        <f>IF(OR(A145="",E145=""),"",SUMIFS(期初数据!$C$5:$C$14,期初数据!$A$5:$A$14,E145)+SUMIFS($J$4:J145,$E$4:E145,E145)-SUMIFS($K$4:K145,$E$4:E145,E145)+SUMIFS($K$4:K145,$F$4:F145,E145,$D$4:D145,"账户转账"))</f>
        <v/>
      </c>
      <c r="M145" t="str">
        <f>IF(E145="","",IFERROR(VLOOKUP(E145,基础资料!$A$5:$C$204,3,FALSE),""))</f>
        <v/>
      </c>
      <c r="N145" t="str">
        <f>IF(D145="账户转账",IFERROR(VLOOKUP(F145,基础资料!$A$5:$C$204,3,FALSE),""),"")</f>
        <v/>
      </c>
      <c r="O145" t="str">
        <f>IF(D145="","",IF(D145="账户转账",N145,IFERROR(IF(VLOOKUP(D145,基础资料!$AK$5:$AM$204,2,FALSE)="1002",M145,VLOOKUP(D145,基础资料!$AK$5:$AM$204,2,FALSE)),"")))</f>
        <v/>
      </c>
      <c r="P145" t="str">
        <f>IF(D145="","",IF(D145="账户转账",M145,IFERROR(IF(VLOOKUP(D145,基础资料!$AK$5:$AM$204,3,FALSE)="1002",M145,VLOOKUP(D145,基础资料!$AK$5:$AM$204,3,FALSE)),"")))</f>
        <v/>
      </c>
      <c r="Q145" s="17" t="str">
        <f t="shared" si="7"/>
        <v/>
      </c>
      <c r="R145" t="str">
        <f t="shared" si="8"/>
        <v/>
      </c>
    </row>
    <row r="146" spans="1:18">
      <c r="A146" s="5"/>
      <c r="B146" t="str">
        <f t="shared" si="6"/>
        <v/>
      </c>
      <c r="C146" t="str">
        <f>IF(D146="","",IFERROR(INDEX(基础资料!$AJ$5:$AJ$204,MATCH(D146,基础资料!$AK$5:$AK$204,0)),""))</f>
        <v/>
      </c>
      <c r="J146" s="17"/>
      <c r="K146" s="17"/>
      <c r="L146" s="17" t="str">
        <f>IF(OR(A146="",E146=""),"",SUMIFS(期初数据!$C$5:$C$14,期初数据!$A$5:$A$14,E146)+SUMIFS($J$4:J146,$E$4:E146,E146)-SUMIFS($K$4:K146,$E$4:E146,E146)+SUMIFS($K$4:K146,$F$4:F146,E146,$D$4:D146,"账户转账"))</f>
        <v/>
      </c>
      <c r="M146" t="str">
        <f>IF(E146="","",IFERROR(VLOOKUP(E146,基础资料!$A$5:$C$204,3,FALSE),""))</f>
        <v/>
      </c>
      <c r="N146" t="str">
        <f>IF(D146="账户转账",IFERROR(VLOOKUP(F146,基础资料!$A$5:$C$204,3,FALSE),""),"")</f>
        <v/>
      </c>
      <c r="O146" t="str">
        <f>IF(D146="","",IF(D146="账户转账",N146,IFERROR(IF(VLOOKUP(D146,基础资料!$AK$5:$AM$204,2,FALSE)="1002",M146,VLOOKUP(D146,基础资料!$AK$5:$AM$204,2,FALSE)),"")))</f>
        <v/>
      </c>
      <c r="P146" t="str">
        <f>IF(D146="","",IF(D146="账户转账",M146,IFERROR(IF(VLOOKUP(D146,基础资料!$AK$5:$AM$204,3,FALSE)="1002",M146,VLOOKUP(D146,基础资料!$AK$5:$AM$204,3,FALSE)),"")))</f>
        <v/>
      </c>
      <c r="Q146" s="17" t="str">
        <f t="shared" si="7"/>
        <v/>
      </c>
      <c r="R146" t="str">
        <f t="shared" si="8"/>
        <v/>
      </c>
    </row>
    <row r="147" spans="1:18">
      <c r="A147" s="5"/>
      <c r="B147" t="str">
        <f t="shared" si="6"/>
        <v/>
      </c>
      <c r="C147" t="str">
        <f>IF(D147="","",IFERROR(INDEX(基础资料!$AJ$5:$AJ$204,MATCH(D147,基础资料!$AK$5:$AK$204,0)),""))</f>
        <v/>
      </c>
      <c r="J147" s="17"/>
      <c r="K147" s="17"/>
      <c r="L147" s="17" t="str">
        <f>IF(OR(A147="",E147=""),"",SUMIFS(期初数据!$C$5:$C$14,期初数据!$A$5:$A$14,E147)+SUMIFS($J$4:J147,$E$4:E147,E147)-SUMIFS($K$4:K147,$E$4:E147,E147)+SUMIFS($K$4:K147,$F$4:F147,E147,$D$4:D147,"账户转账"))</f>
        <v/>
      </c>
      <c r="M147" t="str">
        <f>IF(E147="","",IFERROR(VLOOKUP(E147,基础资料!$A$5:$C$204,3,FALSE),""))</f>
        <v/>
      </c>
      <c r="N147" t="str">
        <f>IF(D147="账户转账",IFERROR(VLOOKUP(F147,基础资料!$A$5:$C$204,3,FALSE),""),"")</f>
        <v/>
      </c>
      <c r="O147" t="str">
        <f>IF(D147="","",IF(D147="账户转账",N147,IFERROR(IF(VLOOKUP(D147,基础资料!$AK$5:$AM$204,2,FALSE)="1002",M147,VLOOKUP(D147,基础资料!$AK$5:$AM$204,2,FALSE)),"")))</f>
        <v/>
      </c>
      <c r="P147" t="str">
        <f>IF(D147="","",IF(D147="账户转账",M147,IFERROR(IF(VLOOKUP(D147,基础资料!$AK$5:$AM$204,3,FALSE)="1002",M147,VLOOKUP(D147,基础资料!$AK$5:$AM$204,3,FALSE)),"")))</f>
        <v/>
      </c>
      <c r="Q147" s="17" t="str">
        <f t="shared" si="7"/>
        <v/>
      </c>
      <c r="R147" t="str">
        <f t="shared" si="8"/>
        <v/>
      </c>
    </row>
    <row r="148" spans="1:18">
      <c r="A148" s="5"/>
      <c r="B148" t="str">
        <f t="shared" si="6"/>
        <v/>
      </c>
      <c r="C148" t="str">
        <f>IF(D148="","",IFERROR(INDEX(基础资料!$AJ$5:$AJ$204,MATCH(D148,基础资料!$AK$5:$AK$204,0)),""))</f>
        <v/>
      </c>
      <c r="J148" s="17"/>
      <c r="K148" s="17"/>
      <c r="L148" s="17" t="str">
        <f>IF(OR(A148="",E148=""),"",SUMIFS(期初数据!$C$5:$C$14,期初数据!$A$5:$A$14,E148)+SUMIFS($J$4:J148,$E$4:E148,E148)-SUMIFS($K$4:K148,$E$4:E148,E148)+SUMIFS($K$4:K148,$F$4:F148,E148,$D$4:D148,"账户转账"))</f>
        <v/>
      </c>
      <c r="M148" t="str">
        <f>IF(E148="","",IFERROR(VLOOKUP(E148,基础资料!$A$5:$C$204,3,FALSE),""))</f>
        <v/>
      </c>
      <c r="N148" t="str">
        <f>IF(D148="账户转账",IFERROR(VLOOKUP(F148,基础资料!$A$5:$C$204,3,FALSE),""),"")</f>
        <v/>
      </c>
      <c r="O148" t="str">
        <f>IF(D148="","",IF(D148="账户转账",N148,IFERROR(IF(VLOOKUP(D148,基础资料!$AK$5:$AM$204,2,FALSE)="1002",M148,VLOOKUP(D148,基础资料!$AK$5:$AM$204,2,FALSE)),"")))</f>
        <v/>
      </c>
      <c r="P148" t="str">
        <f>IF(D148="","",IF(D148="账户转账",M148,IFERROR(IF(VLOOKUP(D148,基础资料!$AK$5:$AM$204,3,FALSE)="1002",M148,VLOOKUP(D148,基础资料!$AK$5:$AM$204,3,FALSE)),"")))</f>
        <v/>
      </c>
      <c r="Q148" s="17" t="str">
        <f t="shared" si="7"/>
        <v/>
      </c>
      <c r="R148" t="str">
        <f t="shared" si="8"/>
        <v/>
      </c>
    </row>
    <row r="149" spans="1:18">
      <c r="A149" s="5"/>
      <c r="B149" t="str">
        <f t="shared" si="6"/>
        <v/>
      </c>
      <c r="C149" t="str">
        <f>IF(D149="","",IFERROR(INDEX(基础资料!$AJ$5:$AJ$204,MATCH(D149,基础资料!$AK$5:$AK$204,0)),""))</f>
        <v/>
      </c>
      <c r="J149" s="17"/>
      <c r="K149" s="17"/>
      <c r="L149" s="17" t="str">
        <f>IF(OR(A149="",E149=""),"",SUMIFS(期初数据!$C$5:$C$14,期初数据!$A$5:$A$14,E149)+SUMIFS($J$4:J149,$E$4:E149,E149)-SUMIFS($K$4:K149,$E$4:E149,E149)+SUMIFS($K$4:K149,$F$4:F149,E149,$D$4:D149,"账户转账"))</f>
        <v/>
      </c>
      <c r="M149" t="str">
        <f>IF(E149="","",IFERROR(VLOOKUP(E149,基础资料!$A$5:$C$204,3,FALSE),""))</f>
        <v/>
      </c>
      <c r="N149" t="str">
        <f>IF(D149="账户转账",IFERROR(VLOOKUP(F149,基础资料!$A$5:$C$204,3,FALSE),""),"")</f>
        <v/>
      </c>
      <c r="O149" t="str">
        <f>IF(D149="","",IF(D149="账户转账",N149,IFERROR(IF(VLOOKUP(D149,基础资料!$AK$5:$AM$204,2,FALSE)="1002",M149,VLOOKUP(D149,基础资料!$AK$5:$AM$204,2,FALSE)),"")))</f>
        <v/>
      </c>
      <c r="P149" t="str">
        <f>IF(D149="","",IF(D149="账户转账",M149,IFERROR(IF(VLOOKUP(D149,基础资料!$AK$5:$AM$204,3,FALSE)="1002",M149,VLOOKUP(D149,基础资料!$AK$5:$AM$204,3,FALSE)),"")))</f>
        <v/>
      </c>
      <c r="Q149" s="17" t="str">
        <f t="shared" si="7"/>
        <v/>
      </c>
      <c r="R149" t="str">
        <f t="shared" si="8"/>
        <v/>
      </c>
    </row>
    <row r="150" spans="1:18">
      <c r="A150" s="5"/>
      <c r="B150" t="str">
        <f t="shared" si="6"/>
        <v/>
      </c>
      <c r="C150" t="str">
        <f>IF(D150="","",IFERROR(INDEX(基础资料!$AJ$5:$AJ$204,MATCH(D150,基础资料!$AK$5:$AK$204,0)),""))</f>
        <v/>
      </c>
      <c r="J150" s="17"/>
      <c r="K150" s="17"/>
      <c r="L150" s="17" t="str">
        <f>IF(OR(A150="",E150=""),"",SUMIFS(期初数据!$C$5:$C$14,期初数据!$A$5:$A$14,E150)+SUMIFS($J$4:J150,$E$4:E150,E150)-SUMIFS($K$4:K150,$E$4:E150,E150)+SUMIFS($K$4:K150,$F$4:F150,E150,$D$4:D150,"账户转账"))</f>
        <v/>
      </c>
      <c r="M150" t="str">
        <f>IF(E150="","",IFERROR(VLOOKUP(E150,基础资料!$A$5:$C$204,3,FALSE),""))</f>
        <v/>
      </c>
      <c r="N150" t="str">
        <f>IF(D150="账户转账",IFERROR(VLOOKUP(F150,基础资料!$A$5:$C$204,3,FALSE),""),"")</f>
        <v/>
      </c>
      <c r="O150" t="str">
        <f>IF(D150="","",IF(D150="账户转账",N150,IFERROR(IF(VLOOKUP(D150,基础资料!$AK$5:$AM$204,2,FALSE)="1002",M150,VLOOKUP(D150,基础资料!$AK$5:$AM$204,2,FALSE)),"")))</f>
        <v/>
      </c>
      <c r="P150" t="str">
        <f>IF(D150="","",IF(D150="账户转账",M150,IFERROR(IF(VLOOKUP(D150,基础资料!$AK$5:$AM$204,3,FALSE)="1002",M150,VLOOKUP(D150,基础资料!$AK$5:$AM$204,3,FALSE)),"")))</f>
        <v/>
      </c>
      <c r="Q150" s="17" t="str">
        <f t="shared" si="7"/>
        <v/>
      </c>
      <c r="R150" t="str">
        <f t="shared" si="8"/>
        <v/>
      </c>
    </row>
    <row r="151" spans="1:18">
      <c r="A151" s="5"/>
      <c r="B151" t="str">
        <f t="shared" si="6"/>
        <v/>
      </c>
      <c r="C151" t="str">
        <f>IF(D151="","",IFERROR(INDEX(基础资料!$AJ$5:$AJ$204,MATCH(D151,基础资料!$AK$5:$AK$204,0)),""))</f>
        <v/>
      </c>
      <c r="J151" s="17"/>
      <c r="K151" s="17"/>
      <c r="L151" s="17" t="str">
        <f>IF(OR(A151="",E151=""),"",SUMIFS(期初数据!$C$5:$C$14,期初数据!$A$5:$A$14,E151)+SUMIFS($J$4:J151,$E$4:E151,E151)-SUMIFS($K$4:K151,$E$4:E151,E151)+SUMIFS($K$4:K151,$F$4:F151,E151,$D$4:D151,"账户转账"))</f>
        <v/>
      </c>
      <c r="M151" t="str">
        <f>IF(E151="","",IFERROR(VLOOKUP(E151,基础资料!$A$5:$C$204,3,FALSE),""))</f>
        <v/>
      </c>
      <c r="N151" t="str">
        <f>IF(D151="账户转账",IFERROR(VLOOKUP(F151,基础资料!$A$5:$C$204,3,FALSE),""),"")</f>
        <v/>
      </c>
      <c r="O151" t="str">
        <f>IF(D151="","",IF(D151="账户转账",N151,IFERROR(IF(VLOOKUP(D151,基础资料!$AK$5:$AM$204,2,FALSE)="1002",M151,VLOOKUP(D151,基础资料!$AK$5:$AM$204,2,FALSE)),"")))</f>
        <v/>
      </c>
      <c r="P151" t="str">
        <f>IF(D151="","",IF(D151="账户转账",M151,IFERROR(IF(VLOOKUP(D151,基础资料!$AK$5:$AM$204,3,FALSE)="1002",M151,VLOOKUP(D151,基础资料!$AK$5:$AM$204,3,FALSE)),"")))</f>
        <v/>
      </c>
      <c r="Q151" s="17" t="str">
        <f t="shared" si="7"/>
        <v/>
      </c>
      <c r="R151" t="str">
        <f t="shared" si="8"/>
        <v/>
      </c>
    </row>
    <row r="152" spans="1:18">
      <c r="A152" s="5"/>
      <c r="B152" t="str">
        <f t="shared" si="6"/>
        <v/>
      </c>
      <c r="C152" t="str">
        <f>IF(D152="","",IFERROR(INDEX(基础资料!$AJ$5:$AJ$204,MATCH(D152,基础资料!$AK$5:$AK$204,0)),""))</f>
        <v/>
      </c>
      <c r="J152" s="17"/>
      <c r="K152" s="17"/>
      <c r="L152" s="17" t="str">
        <f>IF(OR(A152="",E152=""),"",SUMIFS(期初数据!$C$5:$C$14,期初数据!$A$5:$A$14,E152)+SUMIFS($J$4:J152,$E$4:E152,E152)-SUMIFS($K$4:K152,$E$4:E152,E152)+SUMIFS($K$4:K152,$F$4:F152,E152,$D$4:D152,"账户转账"))</f>
        <v/>
      </c>
      <c r="M152" t="str">
        <f>IF(E152="","",IFERROR(VLOOKUP(E152,基础资料!$A$5:$C$204,3,FALSE),""))</f>
        <v/>
      </c>
      <c r="N152" t="str">
        <f>IF(D152="账户转账",IFERROR(VLOOKUP(F152,基础资料!$A$5:$C$204,3,FALSE),""),"")</f>
        <v/>
      </c>
      <c r="O152" t="str">
        <f>IF(D152="","",IF(D152="账户转账",N152,IFERROR(IF(VLOOKUP(D152,基础资料!$AK$5:$AM$204,2,FALSE)="1002",M152,VLOOKUP(D152,基础资料!$AK$5:$AM$204,2,FALSE)),"")))</f>
        <v/>
      </c>
      <c r="P152" t="str">
        <f>IF(D152="","",IF(D152="账户转账",M152,IFERROR(IF(VLOOKUP(D152,基础资料!$AK$5:$AM$204,3,FALSE)="1002",M152,VLOOKUP(D152,基础资料!$AK$5:$AM$204,3,FALSE)),"")))</f>
        <v/>
      </c>
      <c r="Q152" s="17" t="str">
        <f t="shared" si="7"/>
        <v/>
      </c>
      <c r="R152" t="str">
        <f t="shared" si="8"/>
        <v/>
      </c>
    </row>
    <row r="153" spans="1:18">
      <c r="A153" s="5"/>
      <c r="B153" t="str">
        <f t="shared" si="6"/>
        <v/>
      </c>
      <c r="C153" t="str">
        <f>IF(D153="","",IFERROR(INDEX(基础资料!$AJ$5:$AJ$204,MATCH(D153,基础资料!$AK$5:$AK$204,0)),""))</f>
        <v/>
      </c>
      <c r="J153" s="17"/>
      <c r="K153" s="17"/>
      <c r="L153" s="17" t="str">
        <f>IF(OR(A153="",E153=""),"",SUMIFS(期初数据!$C$5:$C$14,期初数据!$A$5:$A$14,E153)+SUMIFS($J$4:J153,$E$4:E153,E153)-SUMIFS($K$4:K153,$E$4:E153,E153)+SUMIFS($K$4:K153,$F$4:F153,E153,$D$4:D153,"账户转账"))</f>
        <v/>
      </c>
      <c r="M153" t="str">
        <f>IF(E153="","",IFERROR(VLOOKUP(E153,基础资料!$A$5:$C$204,3,FALSE),""))</f>
        <v/>
      </c>
      <c r="N153" t="str">
        <f>IF(D153="账户转账",IFERROR(VLOOKUP(F153,基础资料!$A$5:$C$204,3,FALSE),""),"")</f>
        <v/>
      </c>
      <c r="O153" t="str">
        <f>IF(D153="","",IF(D153="账户转账",N153,IFERROR(IF(VLOOKUP(D153,基础资料!$AK$5:$AM$204,2,FALSE)="1002",M153,VLOOKUP(D153,基础资料!$AK$5:$AM$204,2,FALSE)),"")))</f>
        <v/>
      </c>
      <c r="P153" t="str">
        <f>IF(D153="","",IF(D153="账户转账",M153,IFERROR(IF(VLOOKUP(D153,基础资料!$AK$5:$AM$204,3,FALSE)="1002",M153,VLOOKUP(D153,基础资料!$AK$5:$AM$204,3,FALSE)),"")))</f>
        <v/>
      </c>
      <c r="Q153" s="17" t="str">
        <f t="shared" si="7"/>
        <v/>
      </c>
      <c r="R153" t="str">
        <f t="shared" si="8"/>
        <v/>
      </c>
    </row>
    <row r="154" spans="1:18">
      <c r="A154" s="5"/>
      <c r="B154" t="str">
        <f t="shared" si="6"/>
        <v/>
      </c>
      <c r="C154" t="str">
        <f>IF(D154="","",IFERROR(INDEX(基础资料!$AJ$5:$AJ$204,MATCH(D154,基础资料!$AK$5:$AK$204,0)),""))</f>
        <v/>
      </c>
      <c r="J154" s="17"/>
      <c r="K154" s="17"/>
      <c r="L154" s="17" t="str">
        <f>IF(OR(A154="",E154=""),"",SUMIFS(期初数据!$C$5:$C$14,期初数据!$A$5:$A$14,E154)+SUMIFS($J$4:J154,$E$4:E154,E154)-SUMIFS($K$4:K154,$E$4:E154,E154)+SUMIFS($K$4:K154,$F$4:F154,E154,$D$4:D154,"账户转账"))</f>
        <v/>
      </c>
      <c r="M154" t="str">
        <f>IF(E154="","",IFERROR(VLOOKUP(E154,基础资料!$A$5:$C$204,3,FALSE),""))</f>
        <v/>
      </c>
      <c r="N154" t="str">
        <f>IF(D154="账户转账",IFERROR(VLOOKUP(F154,基础资料!$A$5:$C$204,3,FALSE),""),"")</f>
        <v/>
      </c>
      <c r="O154" t="str">
        <f>IF(D154="","",IF(D154="账户转账",N154,IFERROR(IF(VLOOKUP(D154,基础资料!$AK$5:$AM$204,2,FALSE)="1002",M154,VLOOKUP(D154,基础资料!$AK$5:$AM$204,2,FALSE)),"")))</f>
        <v/>
      </c>
      <c r="P154" t="str">
        <f>IF(D154="","",IF(D154="账户转账",M154,IFERROR(IF(VLOOKUP(D154,基础资料!$AK$5:$AM$204,3,FALSE)="1002",M154,VLOOKUP(D154,基础资料!$AK$5:$AM$204,3,FALSE)),"")))</f>
        <v/>
      </c>
      <c r="Q154" s="17" t="str">
        <f t="shared" si="7"/>
        <v/>
      </c>
      <c r="R154" t="str">
        <f t="shared" si="8"/>
        <v/>
      </c>
    </row>
    <row r="155" spans="1:18">
      <c r="A155" s="5"/>
      <c r="B155" t="str">
        <f t="shared" si="6"/>
        <v/>
      </c>
      <c r="C155" t="str">
        <f>IF(D155="","",IFERROR(INDEX(基础资料!$AJ$5:$AJ$204,MATCH(D155,基础资料!$AK$5:$AK$204,0)),""))</f>
        <v/>
      </c>
      <c r="J155" s="17"/>
      <c r="K155" s="17"/>
      <c r="L155" s="17" t="str">
        <f>IF(OR(A155="",E155=""),"",SUMIFS(期初数据!$C$5:$C$14,期初数据!$A$5:$A$14,E155)+SUMIFS($J$4:J155,$E$4:E155,E155)-SUMIFS($K$4:K155,$E$4:E155,E155)+SUMIFS($K$4:K155,$F$4:F155,E155,$D$4:D155,"账户转账"))</f>
        <v/>
      </c>
      <c r="M155" t="str">
        <f>IF(E155="","",IFERROR(VLOOKUP(E155,基础资料!$A$5:$C$204,3,FALSE),""))</f>
        <v/>
      </c>
      <c r="N155" t="str">
        <f>IF(D155="账户转账",IFERROR(VLOOKUP(F155,基础资料!$A$5:$C$204,3,FALSE),""),"")</f>
        <v/>
      </c>
      <c r="O155" t="str">
        <f>IF(D155="","",IF(D155="账户转账",N155,IFERROR(IF(VLOOKUP(D155,基础资料!$AK$5:$AM$204,2,FALSE)="1002",M155,VLOOKUP(D155,基础资料!$AK$5:$AM$204,2,FALSE)),"")))</f>
        <v/>
      </c>
      <c r="P155" t="str">
        <f>IF(D155="","",IF(D155="账户转账",M155,IFERROR(IF(VLOOKUP(D155,基础资料!$AK$5:$AM$204,3,FALSE)="1002",M155,VLOOKUP(D155,基础资料!$AK$5:$AM$204,3,FALSE)),"")))</f>
        <v/>
      </c>
      <c r="Q155" s="17" t="str">
        <f t="shared" si="7"/>
        <v/>
      </c>
      <c r="R155" t="str">
        <f t="shared" si="8"/>
        <v/>
      </c>
    </row>
    <row r="156" spans="1:18">
      <c r="A156" s="5"/>
      <c r="B156" t="str">
        <f t="shared" si="6"/>
        <v/>
      </c>
      <c r="C156" t="str">
        <f>IF(D156="","",IFERROR(INDEX(基础资料!$AJ$5:$AJ$204,MATCH(D156,基础资料!$AK$5:$AK$204,0)),""))</f>
        <v/>
      </c>
      <c r="J156" s="17"/>
      <c r="K156" s="17"/>
      <c r="L156" s="17" t="str">
        <f>IF(OR(A156="",E156=""),"",SUMIFS(期初数据!$C$5:$C$14,期初数据!$A$5:$A$14,E156)+SUMIFS($J$4:J156,$E$4:E156,E156)-SUMIFS($K$4:K156,$E$4:E156,E156)+SUMIFS($K$4:K156,$F$4:F156,E156,$D$4:D156,"账户转账"))</f>
        <v/>
      </c>
      <c r="M156" t="str">
        <f>IF(E156="","",IFERROR(VLOOKUP(E156,基础资料!$A$5:$C$204,3,FALSE),""))</f>
        <v/>
      </c>
      <c r="N156" t="str">
        <f>IF(D156="账户转账",IFERROR(VLOOKUP(F156,基础资料!$A$5:$C$204,3,FALSE),""),"")</f>
        <v/>
      </c>
      <c r="O156" t="str">
        <f>IF(D156="","",IF(D156="账户转账",N156,IFERROR(IF(VLOOKUP(D156,基础资料!$AK$5:$AM$204,2,FALSE)="1002",M156,VLOOKUP(D156,基础资料!$AK$5:$AM$204,2,FALSE)),"")))</f>
        <v/>
      </c>
      <c r="P156" t="str">
        <f>IF(D156="","",IF(D156="账户转账",M156,IFERROR(IF(VLOOKUP(D156,基础资料!$AK$5:$AM$204,3,FALSE)="1002",M156,VLOOKUP(D156,基础资料!$AK$5:$AM$204,3,FALSE)),"")))</f>
        <v/>
      </c>
      <c r="Q156" s="17" t="str">
        <f t="shared" si="7"/>
        <v/>
      </c>
      <c r="R156" t="str">
        <f t="shared" si="8"/>
        <v/>
      </c>
    </row>
    <row r="157" spans="1:18">
      <c r="A157" s="5"/>
      <c r="B157" t="str">
        <f t="shared" si="6"/>
        <v/>
      </c>
      <c r="C157" t="str">
        <f>IF(D157="","",IFERROR(INDEX(基础资料!$AJ$5:$AJ$204,MATCH(D157,基础资料!$AK$5:$AK$204,0)),""))</f>
        <v/>
      </c>
      <c r="J157" s="17"/>
      <c r="K157" s="17"/>
      <c r="L157" s="17" t="str">
        <f>IF(OR(A157="",E157=""),"",SUMIFS(期初数据!$C$5:$C$14,期初数据!$A$5:$A$14,E157)+SUMIFS($J$4:J157,$E$4:E157,E157)-SUMIFS($K$4:K157,$E$4:E157,E157)+SUMIFS($K$4:K157,$F$4:F157,E157,$D$4:D157,"账户转账"))</f>
        <v/>
      </c>
      <c r="M157" t="str">
        <f>IF(E157="","",IFERROR(VLOOKUP(E157,基础资料!$A$5:$C$204,3,FALSE),""))</f>
        <v/>
      </c>
      <c r="N157" t="str">
        <f>IF(D157="账户转账",IFERROR(VLOOKUP(F157,基础资料!$A$5:$C$204,3,FALSE),""),"")</f>
        <v/>
      </c>
      <c r="O157" t="str">
        <f>IF(D157="","",IF(D157="账户转账",N157,IFERROR(IF(VLOOKUP(D157,基础资料!$AK$5:$AM$204,2,FALSE)="1002",M157,VLOOKUP(D157,基础资料!$AK$5:$AM$204,2,FALSE)),"")))</f>
        <v/>
      </c>
      <c r="P157" t="str">
        <f>IF(D157="","",IF(D157="账户转账",M157,IFERROR(IF(VLOOKUP(D157,基础资料!$AK$5:$AM$204,3,FALSE)="1002",M157,VLOOKUP(D157,基础资料!$AK$5:$AM$204,3,FALSE)),"")))</f>
        <v/>
      </c>
      <c r="Q157" s="17" t="str">
        <f t="shared" si="7"/>
        <v/>
      </c>
      <c r="R157" t="str">
        <f t="shared" si="8"/>
        <v/>
      </c>
    </row>
    <row r="158" spans="1:18">
      <c r="A158" s="5"/>
      <c r="B158" t="str">
        <f t="shared" si="6"/>
        <v/>
      </c>
      <c r="C158" t="str">
        <f>IF(D158="","",IFERROR(INDEX(基础资料!$AJ$5:$AJ$204,MATCH(D158,基础资料!$AK$5:$AK$204,0)),""))</f>
        <v/>
      </c>
      <c r="J158" s="17"/>
      <c r="K158" s="17"/>
      <c r="L158" s="17" t="str">
        <f>IF(OR(A158="",E158=""),"",SUMIFS(期初数据!$C$5:$C$14,期初数据!$A$5:$A$14,E158)+SUMIFS($J$4:J158,$E$4:E158,E158)-SUMIFS($K$4:K158,$E$4:E158,E158)+SUMIFS($K$4:K158,$F$4:F158,E158,$D$4:D158,"账户转账"))</f>
        <v/>
      </c>
      <c r="M158" t="str">
        <f>IF(E158="","",IFERROR(VLOOKUP(E158,基础资料!$A$5:$C$204,3,FALSE),""))</f>
        <v/>
      </c>
      <c r="N158" t="str">
        <f>IF(D158="账户转账",IFERROR(VLOOKUP(F158,基础资料!$A$5:$C$204,3,FALSE),""),"")</f>
        <v/>
      </c>
      <c r="O158" t="str">
        <f>IF(D158="","",IF(D158="账户转账",N158,IFERROR(IF(VLOOKUP(D158,基础资料!$AK$5:$AM$204,2,FALSE)="1002",M158,VLOOKUP(D158,基础资料!$AK$5:$AM$204,2,FALSE)),"")))</f>
        <v/>
      </c>
      <c r="P158" t="str">
        <f>IF(D158="","",IF(D158="账户转账",M158,IFERROR(IF(VLOOKUP(D158,基础资料!$AK$5:$AM$204,3,FALSE)="1002",M158,VLOOKUP(D158,基础资料!$AK$5:$AM$204,3,FALSE)),"")))</f>
        <v/>
      </c>
      <c r="Q158" s="17" t="str">
        <f t="shared" si="7"/>
        <v/>
      </c>
      <c r="R158" t="str">
        <f t="shared" si="8"/>
        <v/>
      </c>
    </row>
    <row r="159" spans="1:18">
      <c r="A159" s="5"/>
      <c r="B159" t="str">
        <f t="shared" si="6"/>
        <v/>
      </c>
      <c r="C159" t="str">
        <f>IF(D159="","",IFERROR(INDEX(基础资料!$AJ$5:$AJ$204,MATCH(D159,基础资料!$AK$5:$AK$204,0)),""))</f>
        <v/>
      </c>
      <c r="J159" s="17"/>
      <c r="K159" s="17"/>
      <c r="L159" s="17" t="str">
        <f>IF(OR(A159="",E159=""),"",SUMIFS(期初数据!$C$5:$C$14,期初数据!$A$5:$A$14,E159)+SUMIFS($J$4:J159,$E$4:E159,E159)-SUMIFS($K$4:K159,$E$4:E159,E159)+SUMIFS($K$4:K159,$F$4:F159,E159,$D$4:D159,"账户转账"))</f>
        <v/>
      </c>
      <c r="M159" t="str">
        <f>IF(E159="","",IFERROR(VLOOKUP(E159,基础资料!$A$5:$C$204,3,FALSE),""))</f>
        <v/>
      </c>
      <c r="N159" t="str">
        <f>IF(D159="账户转账",IFERROR(VLOOKUP(F159,基础资料!$A$5:$C$204,3,FALSE),""),"")</f>
        <v/>
      </c>
      <c r="O159" t="str">
        <f>IF(D159="","",IF(D159="账户转账",N159,IFERROR(IF(VLOOKUP(D159,基础资料!$AK$5:$AM$204,2,FALSE)="1002",M159,VLOOKUP(D159,基础资料!$AK$5:$AM$204,2,FALSE)),"")))</f>
        <v/>
      </c>
      <c r="P159" t="str">
        <f>IF(D159="","",IF(D159="账户转账",M159,IFERROR(IF(VLOOKUP(D159,基础资料!$AK$5:$AM$204,3,FALSE)="1002",M159,VLOOKUP(D159,基础资料!$AK$5:$AM$204,3,FALSE)),"")))</f>
        <v/>
      </c>
      <c r="Q159" s="17" t="str">
        <f t="shared" si="7"/>
        <v/>
      </c>
      <c r="R159" t="str">
        <f t="shared" si="8"/>
        <v/>
      </c>
    </row>
    <row r="160" spans="1:18">
      <c r="A160" s="5"/>
      <c r="B160" t="str">
        <f t="shared" si="6"/>
        <v/>
      </c>
      <c r="C160" t="str">
        <f>IF(D160="","",IFERROR(INDEX(基础资料!$AJ$5:$AJ$204,MATCH(D160,基础资料!$AK$5:$AK$204,0)),""))</f>
        <v/>
      </c>
      <c r="J160" s="17"/>
      <c r="K160" s="17"/>
      <c r="L160" s="17" t="str">
        <f>IF(OR(A160="",E160=""),"",SUMIFS(期初数据!$C$5:$C$14,期初数据!$A$5:$A$14,E160)+SUMIFS($J$4:J160,$E$4:E160,E160)-SUMIFS($K$4:K160,$E$4:E160,E160)+SUMIFS($K$4:K160,$F$4:F160,E160,$D$4:D160,"账户转账"))</f>
        <v/>
      </c>
      <c r="M160" t="str">
        <f>IF(E160="","",IFERROR(VLOOKUP(E160,基础资料!$A$5:$C$204,3,FALSE),""))</f>
        <v/>
      </c>
      <c r="N160" t="str">
        <f>IF(D160="账户转账",IFERROR(VLOOKUP(F160,基础资料!$A$5:$C$204,3,FALSE),""),"")</f>
        <v/>
      </c>
      <c r="O160" t="str">
        <f>IF(D160="","",IF(D160="账户转账",N160,IFERROR(IF(VLOOKUP(D160,基础资料!$AK$5:$AM$204,2,FALSE)="1002",M160,VLOOKUP(D160,基础资料!$AK$5:$AM$204,2,FALSE)),"")))</f>
        <v/>
      </c>
      <c r="P160" t="str">
        <f>IF(D160="","",IF(D160="账户转账",M160,IFERROR(IF(VLOOKUP(D160,基础资料!$AK$5:$AM$204,3,FALSE)="1002",M160,VLOOKUP(D160,基础资料!$AK$5:$AM$204,3,FALSE)),"")))</f>
        <v/>
      </c>
      <c r="Q160" s="17" t="str">
        <f t="shared" si="7"/>
        <v/>
      </c>
      <c r="R160" t="str">
        <f t="shared" si="8"/>
        <v/>
      </c>
    </row>
    <row r="161" spans="1:18">
      <c r="A161" s="5"/>
      <c r="B161" t="str">
        <f t="shared" si="6"/>
        <v/>
      </c>
      <c r="C161" t="str">
        <f>IF(D161="","",IFERROR(INDEX(基础资料!$AJ$5:$AJ$204,MATCH(D161,基础资料!$AK$5:$AK$204,0)),""))</f>
        <v/>
      </c>
      <c r="J161" s="17"/>
      <c r="K161" s="17"/>
      <c r="L161" s="17" t="str">
        <f>IF(OR(A161="",E161=""),"",SUMIFS(期初数据!$C$5:$C$14,期初数据!$A$5:$A$14,E161)+SUMIFS($J$4:J161,$E$4:E161,E161)-SUMIFS($K$4:K161,$E$4:E161,E161)+SUMIFS($K$4:K161,$F$4:F161,E161,$D$4:D161,"账户转账"))</f>
        <v/>
      </c>
      <c r="M161" t="str">
        <f>IF(E161="","",IFERROR(VLOOKUP(E161,基础资料!$A$5:$C$204,3,FALSE),""))</f>
        <v/>
      </c>
      <c r="N161" t="str">
        <f>IF(D161="账户转账",IFERROR(VLOOKUP(F161,基础资料!$A$5:$C$204,3,FALSE),""),"")</f>
        <v/>
      </c>
      <c r="O161" t="str">
        <f>IF(D161="","",IF(D161="账户转账",N161,IFERROR(IF(VLOOKUP(D161,基础资料!$AK$5:$AM$204,2,FALSE)="1002",M161,VLOOKUP(D161,基础资料!$AK$5:$AM$204,2,FALSE)),"")))</f>
        <v/>
      </c>
      <c r="P161" t="str">
        <f>IF(D161="","",IF(D161="账户转账",M161,IFERROR(IF(VLOOKUP(D161,基础资料!$AK$5:$AM$204,3,FALSE)="1002",M161,VLOOKUP(D161,基础资料!$AK$5:$AM$204,3,FALSE)),"")))</f>
        <v/>
      </c>
      <c r="Q161" s="17" t="str">
        <f t="shared" si="7"/>
        <v/>
      </c>
      <c r="R161" t="str">
        <f t="shared" si="8"/>
        <v/>
      </c>
    </row>
    <row r="162" spans="1:18">
      <c r="A162" s="5"/>
      <c r="B162" t="str">
        <f t="shared" si="6"/>
        <v/>
      </c>
      <c r="C162" t="str">
        <f>IF(D162="","",IFERROR(INDEX(基础资料!$AJ$5:$AJ$204,MATCH(D162,基础资料!$AK$5:$AK$204,0)),""))</f>
        <v/>
      </c>
      <c r="J162" s="17"/>
      <c r="K162" s="17"/>
      <c r="L162" s="17" t="str">
        <f>IF(OR(A162="",E162=""),"",SUMIFS(期初数据!$C$5:$C$14,期初数据!$A$5:$A$14,E162)+SUMIFS($J$4:J162,$E$4:E162,E162)-SUMIFS($K$4:K162,$E$4:E162,E162)+SUMIFS($K$4:K162,$F$4:F162,E162,$D$4:D162,"账户转账"))</f>
        <v/>
      </c>
      <c r="M162" t="str">
        <f>IF(E162="","",IFERROR(VLOOKUP(E162,基础资料!$A$5:$C$204,3,FALSE),""))</f>
        <v/>
      </c>
      <c r="N162" t="str">
        <f>IF(D162="账户转账",IFERROR(VLOOKUP(F162,基础资料!$A$5:$C$204,3,FALSE),""),"")</f>
        <v/>
      </c>
      <c r="O162" t="str">
        <f>IF(D162="","",IF(D162="账户转账",N162,IFERROR(IF(VLOOKUP(D162,基础资料!$AK$5:$AM$204,2,FALSE)="1002",M162,VLOOKUP(D162,基础资料!$AK$5:$AM$204,2,FALSE)),"")))</f>
        <v/>
      </c>
      <c r="P162" t="str">
        <f>IF(D162="","",IF(D162="账户转账",M162,IFERROR(IF(VLOOKUP(D162,基础资料!$AK$5:$AM$204,3,FALSE)="1002",M162,VLOOKUP(D162,基础资料!$AK$5:$AM$204,3,FALSE)),"")))</f>
        <v/>
      </c>
      <c r="Q162" s="17" t="str">
        <f t="shared" si="7"/>
        <v/>
      </c>
      <c r="R162" t="str">
        <f t="shared" si="8"/>
        <v/>
      </c>
    </row>
    <row r="163" spans="1:18">
      <c r="A163" s="5"/>
      <c r="B163" t="str">
        <f t="shared" si="6"/>
        <v/>
      </c>
      <c r="C163" t="str">
        <f>IF(D163="","",IFERROR(INDEX(基础资料!$AJ$5:$AJ$204,MATCH(D163,基础资料!$AK$5:$AK$204,0)),""))</f>
        <v/>
      </c>
      <c r="J163" s="17"/>
      <c r="K163" s="17"/>
      <c r="L163" s="17" t="str">
        <f>IF(OR(A163="",E163=""),"",SUMIFS(期初数据!$C$5:$C$14,期初数据!$A$5:$A$14,E163)+SUMIFS($J$4:J163,$E$4:E163,E163)-SUMIFS($K$4:K163,$E$4:E163,E163)+SUMIFS($K$4:K163,$F$4:F163,E163,$D$4:D163,"账户转账"))</f>
        <v/>
      </c>
      <c r="M163" t="str">
        <f>IF(E163="","",IFERROR(VLOOKUP(E163,基础资料!$A$5:$C$204,3,FALSE),""))</f>
        <v/>
      </c>
      <c r="N163" t="str">
        <f>IF(D163="账户转账",IFERROR(VLOOKUP(F163,基础资料!$A$5:$C$204,3,FALSE),""),"")</f>
        <v/>
      </c>
      <c r="O163" t="str">
        <f>IF(D163="","",IF(D163="账户转账",N163,IFERROR(IF(VLOOKUP(D163,基础资料!$AK$5:$AM$204,2,FALSE)="1002",M163,VLOOKUP(D163,基础资料!$AK$5:$AM$204,2,FALSE)),"")))</f>
        <v/>
      </c>
      <c r="P163" t="str">
        <f>IF(D163="","",IF(D163="账户转账",M163,IFERROR(IF(VLOOKUP(D163,基础资料!$AK$5:$AM$204,3,FALSE)="1002",M163,VLOOKUP(D163,基础资料!$AK$5:$AM$204,3,FALSE)),"")))</f>
        <v/>
      </c>
      <c r="Q163" s="17" t="str">
        <f t="shared" si="7"/>
        <v/>
      </c>
      <c r="R163" t="str">
        <f t="shared" si="8"/>
        <v/>
      </c>
    </row>
    <row r="164" spans="1:18">
      <c r="A164" s="5"/>
      <c r="B164" t="str">
        <f t="shared" si="6"/>
        <v/>
      </c>
      <c r="C164" t="str">
        <f>IF(D164="","",IFERROR(INDEX(基础资料!$AJ$5:$AJ$204,MATCH(D164,基础资料!$AK$5:$AK$204,0)),""))</f>
        <v/>
      </c>
      <c r="J164" s="17"/>
      <c r="K164" s="17"/>
      <c r="L164" s="17" t="str">
        <f>IF(OR(A164="",E164=""),"",SUMIFS(期初数据!$C$5:$C$14,期初数据!$A$5:$A$14,E164)+SUMIFS($J$4:J164,$E$4:E164,E164)-SUMIFS($K$4:K164,$E$4:E164,E164)+SUMIFS($K$4:K164,$F$4:F164,E164,$D$4:D164,"账户转账"))</f>
        <v/>
      </c>
      <c r="M164" t="str">
        <f>IF(E164="","",IFERROR(VLOOKUP(E164,基础资料!$A$5:$C$204,3,FALSE),""))</f>
        <v/>
      </c>
      <c r="N164" t="str">
        <f>IF(D164="账户转账",IFERROR(VLOOKUP(F164,基础资料!$A$5:$C$204,3,FALSE),""),"")</f>
        <v/>
      </c>
      <c r="O164" t="str">
        <f>IF(D164="","",IF(D164="账户转账",N164,IFERROR(IF(VLOOKUP(D164,基础资料!$AK$5:$AM$204,2,FALSE)="1002",M164,VLOOKUP(D164,基础资料!$AK$5:$AM$204,2,FALSE)),"")))</f>
        <v/>
      </c>
      <c r="P164" t="str">
        <f>IF(D164="","",IF(D164="账户转账",M164,IFERROR(IF(VLOOKUP(D164,基础资料!$AK$5:$AM$204,3,FALSE)="1002",M164,VLOOKUP(D164,基础资料!$AK$5:$AM$204,3,FALSE)),"")))</f>
        <v/>
      </c>
      <c r="Q164" s="17" t="str">
        <f t="shared" si="7"/>
        <v/>
      </c>
      <c r="R164" t="str">
        <f t="shared" si="8"/>
        <v/>
      </c>
    </row>
    <row r="165" spans="1:18">
      <c r="A165" s="5"/>
      <c r="B165" t="str">
        <f t="shared" si="6"/>
        <v/>
      </c>
      <c r="C165" t="str">
        <f>IF(D165="","",IFERROR(INDEX(基础资料!$AJ$5:$AJ$204,MATCH(D165,基础资料!$AK$5:$AK$204,0)),""))</f>
        <v/>
      </c>
      <c r="J165" s="17"/>
      <c r="K165" s="17"/>
      <c r="L165" s="17" t="str">
        <f>IF(OR(A165="",E165=""),"",SUMIFS(期初数据!$C$5:$C$14,期初数据!$A$5:$A$14,E165)+SUMIFS($J$4:J165,$E$4:E165,E165)-SUMIFS($K$4:K165,$E$4:E165,E165)+SUMIFS($K$4:K165,$F$4:F165,E165,$D$4:D165,"账户转账"))</f>
        <v/>
      </c>
      <c r="M165" t="str">
        <f>IF(E165="","",IFERROR(VLOOKUP(E165,基础资料!$A$5:$C$204,3,FALSE),""))</f>
        <v/>
      </c>
      <c r="N165" t="str">
        <f>IF(D165="账户转账",IFERROR(VLOOKUP(F165,基础资料!$A$5:$C$204,3,FALSE),""),"")</f>
        <v/>
      </c>
      <c r="O165" t="str">
        <f>IF(D165="","",IF(D165="账户转账",N165,IFERROR(IF(VLOOKUP(D165,基础资料!$AK$5:$AM$204,2,FALSE)="1002",M165,VLOOKUP(D165,基础资料!$AK$5:$AM$204,2,FALSE)),"")))</f>
        <v/>
      </c>
      <c r="P165" t="str">
        <f>IF(D165="","",IF(D165="账户转账",M165,IFERROR(IF(VLOOKUP(D165,基础资料!$AK$5:$AM$204,3,FALSE)="1002",M165,VLOOKUP(D165,基础资料!$AK$5:$AM$204,3,FALSE)),"")))</f>
        <v/>
      </c>
      <c r="Q165" s="17" t="str">
        <f t="shared" si="7"/>
        <v/>
      </c>
      <c r="R165" t="str">
        <f t="shared" si="8"/>
        <v/>
      </c>
    </row>
    <row r="166" spans="1:18">
      <c r="A166" s="5"/>
      <c r="B166" t="str">
        <f t="shared" si="6"/>
        <v/>
      </c>
      <c r="C166" t="str">
        <f>IF(D166="","",IFERROR(INDEX(基础资料!$AJ$5:$AJ$204,MATCH(D166,基础资料!$AK$5:$AK$204,0)),""))</f>
        <v/>
      </c>
      <c r="J166" s="17"/>
      <c r="K166" s="17"/>
      <c r="L166" s="17" t="str">
        <f>IF(OR(A166="",E166=""),"",SUMIFS(期初数据!$C$5:$C$14,期初数据!$A$5:$A$14,E166)+SUMIFS($J$4:J166,$E$4:E166,E166)-SUMIFS($K$4:K166,$E$4:E166,E166)+SUMIFS($K$4:K166,$F$4:F166,E166,$D$4:D166,"账户转账"))</f>
        <v/>
      </c>
      <c r="M166" t="str">
        <f>IF(E166="","",IFERROR(VLOOKUP(E166,基础资料!$A$5:$C$204,3,FALSE),""))</f>
        <v/>
      </c>
      <c r="N166" t="str">
        <f>IF(D166="账户转账",IFERROR(VLOOKUP(F166,基础资料!$A$5:$C$204,3,FALSE),""),"")</f>
        <v/>
      </c>
      <c r="O166" t="str">
        <f>IF(D166="","",IF(D166="账户转账",N166,IFERROR(IF(VLOOKUP(D166,基础资料!$AK$5:$AM$204,2,FALSE)="1002",M166,VLOOKUP(D166,基础资料!$AK$5:$AM$204,2,FALSE)),"")))</f>
        <v/>
      </c>
      <c r="P166" t="str">
        <f>IF(D166="","",IF(D166="账户转账",M166,IFERROR(IF(VLOOKUP(D166,基础资料!$AK$5:$AM$204,3,FALSE)="1002",M166,VLOOKUP(D166,基础资料!$AK$5:$AM$204,3,FALSE)),"")))</f>
        <v/>
      </c>
      <c r="Q166" s="17" t="str">
        <f t="shared" si="7"/>
        <v/>
      </c>
      <c r="R166" t="str">
        <f t="shared" si="8"/>
        <v/>
      </c>
    </row>
    <row r="167" spans="1:18">
      <c r="A167" s="5"/>
      <c r="B167" t="str">
        <f t="shared" si="6"/>
        <v/>
      </c>
      <c r="C167" t="str">
        <f>IF(D167="","",IFERROR(INDEX(基础资料!$AJ$5:$AJ$204,MATCH(D167,基础资料!$AK$5:$AK$204,0)),""))</f>
        <v/>
      </c>
      <c r="J167" s="17"/>
      <c r="K167" s="17"/>
      <c r="L167" s="17" t="str">
        <f>IF(OR(A167="",E167=""),"",SUMIFS(期初数据!$C$5:$C$14,期初数据!$A$5:$A$14,E167)+SUMIFS($J$4:J167,$E$4:E167,E167)-SUMIFS($K$4:K167,$E$4:E167,E167)+SUMIFS($K$4:K167,$F$4:F167,E167,$D$4:D167,"账户转账"))</f>
        <v/>
      </c>
      <c r="M167" t="str">
        <f>IF(E167="","",IFERROR(VLOOKUP(E167,基础资料!$A$5:$C$204,3,FALSE),""))</f>
        <v/>
      </c>
      <c r="N167" t="str">
        <f>IF(D167="账户转账",IFERROR(VLOOKUP(F167,基础资料!$A$5:$C$204,3,FALSE),""),"")</f>
        <v/>
      </c>
      <c r="O167" t="str">
        <f>IF(D167="","",IF(D167="账户转账",N167,IFERROR(IF(VLOOKUP(D167,基础资料!$AK$5:$AM$204,2,FALSE)="1002",M167,VLOOKUP(D167,基础资料!$AK$5:$AM$204,2,FALSE)),"")))</f>
        <v/>
      </c>
      <c r="P167" t="str">
        <f>IF(D167="","",IF(D167="账户转账",M167,IFERROR(IF(VLOOKUP(D167,基础资料!$AK$5:$AM$204,3,FALSE)="1002",M167,VLOOKUP(D167,基础资料!$AK$5:$AM$204,3,FALSE)),"")))</f>
        <v/>
      </c>
      <c r="Q167" s="17" t="str">
        <f t="shared" si="7"/>
        <v/>
      </c>
      <c r="R167" t="str">
        <f t="shared" si="8"/>
        <v/>
      </c>
    </row>
    <row r="168" spans="1:18">
      <c r="A168" s="5"/>
      <c r="B168" t="str">
        <f t="shared" si="6"/>
        <v/>
      </c>
      <c r="C168" t="str">
        <f>IF(D168="","",IFERROR(INDEX(基础资料!$AJ$5:$AJ$204,MATCH(D168,基础资料!$AK$5:$AK$204,0)),""))</f>
        <v/>
      </c>
      <c r="J168" s="17"/>
      <c r="K168" s="17"/>
      <c r="L168" s="17" t="str">
        <f>IF(OR(A168="",E168=""),"",SUMIFS(期初数据!$C$5:$C$14,期初数据!$A$5:$A$14,E168)+SUMIFS($J$4:J168,$E$4:E168,E168)-SUMIFS($K$4:K168,$E$4:E168,E168)+SUMIFS($K$4:K168,$F$4:F168,E168,$D$4:D168,"账户转账"))</f>
        <v/>
      </c>
      <c r="M168" t="str">
        <f>IF(E168="","",IFERROR(VLOOKUP(E168,基础资料!$A$5:$C$204,3,FALSE),""))</f>
        <v/>
      </c>
      <c r="N168" t="str">
        <f>IF(D168="账户转账",IFERROR(VLOOKUP(F168,基础资料!$A$5:$C$204,3,FALSE),""),"")</f>
        <v/>
      </c>
      <c r="O168" t="str">
        <f>IF(D168="","",IF(D168="账户转账",N168,IFERROR(IF(VLOOKUP(D168,基础资料!$AK$5:$AM$204,2,FALSE)="1002",M168,VLOOKUP(D168,基础资料!$AK$5:$AM$204,2,FALSE)),"")))</f>
        <v/>
      </c>
      <c r="P168" t="str">
        <f>IF(D168="","",IF(D168="账户转账",M168,IFERROR(IF(VLOOKUP(D168,基础资料!$AK$5:$AM$204,3,FALSE)="1002",M168,VLOOKUP(D168,基础资料!$AK$5:$AM$204,3,FALSE)),"")))</f>
        <v/>
      </c>
      <c r="Q168" s="17" t="str">
        <f t="shared" si="7"/>
        <v/>
      </c>
      <c r="R168" t="str">
        <f t="shared" si="8"/>
        <v/>
      </c>
    </row>
    <row r="169" spans="1:18">
      <c r="A169" s="5"/>
      <c r="B169" t="str">
        <f t="shared" si="6"/>
        <v/>
      </c>
      <c r="C169" t="str">
        <f>IF(D169="","",IFERROR(INDEX(基础资料!$AJ$5:$AJ$204,MATCH(D169,基础资料!$AK$5:$AK$204,0)),""))</f>
        <v/>
      </c>
      <c r="J169" s="17"/>
      <c r="K169" s="17"/>
      <c r="L169" s="17" t="str">
        <f>IF(OR(A169="",E169=""),"",SUMIFS(期初数据!$C$5:$C$14,期初数据!$A$5:$A$14,E169)+SUMIFS($J$4:J169,$E$4:E169,E169)-SUMIFS($K$4:K169,$E$4:E169,E169)+SUMIFS($K$4:K169,$F$4:F169,E169,$D$4:D169,"账户转账"))</f>
        <v/>
      </c>
      <c r="M169" t="str">
        <f>IF(E169="","",IFERROR(VLOOKUP(E169,基础资料!$A$5:$C$204,3,FALSE),""))</f>
        <v/>
      </c>
      <c r="N169" t="str">
        <f>IF(D169="账户转账",IFERROR(VLOOKUP(F169,基础资料!$A$5:$C$204,3,FALSE),""),"")</f>
        <v/>
      </c>
      <c r="O169" t="str">
        <f>IF(D169="","",IF(D169="账户转账",N169,IFERROR(IF(VLOOKUP(D169,基础资料!$AK$5:$AM$204,2,FALSE)="1002",M169,VLOOKUP(D169,基础资料!$AK$5:$AM$204,2,FALSE)),"")))</f>
        <v/>
      </c>
      <c r="P169" t="str">
        <f>IF(D169="","",IF(D169="账户转账",M169,IFERROR(IF(VLOOKUP(D169,基础资料!$AK$5:$AM$204,3,FALSE)="1002",M169,VLOOKUP(D169,基础资料!$AK$5:$AM$204,3,FALSE)),"")))</f>
        <v/>
      </c>
      <c r="Q169" s="17" t="str">
        <f t="shared" si="7"/>
        <v/>
      </c>
      <c r="R169" t="str">
        <f t="shared" si="8"/>
        <v/>
      </c>
    </row>
    <row r="170" spans="1:18">
      <c r="A170" s="5"/>
      <c r="B170" t="str">
        <f t="shared" si="6"/>
        <v/>
      </c>
      <c r="C170" t="str">
        <f>IF(D170="","",IFERROR(INDEX(基础资料!$AJ$5:$AJ$204,MATCH(D170,基础资料!$AK$5:$AK$204,0)),""))</f>
        <v/>
      </c>
      <c r="J170" s="17"/>
      <c r="K170" s="17"/>
      <c r="L170" s="17" t="str">
        <f>IF(OR(A170="",E170=""),"",SUMIFS(期初数据!$C$5:$C$14,期初数据!$A$5:$A$14,E170)+SUMIFS($J$4:J170,$E$4:E170,E170)-SUMIFS($K$4:K170,$E$4:E170,E170)+SUMIFS($K$4:K170,$F$4:F170,E170,$D$4:D170,"账户转账"))</f>
        <v/>
      </c>
      <c r="M170" t="str">
        <f>IF(E170="","",IFERROR(VLOOKUP(E170,基础资料!$A$5:$C$204,3,FALSE),""))</f>
        <v/>
      </c>
      <c r="N170" t="str">
        <f>IF(D170="账户转账",IFERROR(VLOOKUP(F170,基础资料!$A$5:$C$204,3,FALSE),""),"")</f>
        <v/>
      </c>
      <c r="O170" t="str">
        <f>IF(D170="","",IF(D170="账户转账",N170,IFERROR(IF(VLOOKUP(D170,基础资料!$AK$5:$AM$204,2,FALSE)="1002",M170,VLOOKUP(D170,基础资料!$AK$5:$AM$204,2,FALSE)),"")))</f>
        <v/>
      </c>
      <c r="P170" t="str">
        <f>IF(D170="","",IF(D170="账户转账",M170,IFERROR(IF(VLOOKUP(D170,基础资料!$AK$5:$AM$204,3,FALSE)="1002",M170,VLOOKUP(D170,基础资料!$AK$5:$AM$204,3,FALSE)),"")))</f>
        <v/>
      </c>
      <c r="Q170" s="17" t="str">
        <f t="shared" si="7"/>
        <v/>
      </c>
      <c r="R170" t="str">
        <f t="shared" si="8"/>
        <v/>
      </c>
    </row>
    <row r="171" spans="1:18">
      <c r="A171" s="5"/>
      <c r="B171" t="str">
        <f t="shared" si="6"/>
        <v/>
      </c>
      <c r="C171" t="str">
        <f>IF(D171="","",IFERROR(INDEX(基础资料!$AJ$5:$AJ$204,MATCH(D171,基础资料!$AK$5:$AK$204,0)),""))</f>
        <v/>
      </c>
      <c r="J171" s="17"/>
      <c r="K171" s="17"/>
      <c r="L171" s="17" t="str">
        <f>IF(OR(A171="",E171=""),"",SUMIFS(期初数据!$C$5:$C$14,期初数据!$A$5:$A$14,E171)+SUMIFS($J$4:J171,$E$4:E171,E171)-SUMIFS($K$4:K171,$E$4:E171,E171)+SUMIFS($K$4:K171,$F$4:F171,E171,$D$4:D171,"账户转账"))</f>
        <v/>
      </c>
      <c r="M171" t="str">
        <f>IF(E171="","",IFERROR(VLOOKUP(E171,基础资料!$A$5:$C$204,3,FALSE),""))</f>
        <v/>
      </c>
      <c r="N171" t="str">
        <f>IF(D171="账户转账",IFERROR(VLOOKUP(F171,基础资料!$A$5:$C$204,3,FALSE),""),"")</f>
        <v/>
      </c>
      <c r="O171" t="str">
        <f>IF(D171="","",IF(D171="账户转账",N171,IFERROR(IF(VLOOKUP(D171,基础资料!$AK$5:$AM$204,2,FALSE)="1002",M171,VLOOKUP(D171,基础资料!$AK$5:$AM$204,2,FALSE)),"")))</f>
        <v/>
      </c>
      <c r="P171" t="str">
        <f>IF(D171="","",IF(D171="账户转账",M171,IFERROR(IF(VLOOKUP(D171,基础资料!$AK$5:$AM$204,3,FALSE)="1002",M171,VLOOKUP(D171,基础资料!$AK$5:$AM$204,3,FALSE)),"")))</f>
        <v/>
      </c>
      <c r="Q171" s="17" t="str">
        <f t="shared" si="7"/>
        <v/>
      </c>
      <c r="R171" t="str">
        <f t="shared" si="8"/>
        <v/>
      </c>
    </row>
    <row r="172" spans="1:18">
      <c r="A172" s="5"/>
      <c r="B172" t="str">
        <f t="shared" si="6"/>
        <v/>
      </c>
      <c r="C172" t="str">
        <f>IF(D172="","",IFERROR(INDEX(基础资料!$AJ$5:$AJ$204,MATCH(D172,基础资料!$AK$5:$AK$204,0)),""))</f>
        <v/>
      </c>
      <c r="J172" s="17"/>
      <c r="K172" s="17"/>
      <c r="L172" s="17" t="str">
        <f>IF(OR(A172="",E172=""),"",SUMIFS(期初数据!$C$5:$C$14,期初数据!$A$5:$A$14,E172)+SUMIFS($J$4:J172,$E$4:E172,E172)-SUMIFS($K$4:K172,$E$4:E172,E172)+SUMIFS($K$4:K172,$F$4:F172,E172,$D$4:D172,"账户转账"))</f>
        <v/>
      </c>
      <c r="M172" t="str">
        <f>IF(E172="","",IFERROR(VLOOKUP(E172,基础资料!$A$5:$C$204,3,FALSE),""))</f>
        <v/>
      </c>
      <c r="N172" t="str">
        <f>IF(D172="账户转账",IFERROR(VLOOKUP(F172,基础资料!$A$5:$C$204,3,FALSE),""),"")</f>
        <v/>
      </c>
      <c r="O172" t="str">
        <f>IF(D172="","",IF(D172="账户转账",N172,IFERROR(IF(VLOOKUP(D172,基础资料!$AK$5:$AM$204,2,FALSE)="1002",M172,VLOOKUP(D172,基础资料!$AK$5:$AM$204,2,FALSE)),"")))</f>
        <v/>
      </c>
      <c r="P172" t="str">
        <f>IF(D172="","",IF(D172="账户转账",M172,IFERROR(IF(VLOOKUP(D172,基础资料!$AK$5:$AM$204,3,FALSE)="1002",M172,VLOOKUP(D172,基础资料!$AK$5:$AM$204,3,FALSE)),"")))</f>
        <v/>
      </c>
      <c r="Q172" s="17" t="str">
        <f t="shared" si="7"/>
        <v/>
      </c>
      <c r="R172" t="str">
        <f t="shared" si="8"/>
        <v/>
      </c>
    </row>
    <row r="173" spans="1:18">
      <c r="A173" s="5"/>
      <c r="B173" t="str">
        <f t="shared" si="6"/>
        <v/>
      </c>
      <c r="C173" t="str">
        <f>IF(D173="","",IFERROR(INDEX(基础资料!$AJ$5:$AJ$204,MATCH(D173,基础资料!$AK$5:$AK$204,0)),""))</f>
        <v/>
      </c>
      <c r="J173" s="17"/>
      <c r="K173" s="17"/>
      <c r="L173" s="17" t="str">
        <f>IF(OR(A173="",E173=""),"",SUMIFS(期初数据!$C$5:$C$14,期初数据!$A$5:$A$14,E173)+SUMIFS($J$4:J173,$E$4:E173,E173)-SUMIFS($K$4:K173,$E$4:E173,E173)+SUMIFS($K$4:K173,$F$4:F173,E173,$D$4:D173,"账户转账"))</f>
        <v/>
      </c>
      <c r="M173" t="str">
        <f>IF(E173="","",IFERROR(VLOOKUP(E173,基础资料!$A$5:$C$204,3,FALSE),""))</f>
        <v/>
      </c>
      <c r="N173" t="str">
        <f>IF(D173="账户转账",IFERROR(VLOOKUP(F173,基础资料!$A$5:$C$204,3,FALSE),""),"")</f>
        <v/>
      </c>
      <c r="O173" t="str">
        <f>IF(D173="","",IF(D173="账户转账",N173,IFERROR(IF(VLOOKUP(D173,基础资料!$AK$5:$AM$204,2,FALSE)="1002",M173,VLOOKUP(D173,基础资料!$AK$5:$AM$204,2,FALSE)),"")))</f>
        <v/>
      </c>
      <c r="P173" t="str">
        <f>IF(D173="","",IF(D173="账户转账",M173,IFERROR(IF(VLOOKUP(D173,基础资料!$AK$5:$AM$204,3,FALSE)="1002",M173,VLOOKUP(D173,基础资料!$AK$5:$AM$204,3,FALSE)),"")))</f>
        <v/>
      </c>
      <c r="Q173" s="17" t="str">
        <f t="shared" si="7"/>
        <v/>
      </c>
      <c r="R173" t="str">
        <f t="shared" si="8"/>
        <v/>
      </c>
    </row>
    <row r="174" spans="1:18">
      <c r="A174" s="5"/>
      <c r="B174" t="str">
        <f t="shared" si="6"/>
        <v/>
      </c>
      <c r="C174" t="str">
        <f>IF(D174="","",IFERROR(INDEX(基础资料!$AJ$5:$AJ$204,MATCH(D174,基础资料!$AK$5:$AK$204,0)),""))</f>
        <v/>
      </c>
      <c r="J174" s="17"/>
      <c r="K174" s="17"/>
      <c r="L174" s="17" t="str">
        <f>IF(OR(A174="",E174=""),"",SUMIFS(期初数据!$C$5:$C$14,期初数据!$A$5:$A$14,E174)+SUMIFS($J$4:J174,$E$4:E174,E174)-SUMIFS($K$4:K174,$E$4:E174,E174)+SUMIFS($K$4:K174,$F$4:F174,E174,$D$4:D174,"账户转账"))</f>
        <v/>
      </c>
      <c r="M174" t="str">
        <f>IF(E174="","",IFERROR(VLOOKUP(E174,基础资料!$A$5:$C$204,3,FALSE),""))</f>
        <v/>
      </c>
      <c r="N174" t="str">
        <f>IF(D174="账户转账",IFERROR(VLOOKUP(F174,基础资料!$A$5:$C$204,3,FALSE),""),"")</f>
        <v/>
      </c>
      <c r="O174" t="str">
        <f>IF(D174="","",IF(D174="账户转账",N174,IFERROR(IF(VLOOKUP(D174,基础资料!$AK$5:$AM$204,2,FALSE)="1002",M174,VLOOKUP(D174,基础资料!$AK$5:$AM$204,2,FALSE)),"")))</f>
        <v/>
      </c>
      <c r="P174" t="str">
        <f>IF(D174="","",IF(D174="账户转账",M174,IFERROR(IF(VLOOKUP(D174,基础资料!$AK$5:$AM$204,3,FALSE)="1002",M174,VLOOKUP(D174,基础资料!$AK$5:$AM$204,3,FALSE)),"")))</f>
        <v/>
      </c>
      <c r="Q174" s="17" t="str">
        <f t="shared" si="7"/>
        <v/>
      </c>
      <c r="R174" t="str">
        <f t="shared" si="8"/>
        <v/>
      </c>
    </row>
    <row r="175" spans="1:18">
      <c r="A175" s="5"/>
      <c r="B175" t="str">
        <f t="shared" si="6"/>
        <v/>
      </c>
      <c r="C175" t="str">
        <f>IF(D175="","",IFERROR(INDEX(基础资料!$AJ$5:$AJ$204,MATCH(D175,基础资料!$AK$5:$AK$204,0)),""))</f>
        <v/>
      </c>
      <c r="J175" s="17"/>
      <c r="K175" s="17"/>
      <c r="L175" s="17" t="str">
        <f>IF(OR(A175="",E175=""),"",SUMIFS(期初数据!$C$5:$C$14,期初数据!$A$5:$A$14,E175)+SUMIFS($J$4:J175,$E$4:E175,E175)-SUMIFS($K$4:K175,$E$4:E175,E175)+SUMIFS($K$4:K175,$F$4:F175,E175,$D$4:D175,"账户转账"))</f>
        <v/>
      </c>
      <c r="M175" t="str">
        <f>IF(E175="","",IFERROR(VLOOKUP(E175,基础资料!$A$5:$C$204,3,FALSE),""))</f>
        <v/>
      </c>
      <c r="N175" t="str">
        <f>IF(D175="账户转账",IFERROR(VLOOKUP(F175,基础资料!$A$5:$C$204,3,FALSE),""),"")</f>
        <v/>
      </c>
      <c r="O175" t="str">
        <f>IF(D175="","",IF(D175="账户转账",N175,IFERROR(IF(VLOOKUP(D175,基础资料!$AK$5:$AM$204,2,FALSE)="1002",M175,VLOOKUP(D175,基础资料!$AK$5:$AM$204,2,FALSE)),"")))</f>
        <v/>
      </c>
      <c r="P175" t="str">
        <f>IF(D175="","",IF(D175="账户转账",M175,IFERROR(IF(VLOOKUP(D175,基础资料!$AK$5:$AM$204,3,FALSE)="1002",M175,VLOOKUP(D175,基础资料!$AK$5:$AM$204,3,FALSE)),"")))</f>
        <v/>
      </c>
      <c r="Q175" s="17" t="str">
        <f t="shared" si="7"/>
        <v/>
      </c>
      <c r="R175" t="str">
        <f t="shared" si="8"/>
        <v/>
      </c>
    </row>
    <row r="176" spans="1:18">
      <c r="A176" s="5"/>
      <c r="B176" t="str">
        <f t="shared" si="6"/>
        <v/>
      </c>
      <c r="C176" t="str">
        <f>IF(D176="","",IFERROR(INDEX(基础资料!$AJ$5:$AJ$204,MATCH(D176,基础资料!$AK$5:$AK$204,0)),""))</f>
        <v/>
      </c>
      <c r="J176" s="17"/>
      <c r="K176" s="17"/>
      <c r="L176" s="17" t="str">
        <f>IF(OR(A176="",E176=""),"",SUMIFS(期初数据!$C$5:$C$14,期初数据!$A$5:$A$14,E176)+SUMIFS($J$4:J176,$E$4:E176,E176)-SUMIFS($K$4:K176,$E$4:E176,E176)+SUMIFS($K$4:K176,$F$4:F176,E176,$D$4:D176,"账户转账"))</f>
        <v/>
      </c>
      <c r="M176" t="str">
        <f>IF(E176="","",IFERROR(VLOOKUP(E176,基础资料!$A$5:$C$204,3,FALSE),""))</f>
        <v/>
      </c>
      <c r="N176" t="str">
        <f>IF(D176="账户转账",IFERROR(VLOOKUP(F176,基础资料!$A$5:$C$204,3,FALSE),""),"")</f>
        <v/>
      </c>
      <c r="O176" t="str">
        <f>IF(D176="","",IF(D176="账户转账",N176,IFERROR(IF(VLOOKUP(D176,基础资料!$AK$5:$AM$204,2,FALSE)="1002",M176,VLOOKUP(D176,基础资料!$AK$5:$AM$204,2,FALSE)),"")))</f>
        <v/>
      </c>
      <c r="P176" t="str">
        <f>IF(D176="","",IF(D176="账户转账",M176,IFERROR(IF(VLOOKUP(D176,基础资料!$AK$5:$AM$204,3,FALSE)="1002",M176,VLOOKUP(D176,基础资料!$AK$5:$AM$204,3,FALSE)),"")))</f>
        <v/>
      </c>
      <c r="Q176" s="17" t="str">
        <f t="shared" si="7"/>
        <v/>
      </c>
      <c r="R176" t="str">
        <f t="shared" si="8"/>
        <v/>
      </c>
    </row>
    <row r="177" spans="1:18">
      <c r="A177" s="5"/>
      <c r="B177" t="str">
        <f t="shared" si="6"/>
        <v/>
      </c>
      <c r="C177" t="str">
        <f>IF(D177="","",IFERROR(INDEX(基础资料!$AJ$5:$AJ$204,MATCH(D177,基础资料!$AK$5:$AK$204,0)),""))</f>
        <v/>
      </c>
      <c r="J177" s="17"/>
      <c r="K177" s="17"/>
      <c r="L177" s="17" t="str">
        <f>IF(OR(A177="",E177=""),"",SUMIFS(期初数据!$C$5:$C$14,期初数据!$A$5:$A$14,E177)+SUMIFS($J$4:J177,$E$4:E177,E177)-SUMIFS($K$4:K177,$E$4:E177,E177)+SUMIFS($K$4:K177,$F$4:F177,E177,$D$4:D177,"账户转账"))</f>
        <v/>
      </c>
      <c r="M177" t="str">
        <f>IF(E177="","",IFERROR(VLOOKUP(E177,基础资料!$A$5:$C$204,3,FALSE),""))</f>
        <v/>
      </c>
      <c r="N177" t="str">
        <f>IF(D177="账户转账",IFERROR(VLOOKUP(F177,基础资料!$A$5:$C$204,3,FALSE),""),"")</f>
        <v/>
      </c>
      <c r="O177" t="str">
        <f>IF(D177="","",IF(D177="账户转账",N177,IFERROR(IF(VLOOKUP(D177,基础资料!$AK$5:$AM$204,2,FALSE)="1002",M177,VLOOKUP(D177,基础资料!$AK$5:$AM$204,2,FALSE)),"")))</f>
        <v/>
      </c>
      <c r="P177" t="str">
        <f>IF(D177="","",IF(D177="账户转账",M177,IFERROR(IF(VLOOKUP(D177,基础资料!$AK$5:$AM$204,3,FALSE)="1002",M177,VLOOKUP(D177,基础资料!$AK$5:$AM$204,3,FALSE)),"")))</f>
        <v/>
      </c>
      <c r="Q177" s="17" t="str">
        <f t="shared" si="7"/>
        <v/>
      </c>
      <c r="R177" t="str">
        <f t="shared" si="8"/>
        <v/>
      </c>
    </row>
    <row r="178" spans="1:18">
      <c r="A178" s="5"/>
      <c r="B178" t="str">
        <f t="shared" si="6"/>
        <v/>
      </c>
      <c r="C178" t="str">
        <f>IF(D178="","",IFERROR(INDEX(基础资料!$AJ$5:$AJ$204,MATCH(D178,基础资料!$AK$5:$AK$204,0)),""))</f>
        <v/>
      </c>
      <c r="J178" s="17"/>
      <c r="K178" s="17"/>
      <c r="L178" s="17" t="str">
        <f>IF(OR(A178="",E178=""),"",SUMIFS(期初数据!$C$5:$C$14,期初数据!$A$5:$A$14,E178)+SUMIFS($J$4:J178,$E$4:E178,E178)-SUMIFS($K$4:K178,$E$4:E178,E178)+SUMIFS($K$4:K178,$F$4:F178,E178,$D$4:D178,"账户转账"))</f>
        <v/>
      </c>
      <c r="M178" t="str">
        <f>IF(E178="","",IFERROR(VLOOKUP(E178,基础资料!$A$5:$C$204,3,FALSE),""))</f>
        <v/>
      </c>
      <c r="N178" t="str">
        <f>IF(D178="账户转账",IFERROR(VLOOKUP(F178,基础资料!$A$5:$C$204,3,FALSE),""),"")</f>
        <v/>
      </c>
      <c r="O178" t="str">
        <f>IF(D178="","",IF(D178="账户转账",N178,IFERROR(IF(VLOOKUP(D178,基础资料!$AK$5:$AM$204,2,FALSE)="1002",M178,VLOOKUP(D178,基础资料!$AK$5:$AM$204,2,FALSE)),"")))</f>
        <v/>
      </c>
      <c r="P178" t="str">
        <f>IF(D178="","",IF(D178="账户转账",M178,IFERROR(IF(VLOOKUP(D178,基础资料!$AK$5:$AM$204,3,FALSE)="1002",M178,VLOOKUP(D178,基础资料!$AK$5:$AM$204,3,FALSE)),"")))</f>
        <v/>
      </c>
      <c r="Q178" s="17" t="str">
        <f t="shared" si="7"/>
        <v/>
      </c>
      <c r="R178" t="str">
        <f t="shared" si="8"/>
        <v/>
      </c>
    </row>
    <row r="179" spans="1:18">
      <c r="A179" s="5"/>
      <c r="B179" t="str">
        <f t="shared" si="6"/>
        <v/>
      </c>
      <c r="C179" t="str">
        <f>IF(D179="","",IFERROR(INDEX(基础资料!$AJ$5:$AJ$204,MATCH(D179,基础资料!$AK$5:$AK$204,0)),""))</f>
        <v/>
      </c>
      <c r="J179" s="17"/>
      <c r="K179" s="17"/>
      <c r="L179" s="17" t="str">
        <f>IF(OR(A179="",E179=""),"",SUMIFS(期初数据!$C$5:$C$14,期初数据!$A$5:$A$14,E179)+SUMIFS($J$4:J179,$E$4:E179,E179)-SUMIFS($K$4:K179,$E$4:E179,E179)+SUMIFS($K$4:K179,$F$4:F179,E179,$D$4:D179,"账户转账"))</f>
        <v/>
      </c>
      <c r="M179" t="str">
        <f>IF(E179="","",IFERROR(VLOOKUP(E179,基础资料!$A$5:$C$204,3,FALSE),""))</f>
        <v/>
      </c>
      <c r="N179" t="str">
        <f>IF(D179="账户转账",IFERROR(VLOOKUP(F179,基础资料!$A$5:$C$204,3,FALSE),""),"")</f>
        <v/>
      </c>
      <c r="O179" t="str">
        <f>IF(D179="","",IF(D179="账户转账",N179,IFERROR(IF(VLOOKUP(D179,基础资料!$AK$5:$AM$204,2,FALSE)="1002",M179,VLOOKUP(D179,基础资料!$AK$5:$AM$204,2,FALSE)),"")))</f>
        <v/>
      </c>
      <c r="P179" t="str">
        <f>IF(D179="","",IF(D179="账户转账",M179,IFERROR(IF(VLOOKUP(D179,基础资料!$AK$5:$AM$204,3,FALSE)="1002",M179,VLOOKUP(D179,基础资料!$AK$5:$AM$204,3,FALSE)),"")))</f>
        <v/>
      </c>
      <c r="Q179" s="17" t="str">
        <f t="shared" si="7"/>
        <v/>
      </c>
      <c r="R179" t="str">
        <f t="shared" si="8"/>
        <v/>
      </c>
    </row>
    <row r="180" spans="1:18">
      <c r="A180" s="5"/>
      <c r="B180" t="str">
        <f t="shared" si="6"/>
        <v/>
      </c>
      <c r="C180" t="str">
        <f>IF(D180="","",IFERROR(INDEX(基础资料!$AJ$5:$AJ$204,MATCH(D180,基础资料!$AK$5:$AK$204,0)),""))</f>
        <v/>
      </c>
      <c r="J180" s="17"/>
      <c r="K180" s="17"/>
      <c r="L180" s="17" t="str">
        <f>IF(OR(A180="",E180=""),"",SUMIFS(期初数据!$C$5:$C$14,期初数据!$A$5:$A$14,E180)+SUMIFS($J$4:J180,$E$4:E180,E180)-SUMIFS($K$4:K180,$E$4:E180,E180)+SUMIFS($K$4:K180,$F$4:F180,E180,$D$4:D180,"账户转账"))</f>
        <v/>
      </c>
      <c r="M180" t="str">
        <f>IF(E180="","",IFERROR(VLOOKUP(E180,基础资料!$A$5:$C$204,3,FALSE),""))</f>
        <v/>
      </c>
      <c r="N180" t="str">
        <f>IF(D180="账户转账",IFERROR(VLOOKUP(F180,基础资料!$A$5:$C$204,3,FALSE),""),"")</f>
        <v/>
      </c>
      <c r="O180" t="str">
        <f>IF(D180="","",IF(D180="账户转账",N180,IFERROR(IF(VLOOKUP(D180,基础资料!$AK$5:$AM$204,2,FALSE)="1002",M180,VLOOKUP(D180,基础资料!$AK$5:$AM$204,2,FALSE)),"")))</f>
        <v/>
      </c>
      <c r="P180" t="str">
        <f>IF(D180="","",IF(D180="账户转账",M180,IFERROR(IF(VLOOKUP(D180,基础资料!$AK$5:$AM$204,3,FALSE)="1002",M180,VLOOKUP(D180,基础资料!$AK$5:$AM$204,3,FALSE)),"")))</f>
        <v/>
      </c>
      <c r="Q180" s="17" t="str">
        <f t="shared" si="7"/>
        <v/>
      </c>
      <c r="R180" t="str">
        <f t="shared" si="8"/>
        <v/>
      </c>
    </row>
    <row r="181" spans="1:18">
      <c r="A181" s="5"/>
      <c r="B181" t="str">
        <f t="shared" si="6"/>
        <v/>
      </c>
      <c r="C181" t="str">
        <f>IF(D181="","",IFERROR(INDEX(基础资料!$AJ$5:$AJ$204,MATCH(D181,基础资料!$AK$5:$AK$204,0)),""))</f>
        <v/>
      </c>
      <c r="J181" s="17"/>
      <c r="K181" s="17"/>
      <c r="L181" s="17" t="str">
        <f>IF(OR(A181="",E181=""),"",SUMIFS(期初数据!$C$5:$C$14,期初数据!$A$5:$A$14,E181)+SUMIFS($J$4:J181,$E$4:E181,E181)-SUMIFS($K$4:K181,$E$4:E181,E181)+SUMIFS($K$4:K181,$F$4:F181,E181,$D$4:D181,"账户转账"))</f>
        <v/>
      </c>
      <c r="M181" t="str">
        <f>IF(E181="","",IFERROR(VLOOKUP(E181,基础资料!$A$5:$C$204,3,FALSE),""))</f>
        <v/>
      </c>
      <c r="N181" t="str">
        <f>IF(D181="账户转账",IFERROR(VLOOKUP(F181,基础资料!$A$5:$C$204,3,FALSE),""),"")</f>
        <v/>
      </c>
      <c r="O181" t="str">
        <f>IF(D181="","",IF(D181="账户转账",N181,IFERROR(IF(VLOOKUP(D181,基础资料!$AK$5:$AM$204,2,FALSE)="1002",M181,VLOOKUP(D181,基础资料!$AK$5:$AM$204,2,FALSE)),"")))</f>
        <v/>
      </c>
      <c r="P181" t="str">
        <f>IF(D181="","",IF(D181="账户转账",M181,IFERROR(IF(VLOOKUP(D181,基础资料!$AK$5:$AM$204,3,FALSE)="1002",M181,VLOOKUP(D181,基础资料!$AK$5:$AM$204,3,FALSE)),"")))</f>
        <v/>
      </c>
      <c r="Q181" s="17" t="str">
        <f t="shared" si="7"/>
        <v/>
      </c>
      <c r="R181" t="str">
        <f t="shared" si="8"/>
        <v/>
      </c>
    </row>
    <row r="182" spans="1:18">
      <c r="A182" s="5"/>
      <c r="B182" t="str">
        <f t="shared" si="6"/>
        <v/>
      </c>
      <c r="C182" t="str">
        <f>IF(D182="","",IFERROR(INDEX(基础资料!$AJ$5:$AJ$204,MATCH(D182,基础资料!$AK$5:$AK$204,0)),""))</f>
        <v/>
      </c>
      <c r="J182" s="17"/>
      <c r="K182" s="17"/>
      <c r="L182" s="17" t="str">
        <f>IF(OR(A182="",E182=""),"",SUMIFS(期初数据!$C$5:$C$14,期初数据!$A$5:$A$14,E182)+SUMIFS($J$4:J182,$E$4:E182,E182)-SUMIFS($K$4:K182,$E$4:E182,E182)+SUMIFS($K$4:K182,$F$4:F182,E182,$D$4:D182,"账户转账"))</f>
        <v/>
      </c>
      <c r="M182" t="str">
        <f>IF(E182="","",IFERROR(VLOOKUP(E182,基础资料!$A$5:$C$204,3,FALSE),""))</f>
        <v/>
      </c>
      <c r="N182" t="str">
        <f>IF(D182="账户转账",IFERROR(VLOOKUP(F182,基础资料!$A$5:$C$204,3,FALSE),""),"")</f>
        <v/>
      </c>
      <c r="O182" t="str">
        <f>IF(D182="","",IF(D182="账户转账",N182,IFERROR(IF(VLOOKUP(D182,基础资料!$AK$5:$AM$204,2,FALSE)="1002",M182,VLOOKUP(D182,基础资料!$AK$5:$AM$204,2,FALSE)),"")))</f>
        <v/>
      </c>
      <c r="P182" t="str">
        <f>IF(D182="","",IF(D182="账户转账",M182,IFERROR(IF(VLOOKUP(D182,基础资料!$AK$5:$AM$204,3,FALSE)="1002",M182,VLOOKUP(D182,基础资料!$AK$5:$AM$204,3,FALSE)),"")))</f>
        <v/>
      </c>
      <c r="Q182" s="17" t="str">
        <f t="shared" si="7"/>
        <v/>
      </c>
      <c r="R182" t="str">
        <f t="shared" si="8"/>
        <v/>
      </c>
    </row>
    <row r="183" spans="1:18">
      <c r="A183" s="5"/>
      <c r="B183" t="str">
        <f t="shared" si="6"/>
        <v/>
      </c>
      <c r="C183" t="str">
        <f>IF(D183="","",IFERROR(INDEX(基础资料!$AJ$5:$AJ$204,MATCH(D183,基础资料!$AK$5:$AK$204,0)),""))</f>
        <v/>
      </c>
      <c r="J183" s="17"/>
      <c r="K183" s="17"/>
      <c r="L183" s="17" t="str">
        <f>IF(OR(A183="",E183=""),"",SUMIFS(期初数据!$C$5:$C$14,期初数据!$A$5:$A$14,E183)+SUMIFS($J$4:J183,$E$4:E183,E183)-SUMIFS($K$4:K183,$E$4:E183,E183)+SUMIFS($K$4:K183,$F$4:F183,E183,$D$4:D183,"账户转账"))</f>
        <v/>
      </c>
      <c r="M183" t="str">
        <f>IF(E183="","",IFERROR(VLOOKUP(E183,基础资料!$A$5:$C$204,3,FALSE),""))</f>
        <v/>
      </c>
      <c r="N183" t="str">
        <f>IF(D183="账户转账",IFERROR(VLOOKUP(F183,基础资料!$A$5:$C$204,3,FALSE),""),"")</f>
        <v/>
      </c>
      <c r="O183" t="str">
        <f>IF(D183="","",IF(D183="账户转账",N183,IFERROR(IF(VLOOKUP(D183,基础资料!$AK$5:$AM$204,2,FALSE)="1002",M183,VLOOKUP(D183,基础资料!$AK$5:$AM$204,2,FALSE)),"")))</f>
        <v/>
      </c>
      <c r="P183" t="str">
        <f>IF(D183="","",IF(D183="账户转账",M183,IFERROR(IF(VLOOKUP(D183,基础资料!$AK$5:$AM$204,3,FALSE)="1002",M183,VLOOKUP(D183,基础资料!$AK$5:$AM$204,3,FALSE)),"")))</f>
        <v/>
      </c>
      <c r="Q183" s="17" t="str">
        <f t="shared" si="7"/>
        <v/>
      </c>
      <c r="R183" t="str">
        <f t="shared" si="8"/>
        <v/>
      </c>
    </row>
    <row r="184" spans="1:18">
      <c r="A184" s="5"/>
      <c r="B184" t="str">
        <f t="shared" si="6"/>
        <v/>
      </c>
      <c r="C184" t="str">
        <f>IF(D184="","",IFERROR(INDEX(基础资料!$AJ$5:$AJ$204,MATCH(D184,基础资料!$AK$5:$AK$204,0)),""))</f>
        <v/>
      </c>
      <c r="J184" s="17"/>
      <c r="K184" s="17"/>
      <c r="L184" s="17" t="str">
        <f>IF(OR(A184="",E184=""),"",SUMIFS(期初数据!$C$5:$C$14,期初数据!$A$5:$A$14,E184)+SUMIFS($J$4:J184,$E$4:E184,E184)-SUMIFS($K$4:K184,$E$4:E184,E184)+SUMIFS($K$4:K184,$F$4:F184,E184,$D$4:D184,"账户转账"))</f>
        <v/>
      </c>
      <c r="M184" t="str">
        <f>IF(E184="","",IFERROR(VLOOKUP(E184,基础资料!$A$5:$C$204,3,FALSE),""))</f>
        <v/>
      </c>
      <c r="N184" t="str">
        <f>IF(D184="账户转账",IFERROR(VLOOKUP(F184,基础资料!$A$5:$C$204,3,FALSE),""),"")</f>
        <v/>
      </c>
      <c r="O184" t="str">
        <f>IF(D184="","",IF(D184="账户转账",N184,IFERROR(IF(VLOOKUP(D184,基础资料!$AK$5:$AM$204,2,FALSE)="1002",M184,VLOOKUP(D184,基础资料!$AK$5:$AM$204,2,FALSE)),"")))</f>
        <v/>
      </c>
      <c r="P184" t="str">
        <f>IF(D184="","",IF(D184="账户转账",M184,IFERROR(IF(VLOOKUP(D184,基础资料!$AK$5:$AM$204,3,FALSE)="1002",M184,VLOOKUP(D184,基础资料!$AK$5:$AM$204,3,FALSE)),"")))</f>
        <v/>
      </c>
      <c r="Q184" s="17" t="str">
        <f t="shared" si="7"/>
        <v/>
      </c>
      <c r="R184" t="str">
        <f t="shared" si="8"/>
        <v/>
      </c>
    </row>
    <row r="185" spans="1:18">
      <c r="A185" s="5"/>
      <c r="B185" t="str">
        <f t="shared" si="6"/>
        <v/>
      </c>
      <c r="C185" t="str">
        <f>IF(D185="","",IFERROR(INDEX(基础资料!$AJ$5:$AJ$204,MATCH(D185,基础资料!$AK$5:$AK$204,0)),""))</f>
        <v/>
      </c>
      <c r="J185" s="17"/>
      <c r="K185" s="17"/>
      <c r="L185" s="17" t="str">
        <f>IF(OR(A185="",E185=""),"",SUMIFS(期初数据!$C$5:$C$14,期初数据!$A$5:$A$14,E185)+SUMIFS($J$4:J185,$E$4:E185,E185)-SUMIFS($K$4:K185,$E$4:E185,E185)+SUMIFS($K$4:K185,$F$4:F185,E185,$D$4:D185,"账户转账"))</f>
        <v/>
      </c>
      <c r="M185" t="str">
        <f>IF(E185="","",IFERROR(VLOOKUP(E185,基础资料!$A$5:$C$204,3,FALSE),""))</f>
        <v/>
      </c>
      <c r="N185" t="str">
        <f>IF(D185="账户转账",IFERROR(VLOOKUP(F185,基础资料!$A$5:$C$204,3,FALSE),""),"")</f>
        <v/>
      </c>
      <c r="O185" t="str">
        <f>IF(D185="","",IF(D185="账户转账",N185,IFERROR(IF(VLOOKUP(D185,基础资料!$AK$5:$AM$204,2,FALSE)="1002",M185,VLOOKUP(D185,基础资料!$AK$5:$AM$204,2,FALSE)),"")))</f>
        <v/>
      </c>
      <c r="P185" t="str">
        <f>IF(D185="","",IF(D185="账户转账",M185,IFERROR(IF(VLOOKUP(D185,基础资料!$AK$5:$AM$204,3,FALSE)="1002",M185,VLOOKUP(D185,基础资料!$AK$5:$AM$204,3,FALSE)),"")))</f>
        <v/>
      </c>
      <c r="Q185" s="17" t="str">
        <f t="shared" si="7"/>
        <v/>
      </c>
      <c r="R185" t="str">
        <f t="shared" si="8"/>
        <v/>
      </c>
    </row>
    <row r="186" spans="1:18">
      <c r="A186" s="5"/>
      <c r="B186" t="str">
        <f t="shared" si="6"/>
        <v/>
      </c>
      <c r="C186" t="str">
        <f>IF(D186="","",IFERROR(INDEX(基础资料!$AJ$5:$AJ$204,MATCH(D186,基础资料!$AK$5:$AK$204,0)),""))</f>
        <v/>
      </c>
      <c r="J186" s="17"/>
      <c r="K186" s="17"/>
      <c r="L186" s="17" t="str">
        <f>IF(OR(A186="",E186=""),"",SUMIFS(期初数据!$C$5:$C$14,期初数据!$A$5:$A$14,E186)+SUMIFS($J$4:J186,$E$4:E186,E186)-SUMIFS($K$4:K186,$E$4:E186,E186)+SUMIFS($K$4:K186,$F$4:F186,E186,$D$4:D186,"账户转账"))</f>
        <v/>
      </c>
      <c r="M186" t="str">
        <f>IF(E186="","",IFERROR(VLOOKUP(E186,基础资料!$A$5:$C$204,3,FALSE),""))</f>
        <v/>
      </c>
      <c r="N186" t="str">
        <f>IF(D186="账户转账",IFERROR(VLOOKUP(F186,基础资料!$A$5:$C$204,3,FALSE),""),"")</f>
        <v/>
      </c>
      <c r="O186" t="str">
        <f>IF(D186="","",IF(D186="账户转账",N186,IFERROR(IF(VLOOKUP(D186,基础资料!$AK$5:$AM$204,2,FALSE)="1002",M186,VLOOKUP(D186,基础资料!$AK$5:$AM$204,2,FALSE)),"")))</f>
        <v/>
      </c>
      <c r="P186" t="str">
        <f>IF(D186="","",IF(D186="账户转账",M186,IFERROR(IF(VLOOKUP(D186,基础资料!$AK$5:$AM$204,3,FALSE)="1002",M186,VLOOKUP(D186,基础资料!$AK$5:$AM$204,3,FALSE)),"")))</f>
        <v/>
      </c>
      <c r="Q186" s="17" t="str">
        <f t="shared" si="7"/>
        <v/>
      </c>
      <c r="R186" t="str">
        <f t="shared" si="8"/>
        <v/>
      </c>
    </row>
    <row r="187" spans="1:18">
      <c r="A187" s="5"/>
      <c r="B187" t="str">
        <f t="shared" si="6"/>
        <v/>
      </c>
      <c r="C187" t="str">
        <f>IF(D187="","",IFERROR(INDEX(基础资料!$AJ$5:$AJ$204,MATCH(D187,基础资料!$AK$5:$AK$204,0)),""))</f>
        <v/>
      </c>
      <c r="J187" s="17"/>
      <c r="K187" s="17"/>
      <c r="L187" s="17" t="str">
        <f>IF(OR(A187="",E187=""),"",SUMIFS(期初数据!$C$5:$C$14,期初数据!$A$5:$A$14,E187)+SUMIFS($J$4:J187,$E$4:E187,E187)-SUMIFS($K$4:K187,$E$4:E187,E187)+SUMIFS($K$4:K187,$F$4:F187,E187,$D$4:D187,"账户转账"))</f>
        <v/>
      </c>
      <c r="M187" t="str">
        <f>IF(E187="","",IFERROR(VLOOKUP(E187,基础资料!$A$5:$C$204,3,FALSE),""))</f>
        <v/>
      </c>
      <c r="N187" t="str">
        <f>IF(D187="账户转账",IFERROR(VLOOKUP(F187,基础资料!$A$5:$C$204,3,FALSE),""),"")</f>
        <v/>
      </c>
      <c r="O187" t="str">
        <f>IF(D187="","",IF(D187="账户转账",N187,IFERROR(IF(VLOOKUP(D187,基础资料!$AK$5:$AM$204,2,FALSE)="1002",M187,VLOOKUP(D187,基础资料!$AK$5:$AM$204,2,FALSE)),"")))</f>
        <v/>
      </c>
      <c r="P187" t="str">
        <f>IF(D187="","",IF(D187="账户转账",M187,IFERROR(IF(VLOOKUP(D187,基础资料!$AK$5:$AM$204,3,FALSE)="1002",M187,VLOOKUP(D187,基础资料!$AK$5:$AM$204,3,FALSE)),"")))</f>
        <v/>
      </c>
      <c r="Q187" s="17" t="str">
        <f t="shared" si="7"/>
        <v/>
      </c>
      <c r="R187" t="str">
        <f t="shared" si="8"/>
        <v/>
      </c>
    </row>
    <row r="188" spans="1:18">
      <c r="A188" s="5"/>
      <c r="B188" t="str">
        <f t="shared" si="6"/>
        <v/>
      </c>
      <c r="C188" t="str">
        <f>IF(D188="","",IFERROR(INDEX(基础资料!$AJ$5:$AJ$204,MATCH(D188,基础资料!$AK$5:$AK$204,0)),""))</f>
        <v/>
      </c>
      <c r="J188" s="17"/>
      <c r="K188" s="17"/>
      <c r="L188" s="17" t="str">
        <f>IF(OR(A188="",E188=""),"",SUMIFS(期初数据!$C$5:$C$14,期初数据!$A$5:$A$14,E188)+SUMIFS($J$4:J188,$E$4:E188,E188)-SUMIFS($K$4:K188,$E$4:E188,E188)+SUMIFS($K$4:K188,$F$4:F188,E188,$D$4:D188,"账户转账"))</f>
        <v/>
      </c>
      <c r="M188" t="str">
        <f>IF(E188="","",IFERROR(VLOOKUP(E188,基础资料!$A$5:$C$204,3,FALSE),""))</f>
        <v/>
      </c>
      <c r="N188" t="str">
        <f>IF(D188="账户转账",IFERROR(VLOOKUP(F188,基础资料!$A$5:$C$204,3,FALSE),""),"")</f>
        <v/>
      </c>
      <c r="O188" t="str">
        <f>IF(D188="","",IF(D188="账户转账",N188,IFERROR(IF(VLOOKUP(D188,基础资料!$AK$5:$AM$204,2,FALSE)="1002",M188,VLOOKUP(D188,基础资料!$AK$5:$AM$204,2,FALSE)),"")))</f>
        <v/>
      </c>
      <c r="P188" t="str">
        <f>IF(D188="","",IF(D188="账户转账",M188,IFERROR(IF(VLOOKUP(D188,基础资料!$AK$5:$AM$204,3,FALSE)="1002",M188,VLOOKUP(D188,基础资料!$AK$5:$AM$204,3,FALSE)),"")))</f>
        <v/>
      </c>
      <c r="Q188" s="17" t="str">
        <f t="shared" si="7"/>
        <v/>
      </c>
      <c r="R188" t="str">
        <f t="shared" si="8"/>
        <v/>
      </c>
    </row>
    <row r="189" spans="1:18">
      <c r="A189" s="5"/>
      <c r="B189" t="str">
        <f t="shared" si="6"/>
        <v/>
      </c>
      <c r="C189" t="str">
        <f>IF(D189="","",IFERROR(INDEX(基础资料!$AJ$5:$AJ$204,MATCH(D189,基础资料!$AK$5:$AK$204,0)),""))</f>
        <v/>
      </c>
      <c r="J189" s="17"/>
      <c r="K189" s="17"/>
      <c r="L189" s="17" t="str">
        <f>IF(OR(A189="",E189=""),"",SUMIFS(期初数据!$C$5:$C$14,期初数据!$A$5:$A$14,E189)+SUMIFS($J$4:J189,$E$4:E189,E189)-SUMIFS($K$4:K189,$E$4:E189,E189)+SUMIFS($K$4:K189,$F$4:F189,E189,$D$4:D189,"账户转账"))</f>
        <v/>
      </c>
      <c r="M189" t="str">
        <f>IF(E189="","",IFERROR(VLOOKUP(E189,基础资料!$A$5:$C$204,3,FALSE),""))</f>
        <v/>
      </c>
      <c r="N189" t="str">
        <f>IF(D189="账户转账",IFERROR(VLOOKUP(F189,基础资料!$A$5:$C$204,3,FALSE),""),"")</f>
        <v/>
      </c>
      <c r="O189" t="str">
        <f>IF(D189="","",IF(D189="账户转账",N189,IFERROR(IF(VLOOKUP(D189,基础资料!$AK$5:$AM$204,2,FALSE)="1002",M189,VLOOKUP(D189,基础资料!$AK$5:$AM$204,2,FALSE)),"")))</f>
        <v/>
      </c>
      <c r="P189" t="str">
        <f>IF(D189="","",IF(D189="账户转账",M189,IFERROR(IF(VLOOKUP(D189,基础资料!$AK$5:$AM$204,3,FALSE)="1002",M189,VLOOKUP(D189,基础资料!$AK$5:$AM$204,3,FALSE)),"")))</f>
        <v/>
      </c>
      <c r="Q189" s="17" t="str">
        <f t="shared" si="7"/>
        <v/>
      </c>
      <c r="R189" t="str">
        <f t="shared" si="8"/>
        <v/>
      </c>
    </row>
    <row r="190" spans="1:18">
      <c r="A190" s="5"/>
      <c r="B190" t="str">
        <f t="shared" si="6"/>
        <v/>
      </c>
      <c r="C190" t="str">
        <f>IF(D190="","",IFERROR(INDEX(基础资料!$AJ$5:$AJ$204,MATCH(D190,基础资料!$AK$5:$AK$204,0)),""))</f>
        <v/>
      </c>
      <c r="J190" s="17"/>
      <c r="K190" s="17"/>
      <c r="L190" s="17" t="str">
        <f>IF(OR(A190="",E190=""),"",SUMIFS(期初数据!$C$5:$C$14,期初数据!$A$5:$A$14,E190)+SUMIFS($J$4:J190,$E$4:E190,E190)-SUMIFS($K$4:K190,$E$4:E190,E190)+SUMIFS($K$4:K190,$F$4:F190,E190,$D$4:D190,"账户转账"))</f>
        <v/>
      </c>
      <c r="M190" t="str">
        <f>IF(E190="","",IFERROR(VLOOKUP(E190,基础资料!$A$5:$C$204,3,FALSE),""))</f>
        <v/>
      </c>
      <c r="N190" t="str">
        <f>IF(D190="账户转账",IFERROR(VLOOKUP(F190,基础资料!$A$5:$C$204,3,FALSE),""),"")</f>
        <v/>
      </c>
      <c r="O190" t="str">
        <f>IF(D190="","",IF(D190="账户转账",N190,IFERROR(IF(VLOOKUP(D190,基础资料!$AK$5:$AM$204,2,FALSE)="1002",M190,VLOOKUP(D190,基础资料!$AK$5:$AM$204,2,FALSE)),"")))</f>
        <v/>
      </c>
      <c r="P190" t="str">
        <f>IF(D190="","",IF(D190="账户转账",M190,IFERROR(IF(VLOOKUP(D190,基础资料!$AK$5:$AM$204,3,FALSE)="1002",M190,VLOOKUP(D190,基础资料!$AK$5:$AM$204,3,FALSE)),"")))</f>
        <v/>
      </c>
      <c r="Q190" s="17" t="str">
        <f t="shared" si="7"/>
        <v/>
      </c>
      <c r="R190" t="str">
        <f t="shared" si="8"/>
        <v/>
      </c>
    </row>
    <row r="191" spans="1:18">
      <c r="A191" s="5"/>
      <c r="B191" t="str">
        <f t="shared" si="6"/>
        <v/>
      </c>
      <c r="C191" t="str">
        <f>IF(D191="","",IFERROR(INDEX(基础资料!$AJ$5:$AJ$204,MATCH(D191,基础资料!$AK$5:$AK$204,0)),""))</f>
        <v/>
      </c>
      <c r="J191" s="17"/>
      <c r="K191" s="17"/>
      <c r="L191" s="17" t="str">
        <f>IF(OR(A191="",E191=""),"",SUMIFS(期初数据!$C$5:$C$14,期初数据!$A$5:$A$14,E191)+SUMIFS($J$4:J191,$E$4:E191,E191)-SUMIFS($K$4:K191,$E$4:E191,E191)+SUMIFS($K$4:K191,$F$4:F191,E191,$D$4:D191,"账户转账"))</f>
        <v/>
      </c>
      <c r="M191" t="str">
        <f>IF(E191="","",IFERROR(VLOOKUP(E191,基础资料!$A$5:$C$204,3,FALSE),""))</f>
        <v/>
      </c>
      <c r="N191" t="str">
        <f>IF(D191="账户转账",IFERROR(VLOOKUP(F191,基础资料!$A$5:$C$204,3,FALSE),""),"")</f>
        <v/>
      </c>
      <c r="O191" t="str">
        <f>IF(D191="","",IF(D191="账户转账",N191,IFERROR(IF(VLOOKUP(D191,基础资料!$AK$5:$AM$204,2,FALSE)="1002",M191,VLOOKUP(D191,基础资料!$AK$5:$AM$204,2,FALSE)),"")))</f>
        <v/>
      </c>
      <c r="P191" t="str">
        <f>IF(D191="","",IF(D191="账户转账",M191,IFERROR(IF(VLOOKUP(D191,基础资料!$AK$5:$AM$204,3,FALSE)="1002",M191,VLOOKUP(D191,基础资料!$AK$5:$AM$204,3,FALSE)),"")))</f>
        <v/>
      </c>
      <c r="Q191" s="17" t="str">
        <f t="shared" si="7"/>
        <v/>
      </c>
      <c r="R191" t="str">
        <f t="shared" si="8"/>
        <v/>
      </c>
    </row>
    <row r="192" spans="1:18">
      <c r="A192" s="5"/>
      <c r="B192" t="str">
        <f t="shared" si="6"/>
        <v/>
      </c>
      <c r="C192" t="str">
        <f>IF(D192="","",IFERROR(INDEX(基础资料!$AJ$5:$AJ$204,MATCH(D192,基础资料!$AK$5:$AK$204,0)),""))</f>
        <v/>
      </c>
      <c r="J192" s="17"/>
      <c r="K192" s="17"/>
      <c r="L192" s="17" t="str">
        <f>IF(OR(A192="",E192=""),"",SUMIFS(期初数据!$C$5:$C$14,期初数据!$A$5:$A$14,E192)+SUMIFS($J$4:J192,$E$4:E192,E192)-SUMIFS($K$4:K192,$E$4:E192,E192)+SUMIFS($K$4:K192,$F$4:F192,E192,$D$4:D192,"账户转账"))</f>
        <v/>
      </c>
      <c r="M192" t="str">
        <f>IF(E192="","",IFERROR(VLOOKUP(E192,基础资料!$A$5:$C$204,3,FALSE),""))</f>
        <v/>
      </c>
      <c r="N192" t="str">
        <f>IF(D192="账户转账",IFERROR(VLOOKUP(F192,基础资料!$A$5:$C$204,3,FALSE),""),"")</f>
        <v/>
      </c>
      <c r="O192" t="str">
        <f>IF(D192="","",IF(D192="账户转账",N192,IFERROR(IF(VLOOKUP(D192,基础资料!$AK$5:$AM$204,2,FALSE)="1002",M192,VLOOKUP(D192,基础资料!$AK$5:$AM$204,2,FALSE)),"")))</f>
        <v/>
      </c>
      <c r="P192" t="str">
        <f>IF(D192="","",IF(D192="账户转账",M192,IFERROR(IF(VLOOKUP(D192,基础资料!$AK$5:$AM$204,3,FALSE)="1002",M192,VLOOKUP(D192,基础资料!$AK$5:$AM$204,3,FALSE)),"")))</f>
        <v/>
      </c>
      <c r="Q192" s="17" t="str">
        <f t="shared" si="7"/>
        <v/>
      </c>
      <c r="R192" t="str">
        <f t="shared" si="8"/>
        <v/>
      </c>
    </row>
    <row r="193" spans="1:18">
      <c r="A193" s="5"/>
      <c r="B193" t="str">
        <f t="shared" si="6"/>
        <v/>
      </c>
      <c r="C193" t="str">
        <f>IF(D193="","",IFERROR(INDEX(基础资料!$AJ$5:$AJ$204,MATCH(D193,基础资料!$AK$5:$AK$204,0)),""))</f>
        <v/>
      </c>
      <c r="J193" s="17"/>
      <c r="K193" s="17"/>
      <c r="L193" s="17" t="str">
        <f>IF(OR(A193="",E193=""),"",SUMIFS(期初数据!$C$5:$C$14,期初数据!$A$5:$A$14,E193)+SUMIFS($J$4:J193,$E$4:E193,E193)-SUMIFS($K$4:K193,$E$4:E193,E193)+SUMIFS($K$4:K193,$F$4:F193,E193,$D$4:D193,"账户转账"))</f>
        <v/>
      </c>
      <c r="M193" t="str">
        <f>IF(E193="","",IFERROR(VLOOKUP(E193,基础资料!$A$5:$C$204,3,FALSE),""))</f>
        <v/>
      </c>
      <c r="N193" t="str">
        <f>IF(D193="账户转账",IFERROR(VLOOKUP(F193,基础资料!$A$5:$C$204,3,FALSE),""),"")</f>
        <v/>
      </c>
      <c r="O193" t="str">
        <f>IF(D193="","",IF(D193="账户转账",N193,IFERROR(IF(VLOOKUP(D193,基础资料!$AK$5:$AM$204,2,FALSE)="1002",M193,VLOOKUP(D193,基础资料!$AK$5:$AM$204,2,FALSE)),"")))</f>
        <v/>
      </c>
      <c r="P193" t="str">
        <f>IF(D193="","",IF(D193="账户转账",M193,IFERROR(IF(VLOOKUP(D193,基础资料!$AK$5:$AM$204,3,FALSE)="1002",M193,VLOOKUP(D193,基础资料!$AK$5:$AM$204,3,FALSE)),"")))</f>
        <v/>
      </c>
      <c r="Q193" s="17" t="str">
        <f t="shared" si="7"/>
        <v/>
      </c>
      <c r="R193" t="str">
        <f t="shared" si="8"/>
        <v/>
      </c>
    </row>
    <row r="194" spans="1:18">
      <c r="A194" s="5"/>
      <c r="B194" t="str">
        <f t="shared" si="6"/>
        <v/>
      </c>
      <c r="C194" t="str">
        <f>IF(D194="","",IFERROR(INDEX(基础资料!$AJ$5:$AJ$204,MATCH(D194,基础资料!$AK$5:$AK$204,0)),""))</f>
        <v/>
      </c>
      <c r="J194" s="17"/>
      <c r="K194" s="17"/>
      <c r="L194" s="17" t="str">
        <f>IF(OR(A194="",E194=""),"",SUMIFS(期初数据!$C$5:$C$14,期初数据!$A$5:$A$14,E194)+SUMIFS($J$4:J194,$E$4:E194,E194)-SUMIFS($K$4:K194,$E$4:E194,E194)+SUMIFS($K$4:K194,$F$4:F194,E194,$D$4:D194,"账户转账"))</f>
        <v/>
      </c>
      <c r="M194" t="str">
        <f>IF(E194="","",IFERROR(VLOOKUP(E194,基础资料!$A$5:$C$204,3,FALSE),""))</f>
        <v/>
      </c>
      <c r="N194" t="str">
        <f>IF(D194="账户转账",IFERROR(VLOOKUP(F194,基础资料!$A$5:$C$204,3,FALSE),""),"")</f>
        <v/>
      </c>
      <c r="O194" t="str">
        <f>IF(D194="","",IF(D194="账户转账",N194,IFERROR(IF(VLOOKUP(D194,基础资料!$AK$5:$AM$204,2,FALSE)="1002",M194,VLOOKUP(D194,基础资料!$AK$5:$AM$204,2,FALSE)),"")))</f>
        <v/>
      </c>
      <c r="P194" t="str">
        <f>IF(D194="","",IF(D194="账户转账",M194,IFERROR(IF(VLOOKUP(D194,基础资料!$AK$5:$AM$204,3,FALSE)="1002",M194,VLOOKUP(D194,基础资料!$AK$5:$AM$204,3,FALSE)),"")))</f>
        <v/>
      </c>
      <c r="Q194" s="17" t="str">
        <f t="shared" si="7"/>
        <v/>
      </c>
      <c r="R194" t="str">
        <f t="shared" si="8"/>
        <v/>
      </c>
    </row>
    <row r="195" spans="1:18">
      <c r="A195" s="5"/>
      <c r="B195" t="str">
        <f t="shared" si="6"/>
        <v/>
      </c>
      <c r="C195" t="str">
        <f>IF(D195="","",IFERROR(INDEX(基础资料!$AJ$5:$AJ$204,MATCH(D195,基础资料!$AK$5:$AK$204,0)),""))</f>
        <v/>
      </c>
      <c r="J195" s="17"/>
      <c r="K195" s="17"/>
      <c r="L195" s="17" t="str">
        <f>IF(OR(A195="",E195=""),"",SUMIFS(期初数据!$C$5:$C$14,期初数据!$A$5:$A$14,E195)+SUMIFS($J$4:J195,$E$4:E195,E195)-SUMIFS($K$4:K195,$E$4:E195,E195)+SUMIFS($K$4:K195,$F$4:F195,E195,$D$4:D195,"账户转账"))</f>
        <v/>
      </c>
      <c r="M195" t="str">
        <f>IF(E195="","",IFERROR(VLOOKUP(E195,基础资料!$A$5:$C$204,3,FALSE),""))</f>
        <v/>
      </c>
      <c r="N195" t="str">
        <f>IF(D195="账户转账",IFERROR(VLOOKUP(F195,基础资料!$A$5:$C$204,3,FALSE),""),"")</f>
        <v/>
      </c>
      <c r="O195" t="str">
        <f>IF(D195="","",IF(D195="账户转账",N195,IFERROR(IF(VLOOKUP(D195,基础资料!$AK$5:$AM$204,2,FALSE)="1002",M195,VLOOKUP(D195,基础资料!$AK$5:$AM$204,2,FALSE)),"")))</f>
        <v/>
      </c>
      <c r="P195" t="str">
        <f>IF(D195="","",IF(D195="账户转账",M195,IFERROR(IF(VLOOKUP(D195,基础资料!$AK$5:$AM$204,3,FALSE)="1002",M195,VLOOKUP(D195,基础资料!$AK$5:$AM$204,3,FALSE)),"")))</f>
        <v/>
      </c>
      <c r="Q195" s="17" t="str">
        <f t="shared" si="7"/>
        <v/>
      </c>
      <c r="R195" t="str">
        <f t="shared" si="8"/>
        <v/>
      </c>
    </row>
    <row r="196" spans="1:18">
      <c r="A196" s="5"/>
      <c r="B196" t="str">
        <f t="shared" ref="B196:B203" si="9">IF(A196="","",TEXT(A196,"yyyy-mm"))</f>
        <v/>
      </c>
      <c r="C196" t="str">
        <f>IF(D196="","",IFERROR(INDEX(基础资料!$AJ$5:$AJ$204,MATCH(D196,基础资料!$AK$5:$AK$204,0)),""))</f>
        <v/>
      </c>
      <c r="J196" s="17"/>
      <c r="K196" s="17"/>
      <c r="L196" s="17" t="str">
        <f>IF(OR(A196="",E196=""),"",SUMIFS(期初数据!$C$5:$C$14,期初数据!$A$5:$A$14,E196)+SUMIFS($J$4:J196,$E$4:E196,E196)-SUMIFS($K$4:K196,$E$4:E196,E196)+SUMIFS($K$4:K196,$F$4:F196,E196,$D$4:D196,"账户转账"))</f>
        <v/>
      </c>
      <c r="M196" t="str">
        <f>IF(E196="","",IFERROR(VLOOKUP(E196,基础资料!$A$5:$C$204,3,FALSE),""))</f>
        <v/>
      </c>
      <c r="N196" t="str">
        <f>IF(D196="账户转账",IFERROR(VLOOKUP(F196,基础资料!$A$5:$C$204,3,FALSE),""),"")</f>
        <v/>
      </c>
      <c r="O196" t="str">
        <f>IF(D196="","",IF(D196="账户转账",N196,IFERROR(IF(VLOOKUP(D196,基础资料!$AK$5:$AM$204,2,FALSE)="1002",M196,VLOOKUP(D196,基础资料!$AK$5:$AM$204,2,FALSE)),"")))</f>
        <v/>
      </c>
      <c r="P196" t="str">
        <f>IF(D196="","",IF(D196="账户转账",M196,IFERROR(IF(VLOOKUP(D196,基础资料!$AK$5:$AM$204,3,FALSE)="1002",M196,VLOOKUP(D196,基础资料!$AK$5:$AM$204,3,FALSE)),"")))</f>
        <v/>
      </c>
      <c r="Q196" s="17" t="str">
        <f t="shared" ref="Q196:Q203" si="10">IF(A196="","",N(J196)+N(K196))</f>
        <v/>
      </c>
      <c r="R196" t="str">
        <f t="shared" ref="R196:R203" si="11">IF(A196="","","可录入")</f>
        <v/>
      </c>
    </row>
    <row r="197" spans="1:18">
      <c r="A197" s="5"/>
      <c r="B197" t="str">
        <f t="shared" si="9"/>
        <v/>
      </c>
      <c r="C197" t="str">
        <f>IF(D197="","",IFERROR(INDEX(基础资料!$AJ$5:$AJ$204,MATCH(D197,基础资料!$AK$5:$AK$204,0)),""))</f>
        <v/>
      </c>
      <c r="J197" s="17"/>
      <c r="K197" s="17"/>
      <c r="L197" s="17" t="str">
        <f>IF(OR(A197="",E197=""),"",SUMIFS(期初数据!$C$5:$C$14,期初数据!$A$5:$A$14,E197)+SUMIFS($J$4:J197,$E$4:E197,E197)-SUMIFS($K$4:K197,$E$4:E197,E197)+SUMIFS($K$4:K197,$F$4:F197,E197,$D$4:D197,"账户转账"))</f>
        <v/>
      </c>
      <c r="M197" t="str">
        <f>IF(E197="","",IFERROR(VLOOKUP(E197,基础资料!$A$5:$C$204,3,FALSE),""))</f>
        <v/>
      </c>
      <c r="N197" t="str">
        <f>IF(D197="账户转账",IFERROR(VLOOKUP(F197,基础资料!$A$5:$C$204,3,FALSE),""),"")</f>
        <v/>
      </c>
      <c r="O197" t="str">
        <f>IF(D197="","",IF(D197="账户转账",N197,IFERROR(IF(VLOOKUP(D197,基础资料!$AK$5:$AM$204,2,FALSE)="1002",M197,VLOOKUP(D197,基础资料!$AK$5:$AM$204,2,FALSE)),"")))</f>
        <v/>
      </c>
      <c r="P197" t="str">
        <f>IF(D197="","",IF(D197="账户转账",M197,IFERROR(IF(VLOOKUP(D197,基础资料!$AK$5:$AM$204,3,FALSE)="1002",M197,VLOOKUP(D197,基础资料!$AK$5:$AM$204,3,FALSE)),"")))</f>
        <v/>
      </c>
      <c r="Q197" s="17" t="str">
        <f t="shared" si="10"/>
        <v/>
      </c>
      <c r="R197" t="str">
        <f t="shared" si="11"/>
        <v/>
      </c>
    </row>
    <row r="198" spans="1:18">
      <c r="A198" s="5"/>
      <c r="B198" t="str">
        <f t="shared" si="9"/>
        <v/>
      </c>
      <c r="C198" t="str">
        <f>IF(D198="","",IFERROR(INDEX(基础资料!$AJ$5:$AJ$204,MATCH(D198,基础资料!$AK$5:$AK$204,0)),""))</f>
        <v/>
      </c>
      <c r="J198" s="17"/>
      <c r="K198" s="17"/>
      <c r="L198" s="17" t="str">
        <f>IF(OR(A198="",E198=""),"",SUMIFS(期初数据!$C$5:$C$14,期初数据!$A$5:$A$14,E198)+SUMIFS($J$4:J198,$E$4:E198,E198)-SUMIFS($K$4:K198,$E$4:E198,E198)+SUMIFS($K$4:K198,$F$4:F198,E198,$D$4:D198,"账户转账"))</f>
        <v/>
      </c>
      <c r="M198" t="str">
        <f>IF(E198="","",IFERROR(VLOOKUP(E198,基础资料!$A$5:$C$204,3,FALSE),""))</f>
        <v/>
      </c>
      <c r="N198" t="str">
        <f>IF(D198="账户转账",IFERROR(VLOOKUP(F198,基础资料!$A$5:$C$204,3,FALSE),""),"")</f>
        <v/>
      </c>
      <c r="O198" t="str">
        <f>IF(D198="","",IF(D198="账户转账",N198,IFERROR(IF(VLOOKUP(D198,基础资料!$AK$5:$AM$204,2,FALSE)="1002",M198,VLOOKUP(D198,基础资料!$AK$5:$AM$204,2,FALSE)),"")))</f>
        <v/>
      </c>
      <c r="P198" t="str">
        <f>IF(D198="","",IF(D198="账户转账",M198,IFERROR(IF(VLOOKUP(D198,基础资料!$AK$5:$AM$204,3,FALSE)="1002",M198,VLOOKUP(D198,基础资料!$AK$5:$AM$204,3,FALSE)),"")))</f>
        <v/>
      </c>
      <c r="Q198" s="17" t="str">
        <f t="shared" si="10"/>
        <v/>
      </c>
      <c r="R198" t="str">
        <f t="shared" si="11"/>
        <v/>
      </c>
    </row>
    <row r="199" spans="1:18">
      <c r="A199" s="5"/>
      <c r="B199" t="str">
        <f t="shared" si="9"/>
        <v/>
      </c>
      <c r="C199" t="str">
        <f>IF(D199="","",IFERROR(INDEX(基础资料!$AJ$5:$AJ$204,MATCH(D199,基础资料!$AK$5:$AK$204,0)),""))</f>
        <v/>
      </c>
      <c r="J199" s="17"/>
      <c r="K199" s="17"/>
      <c r="L199" s="17" t="str">
        <f>IF(OR(A199="",E199=""),"",SUMIFS(期初数据!$C$5:$C$14,期初数据!$A$5:$A$14,E199)+SUMIFS($J$4:J199,$E$4:E199,E199)-SUMIFS($K$4:K199,$E$4:E199,E199)+SUMIFS($K$4:K199,$F$4:F199,E199,$D$4:D199,"账户转账"))</f>
        <v/>
      </c>
      <c r="M199" t="str">
        <f>IF(E199="","",IFERROR(VLOOKUP(E199,基础资料!$A$5:$C$204,3,FALSE),""))</f>
        <v/>
      </c>
      <c r="N199" t="str">
        <f>IF(D199="账户转账",IFERROR(VLOOKUP(F199,基础资料!$A$5:$C$204,3,FALSE),""),"")</f>
        <v/>
      </c>
      <c r="O199" t="str">
        <f>IF(D199="","",IF(D199="账户转账",N199,IFERROR(IF(VLOOKUP(D199,基础资料!$AK$5:$AM$204,2,FALSE)="1002",M199,VLOOKUP(D199,基础资料!$AK$5:$AM$204,2,FALSE)),"")))</f>
        <v/>
      </c>
      <c r="P199" t="str">
        <f>IF(D199="","",IF(D199="账户转账",M199,IFERROR(IF(VLOOKUP(D199,基础资料!$AK$5:$AM$204,3,FALSE)="1002",M199,VLOOKUP(D199,基础资料!$AK$5:$AM$204,3,FALSE)),"")))</f>
        <v/>
      </c>
      <c r="Q199" s="17" t="str">
        <f t="shared" si="10"/>
        <v/>
      </c>
      <c r="R199" t="str">
        <f t="shared" si="11"/>
        <v/>
      </c>
    </row>
    <row r="200" spans="1:18">
      <c r="A200" s="5"/>
      <c r="B200" t="str">
        <f t="shared" si="9"/>
        <v/>
      </c>
      <c r="C200" t="str">
        <f>IF(D200="","",IFERROR(INDEX(基础资料!$AJ$5:$AJ$204,MATCH(D200,基础资料!$AK$5:$AK$204,0)),""))</f>
        <v/>
      </c>
      <c r="J200" s="17"/>
      <c r="K200" s="17"/>
      <c r="L200" s="17" t="str">
        <f>IF(OR(A200="",E200=""),"",SUMIFS(期初数据!$C$5:$C$14,期初数据!$A$5:$A$14,E200)+SUMIFS($J$4:J200,$E$4:E200,E200)-SUMIFS($K$4:K200,$E$4:E200,E200)+SUMIFS($K$4:K200,$F$4:F200,E200,$D$4:D200,"账户转账"))</f>
        <v/>
      </c>
      <c r="M200" t="str">
        <f>IF(E200="","",IFERROR(VLOOKUP(E200,基础资料!$A$5:$C$204,3,FALSE),""))</f>
        <v/>
      </c>
      <c r="N200" t="str">
        <f>IF(D200="账户转账",IFERROR(VLOOKUP(F200,基础资料!$A$5:$C$204,3,FALSE),""),"")</f>
        <v/>
      </c>
      <c r="O200" t="str">
        <f>IF(D200="","",IF(D200="账户转账",N200,IFERROR(IF(VLOOKUP(D200,基础资料!$AK$5:$AM$204,2,FALSE)="1002",M200,VLOOKUP(D200,基础资料!$AK$5:$AM$204,2,FALSE)),"")))</f>
        <v/>
      </c>
      <c r="P200" t="str">
        <f>IF(D200="","",IF(D200="账户转账",M200,IFERROR(IF(VLOOKUP(D200,基础资料!$AK$5:$AM$204,3,FALSE)="1002",M200,VLOOKUP(D200,基础资料!$AK$5:$AM$204,3,FALSE)),"")))</f>
        <v/>
      </c>
      <c r="Q200" s="17" t="str">
        <f t="shared" si="10"/>
        <v/>
      </c>
      <c r="R200" t="str">
        <f t="shared" si="11"/>
        <v/>
      </c>
    </row>
    <row r="201" spans="1:18">
      <c r="A201" s="5"/>
      <c r="B201" t="str">
        <f t="shared" si="9"/>
        <v/>
      </c>
      <c r="C201" t="str">
        <f>IF(D201="","",IFERROR(INDEX(基础资料!$AJ$5:$AJ$204,MATCH(D201,基础资料!$AK$5:$AK$204,0)),""))</f>
        <v/>
      </c>
      <c r="J201" s="17"/>
      <c r="K201" s="17"/>
      <c r="L201" s="17" t="str">
        <f>IF(OR(A201="",E201=""),"",SUMIFS(期初数据!$C$5:$C$14,期初数据!$A$5:$A$14,E201)+SUMIFS($J$4:J201,$E$4:E201,E201)-SUMIFS($K$4:K201,$E$4:E201,E201)+SUMIFS($K$4:K201,$F$4:F201,E201,$D$4:D201,"账户转账"))</f>
        <v/>
      </c>
      <c r="M201" t="str">
        <f>IF(E201="","",IFERROR(VLOOKUP(E201,基础资料!$A$5:$C$204,3,FALSE),""))</f>
        <v/>
      </c>
      <c r="N201" t="str">
        <f>IF(D201="账户转账",IFERROR(VLOOKUP(F201,基础资料!$A$5:$C$204,3,FALSE),""),"")</f>
        <v/>
      </c>
      <c r="O201" t="str">
        <f>IF(D201="","",IF(D201="账户转账",N201,IFERROR(IF(VLOOKUP(D201,基础资料!$AK$5:$AM$204,2,FALSE)="1002",M201,VLOOKUP(D201,基础资料!$AK$5:$AM$204,2,FALSE)),"")))</f>
        <v/>
      </c>
      <c r="P201" t="str">
        <f>IF(D201="","",IF(D201="账户转账",M201,IFERROR(IF(VLOOKUP(D201,基础资料!$AK$5:$AM$204,3,FALSE)="1002",M201,VLOOKUP(D201,基础资料!$AK$5:$AM$204,3,FALSE)),"")))</f>
        <v/>
      </c>
      <c r="Q201" s="17" t="str">
        <f t="shared" si="10"/>
        <v/>
      </c>
      <c r="R201" t="str">
        <f t="shared" si="11"/>
        <v/>
      </c>
    </row>
    <row r="202" spans="1:18">
      <c r="A202" s="5"/>
      <c r="B202" t="str">
        <f t="shared" si="9"/>
        <v/>
      </c>
      <c r="C202" t="str">
        <f>IF(D202="","",IFERROR(INDEX(基础资料!$AJ$5:$AJ$204,MATCH(D202,基础资料!$AK$5:$AK$204,0)),""))</f>
        <v/>
      </c>
      <c r="J202" s="17"/>
      <c r="K202" s="17"/>
      <c r="L202" s="17" t="str">
        <f>IF(OR(A202="",E202=""),"",SUMIFS(期初数据!$C$5:$C$14,期初数据!$A$5:$A$14,E202)+SUMIFS($J$4:J202,$E$4:E202,E202)-SUMIFS($K$4:K202,$E$4:E202,E202)+SUMIFS($K$4:K202,$F$4:F202,E202,$D$4:D202,"账户转账"))</f>
        <v/>
      </c>
      <c r="M202" t="str">
        <f>IF(E202="","",IFERROR(VLOOKUP(E202,基础资料!$A$5:$C$204,3,FALSE),""))</f>
        <v/>
      </c>
      <c r="N202" t="str">
        <f>IF(D202="账户转账",IFERROR(VLOOKUP(F202,基础资料!$A$5:$C$204,3,FALSE),""),"")</f>
        <v/>
      </c>
      <c r="O202" t="str">
        <f>IF(D202="","",IF(D202="账户转账",N202,IFERROR(IF(VLOOKUP(D202,基础资料!$AK$5:$AM$204,2,FALSE)="1002",M202,VLOOKUP(D202,基础资料!$AK$5:$AM$204,2,FALSE)),"")))</f>
        <v/>
      </c>
      <c r="P202" t="str">
        <f>IF(D202="","",IF(D202="账户转账",M202,IFERROR(IF(VLOOKUP(D202,基础资料!$AK$5:$AM$204,3,FALSE)="1002",M202,VLOOKUP(D202,基础资料!$AK$5:$AM$204,3,FALSE)),"")))</f>
        <v/>
      </c>
      <c r="Q202" s="17" t="str">
        <f t="shared" si="10"/>
        <v/>
      </c>
      <c r="R202" t="str">
        <f t="shared" si="11"/>
        <v/>
      </c>
    </row>
    <row r="203" spans="1:18">
      <c r="A203" s="5"/>
      <c r="B203" t="str">
        <f t="shared" si="9"/>
        <v/>
      </c>
      <c r="C203" t="str">
        <f>IF(D203="","",IFERROR(INDEX(基础资料!$AJ$5:$AJ$204,MATCH(D203,基础资料!$AK$5:$AK$204,0)),""))</f>
        <v/>
      </c>
      <c r="J203" s="17"/>
      <c r="K203" s="17"/>
      <c r="L203" s="17" t="str">
        <f>IF(OR(A203="",E203=""),"",SUMIFS(期初数据!$C$5:$C$14,期初数据!$A$5:$A$14,E203)+SUMIFS($J$4:J203,$E$4:E203,E203)-SUMIFS($K$4:K203,$E$4:E203,E203)+SUMIFS($K$4:K203,$F$4:F203,E203,$D$4:D203,"账户转账"))</f>
        <v/>
      </c>
      <c r="M203" t="str">
        <f>IF(E203="","",IFERROR(VLOOKUP(E203,基础资料!$A$5:$C$204,3,FALSE),""))</f>
        <v/>
      </c>
      <c r="N203" t="str">
        <f>IF(D203="账户转账",IFERROR(VLOOKUP(F203,基础资料!$A$5:$C$204,3,FALSE),""),"")</f>
        <v/>
      </c>
      <c r="O203" t="str">
        <f>IF(D203="","",IF(D203="账户转账",N203,IFERROR(IF(VLOOKUP(D203,基础资料!$AK$5:$AM$204,2,FALSE)="1002",M203,VLOOKUP(D203,基础资料!$AK$5:$AM$204,2,FALSE)),"")))</f>
        <v/>
      </c>
      <c r="P203" t="str">
        <f>IF(D203="","",IF(D203="账户转账",M203,IFERROR(IF(VLOOKUP(D203,基础资料!$AK$5:$AM$204,3,FALSE)="1002",M203,VLOOKUP(D203,基础资料!$AK$5:$AM$204,3,FALSE)),"")))</f>
        <v/>
      </c>
      <c r="Q203" s="17" t="str">
        <f t="shared" si="10"/>
        <v/>
      </c>
      <c r="R203" t="str">
        <f t="shared" si="11"/>
        <v/>
      </c>
    </row>
  </sheetData>
  <dataValidations count="4">
    <dataValidation type="list" sqref="D4:D103">
      <formula1>基础资料!$AK$5:$AK$104</formula1>
    </dataValidation>
    <dataValidation type="list" sqref="D104:D203">
      <formula1>基础资料!$AK$5:$AK$204</formula1>
    </dataValidation>
    <dataValidation type="list" sqref="E4:E103">
      <formula1>基础资料!$A$5:$A$104</formula1>
    </dataValidation>
    <dataValidation type="list" sqref="E104:E203">
      <formula1>基础资料!$A$5:$A$204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3"/>
  <sheetViews>
    <sheetView workbookViewId="0">
      <selection activeCell="A1" sqref="A1"/>
    </sheetView>
  </sheetViews>
  <sheetFormatPr defaultColWidth="9" defaultRowHeight="14.25"/>
  <cols>
    <col min="1" max="1" width="12" customWidth="1"/>
    <col min="2" max="2" width="10" customWidth="1"/>
    <col min="3" max="4" width="14" customWidth="1"/>
    <col min="5" max="5" width="10" customWidth="1"/>
    <col min="6" max="6" width="8" customWidth="1"/>
    <col min="7" max="7" width="9" customWidth="1"/>
    <col min="8" max="8" width="14" customWidth="1"/>
    <col min="9" max="9" width="12" customWidth="1"/>
    <col min="10" max="10" width="11" customWidth="1"/>
    <col min="11" max="13" width="12" customWidth="1"/>
    <col min="14" max="14" width="10" customWidth="1"/>
    <col min="15" max="15" width="16" customWidth="1"/>
    <col min="16" max="16" width="13" customWidth="1"/>
    <col min="17" max="17" width="12" customWidth="1"/>
  </cols>
  <sheetData>
    <row r="1" ht="20.25" spans="1:17">
      <c r="A1" s="45" t="s">
        <v>429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>
      <c r="A2" s="61" t="s">
        <v>430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ht="27" spans="1:17">
      <c r="A3" s="43" t="s">
        <v>409</v>
      </c>
      <c r="B3" s="43" t="s">
        <v>410</v>
      </c>
      <c r="C3" s="43" t="s">
        <v>156</v>
      </c>
      <c r="D3" s="43" t="s">
        <v>398</v>
      </c>
      <c r="E3" s="43" t="s">
        <v>399</v>
      </c>
      <c r="F3" s="43" t="s">
        <v>37</v>
      </c>
      <c r="G3" s="43" t="s">
        <v>431</v>
      </c>
      <c r="H3" s="43" t="s">
        <v>432</v>
      </c>
      <c r="I3" s="43" t="s">
        <v>433</v>
      </c>
      <c r="J3" s="43" t="s">
        <v>434</v>
      </c>
      <c r="K3" s="43" t="s">
        <v>435</v>
      </c>
      <c r="L3" s="43" t="s">
        <v>436</v>
      </c>
      <c r="M3" s="43" t="s">
        <v>19</v>
      </c>
      <c r="N3" s="43" t="s">
        <v>43</v>
      </c>
      <c r="O3" s="43" t="s">
        <v>31</v>
      </c>
      <c r="P3" s="43" t="s">
        <v>420</v>
      </c>
      <c r="Q3" s="43" t="s">
        <v>437</v>
      </c>
    </row>
    <row r="4" spans="1:17">
      <c r="A4" s="60">
        <v>46174</v>
      </c>
      <c r="B4" s="11" t="str">
        <f t="shared" ref="B4:B67" si="0">IF(A4="","",TEXT(A4,"yyyy-mm"))</f>
        <v>2026-06</v>
      </c>
      <c r="C4" s="54" t="s">
        <v>73</v>
      </c>
      <c r="D4" s="54" t="s">
        <v>69</v>
      </c>
      <c r="E4" s="11" t="str">
        <f>IF(D4="","",IFERROR(VLOOKUP(D4,基础资料!$P$5:$R$204,2,FALSE),""))</f>
        <v>A-01</v>
      </c>
      <c r="F4" s="11" t="str">
        <f>IF(D4="","",IFERROR(VLOOKUP(D4,基础资料!$P$5:$R$204,3,FALSE),""))</f>
        <v>个</v>
      </c>
      <c r="G4" s="55">
        <v>20</v>
      </c>
      <c r="H4" s="55">
        <v>200</v>
      </c>
      <c r="I4" s="62">
        <f t="shared" ref="I4:I67" si="1">IF(OR(G4="",H4=""),"",G4*H4)</f>
        <v>4000</v>
      </c>
      <c r="J4" s="62">
        <f>IF(D4="","",IFERROR(VLOOKUP(D4,基础资料!$P$5:$T$204,5,FALSE),0))</f>
        <v>100</v>
      </c>
      <c r="K4" s="62">
        <f t="shared" ref="K4:K67" si="2">IF(OR(G4="",J4=""),"",G4*J4)</f>
        <v>2000</v>
      </c>
      <c r="L4" s="63">
        <f>IF(OR(A4="",C4=""),"",A4+IFERROR(VLOOKUP(C4,基础资料!$Y$5:$AA$204,3,FALSE),0))</f>
        <v>46204</v>
      </c>
      <c r="M4" s="54" t="s">
        <v>65</v>
      </c>
      <c r="N4" s="54" t="s">
        <v>66</v>
      </c>
      <c r="O4" s="54" t="s">
        <v>438</v>
      </c>
      <c r="P4" s="11" t="str">
        <f t="shared" ref="P4:P67" si="3">IF(A4="","","可录入")</f>
        <v>可录入</v>
      </c>
      <c r="Q4" s="62">
        <f t="shared" ref="Q4:Q67" si="4">IF(I4="","",I4-K4)</f>
        <v>2000</v>
      </c>
    </row>
    <row r="5" spans="1:17">
      <c r="A5" s="60">
        <v>46176</v>
      </c>
      <c r="B5" s="11" t="str">
        <f t="shared" si="0"/>
        <v>2026-06</v>
      </c>
      <c r="C5" s="54" t="s">
        <v>95</v>
      </c>
      <c r="D5" s="54" t="s">
        <v>92</v>
      </c>
      <c r="E5" s="11" t="str">
        <f>IF(D5="","",IFERROR(VLOOKUP(D5,基础资料!$P$5:$R$204,2,FALSE),""))</f>
        <v>B-02</v>
      </c>
      <c r="F5" s="11" t="str">
        <f>IF(D5="","",IFERROR(VLOOKUP(D5,基础资料!$P$5:$R$204,3,FALSE),""))</f>
        <v>个</v>
      </c>
      <c r="G5" s="55">
        <v>15</v>
      </c>
      <c r="H5" s="55">
        <v>250</v>
      </c>
      <c r="I5" s="62">
        <f t="shared" si="1"/>
        <v>3750</v>
      </c>
      <c r="J5" s="62">
        <f>IF(D5="","",IFERROR(VLOOKUP(D5,基础资料!$P$5:$T$204,5,FALSE),0))</f>
        <v>125</v>
      </c>
      <c r="K5" s="62">
        <f t="shared" si="2"/>
        <v>1875</v>
      </c>
      <c r="L5" s="63">
        <f>IF(OR(A5="",C5=""),"",A5+IFERROR(VLOOKUP(C5,基础资料!$Y$5:$AA$204,3,FALSE),0))</f>
        <v>46206</v>
      </c>
      <c r="M5" s="54" t="s">
        <v>65</v>
      </c>
      <c r="N5" s="54" t="s">
        <v>90</v>
      </c>
      <c r="O5" s="54" t="s">
        <v>438</v>
      </c>
      <c r="P5" s="11" t="str">
        <f t="shared" si="3"/>
        <v>可录入</v>
      </c>
      <c r="Q5" s="62">
        <f t="shared" si="4"/>
        <v>1875</v>
      </c>
    </row>
    <row r="6" spans="1:17">
      <c r="A6" s="60">
        <v>46178</v>
      </c>
      <c r="B6" s="11" t="str">
        <f t="shared" si="0"/>
        <v>2026-06</v>
      </c>
      <c r="C6" s="54" t="s">
        <v>109</v>
      </c>
      <c r="D6" s="54" t="s">
        <v>106</v>
      </c>
      <c r="E6" s="11" t="str">
        <f>IF(D6="","",IFERROR(VLOOKUP(D6,基础资料!$P$5:$R$204,2,FALSE),""))</f>
        <v>C-03</v>
      </c>
      <c r="F6" s="11" t="str">
        <f>IF(D6="","",IFERROR(VLOOKUP(D6,基础资料!$P$5:$R$204,3,FALSE),""))</f>
        <v>个</v>
      </c>
      <c r="G6" s="55">
        <v>30</v>
      </c>
      <c r="H6" s="55">
        <v>100</v>
      </c>
      <c r="I6" s="62">
        <f t="shared" si="1"/>
        <v>3000</v>
      </c>
      <c r="J6" s="62">
        <f>IF(D6="","",IFERROR(VLOOKUP(D6,基础资料!$P$5:$T$204,5,FALSE),0))</f>
        <v>50</v>
      </c>
      <c r="K6" s="62">
        <f t="shared" si="2"/>
        <v>1500</v>
      </c>
      <c r="L6" s="63">
        <f>IF(OR(A6="",C6=""),"",A6+IFERROR(VLOOKUP(C6,基础资料!$Y$5:$AA$204,3,FALSE),0))</f>
        <v>46223</v>
      </c>
      <c r="M6" s="54" t="s">
        <v>65</v>
      </c>
      <c r="N6" s="54" t="s">
        <v>66</v>
      </c>
      <c r="O6" s="54" t="s">
        <v>438</v>
      </c>
      <c r="P6" s="11" t="str">
        <f t="shared" si="3"/>
        <v>可录入</v>
      </c>
      <c r="Q6" s="62">
        <f t="shared" si="4"/>
        <v>1500</v>
      </c>
    </row>
    <row r="7" spans="1:17">
      <c r="A7" s="60">
        <v>46180</v>
      </c>
      <c r="B7" s="11" t="str">
        <f t="shared" si="0"/>
        <v>2026-06</v>
      </c>
      <c r="C7" s="54" t="s">
        <v>122</v>
      </c>
      <c r="D7" s="54" t="s">
        <v>119</v>
      </c>
      <c r="E7" s="11" t="str">
        <f>IF(D7="","",IFERROR(VLOOKUP(D7,基础资料!$P$5:$R$204,2,FALSE),""))</f>
        <v>D-04</v>
      </c>
      <c r="F7" s="11" t="str">
        <f>IF(D7="","",IFERROR(VLOOKUP(D7,基础资料!$P$5:$R$204,3,FALSE),""))</f>
        <v>个</v>
      </c>
      <c r="G7" s="55">
        <v>8</v>
      </c>
      <c r="H7" s="55">
        <v>400</v>
      </c>
      <c r="I7" s="62">
        <f t="shared" si="1"/>
        <v>3200</v>
      </c>
      <c r="J7" s="62">
        <f>IF(D7="","",IFERROR(VLOOKUP(D7,基础资料!$P$5:$T$204,5,FALSE),0))</f>
        <v>200</v>
      </c>
      <c r="K7" s="62">
        <f t="shared" si="2"/>
        <v>1600</v>
      </c>
      <c r="L7" s="63">
        <f>IF(OR(A7="",C7=""),"",A7+IFERROR(VLOOKUP(C7,基础资料!$Y$5:$AA$204,3,FALSE),0))</f>
        <v>46210</v>
      </c>
      <c r="M7" s="54" t="s">
        <v>65</v>
      </c>
      <c r="N7" s="54" t="s">
        <v>90</v>
      </c>
      <c r="O7" s="54" t="s">
        <v>438</v>
      </c>
      <c r="P7" s="11" t="str">
        <f t="shared" si="3"/>
        <v>可录入</v>
      </c>
      <c r="Q7" s="62">
        <f t="shared" si="4"/>
        <v>1600</v>
      </c>
    </row>
    <row r="8" spans="1:17">
      <c r="A8" s="60">
        <v>46182</v>
      </c>
      <c r="B8" s="11" t="str">
        <f t="shared" si="0"/>
        <v>2026-06</v>
      </c>
      <c r="C8" s="54" t="s">
        <v>136</v>
      </c>
      <c r="D8" s="54" t="s">
        <v>133</v>
      </c>
      <c r="E8" s="11" t="str">
        <f>IF(D8="","",IFERROR(VLOOKUP(D8,基础资料!$P$5:$R$204,2,FALSE),""))</f>
        <v>E-05</v>
      </c>
      <c r="F8" s="11" t="str">
        <f>IF(D8="","",IFERROR(VLOOKUP(D8,基础资料!$P$5:$R$204,3,FALSE),""))</f>
        <v>个</v>
      </c>
      <c r="G8" s="55">
        <v>50</v>
      </c>
      <c r="H8" s="55">
        <v>50</v>
      </c>
      <c r="I8" s="62">
        <f t="shared" si="1"/>
        <v>2500</v>
      </c>
      <c r="J8" s="62">
        <f>IF(D8="","",IFERROR(VLOOKUP(D8,基础资料!$P$5:$T$204,5,FALSE),0))</f>
        <v>25</v>
      </c>
      <c r="K8" s="62">
        <f t="shared" si="2"/>
        <v>1250</v>
      </c>
      <c r="L8" s="63">
        <f>IF(OR(A8="",C8=""),"",A8+IFERROR(VLOOKUP(C8,基础资料!$Y$5:$AA$204,3,FALSE),0))</f>
        <v>46242</v>
      </c>
      <c r="M8" s="54" t="s">
        <v>174</v>
      </c>
      <c r="N8" s="54" t="s">
        <v>175</v>
      </c>
      <c r="O8" s="54" t="s">
        <v>438</v>
      </c>
      <c r="P8" s="11" t="str">
        <f t="shared" si="3"/>
        <v>可录入</v>
      </c>
      <c r="Q8" s="62">
        <f t="shared" si="4"/>
        <v>1250</v>
      </c>
    </row>
    <row r="9" spans="1:17">
      <c r="A9" s="60">
        <v>46184</v>
      </c>
      <c r="B9" s="11" t="str">
        <f t="shared" si="0"/>
        <v>2026-06</v>
      </c>
      <c r="C9" s="54" t="s">
        <v>151</v>
      </c>
      <c r="D9" s="54" t="s">
        <v>148</v>
      </c>
      <c r="E9" s="11" t="str">
        <f>IF(D9="","",IFERROR(VLOOKUP(D9,基础资料!$P$5:$R$204,2,FALSE),""))</f>
        <v>F-06</v>
      </c>
      <c r="F9" s="11" t="str">
        <f>IF(D9="","",IFERROR(VLOOKUP(D9,基础资料!$P$5:$R$204,3,FALSE),""))</f>
        <v>个</v>
      </c>
      <c r="G9" s="55">
        <v>12</v>
      </c>
      <c r="H9" s="55">
        <v>160</v>
      </c>
      <c r="I9" s="62">
        <f t="shared" si="1"/>
        <v>1920</v>
      </c>
      <c r="J9" s="62">
        <f>IF(D9="","",IFERROR(VLOOKUP(D9,基础资料!$P$5:$T$204,5,FALSE),0))</f>
        <v>80</v>
      </c>
      <c r="K9" s="62">
        <f t="shared" si="2"/>
        <v>960</v>
      </c>
      <c r="L9" s="63">
        <f>IF(OR(A9="",C9=""),"",A9+IFERROR(VLOOKUP(C9,基础资料!$Y$5:$AA$204,3,FALSE),0))</f>
        <v>46214</v>
      </c>
      <c r="M9" s="54" t="s">
        <v>65</v>
      </c>
      <c r="N9" s="54" t="s">
        <v>90</v>
      </c>
      <c r="O9" s="54" t="s">
        <v>438</v>
      </c>
      <c r="P9" s="11" t="str">
        <f t="shared" si="3"/>
        <v>可录入</v>
      </c>
      <c r="Q9" s="62">
        <f t="shared" si="4"/>
        <v>960</v>
      </c>
    </row>
    <row r="10" spans="1:17">
      <c r="A10" s="60">
        <v>46186</v>
      </c>
      <c r="B10" s="11" t="str">
        <f t="shared" si="0"/>
        <v>2026-06</v>
      </c>
      <c r="C10" s="54" t="s">
        <v>165</v>
      </c>
      <c r="D10" s="54" t="s">
        <v>162</v>
      </c>
      <c r="E10" s="11" t="str">
        <f>IF(D10="","",IFERROR(VLOOKUP(D10,基础资料!$P$5:$R$204,2,FALSE),""))</f>
        <v>G-07</v>
      </c>
      <c r="F10" s="11" t="str">
        <f>IF(D10="","",IFERROR(VLOOKUP(D10,基础资料!$P$5:$R$204,3,FALSE),""))</f>
        <v>个</v>
      </c>
      <c r="G10" s="55">
        <v>15</v>
      </c>
      <c r="H10" s="55">
        <v>150</v>
      </c>
      <c r="I10" s="62">
        <f t="shared" si="1"/>
        <v>2250</v>
      </c>
      <c r="J10" s="62">
        <f>IF(D10="","",IFERROR(VLOOKUP(D10,基础资料!$P$5:$T$204,5,FALSE),0))</f>
        <v>75</v>
      </c>
      <c r="K10" s="62">
        <f t="shared" si="2"/>
        <v>1125</v>
      </c>
      <c r="L10" s="63">
        <f>IF(OR(A10="",C10=""),"",A10+IFERROR(VLOOKUP(C10,基础资料!$Y$5:$AA$204,3,FALSE),0))</f>
        <v>46231</v>
      </c>
      <c r="M10" s="54" t="s">
        <v>65</v>
      </c>
      <c r="N10" s="54" t="s">
        <v>66</v>
      </c>
      <c r="O10" s="54" t="s">
        <v>438</v>
      </c>
      <c r="P10" s="11" t="str">
        <f t="shared" si="3"/>
        <v>可录入</v>
      </c>
      <c r="Q10" s="62">
        <f t="shared" si="4"/>
        <v>1125</v>
      </c>
    </row>
    <row r="11" spans="1:17">
      <c r="A11" s="60">
        <v>46188</v>
      </c>
      <c r="B11" s="11" t="str">
        <f t="shared" si="0"/>
        <v>2026-06</v>
      </c>
      <c r="C11" s="54" t="s">
        <v>181</v>
      </c>
      <c r="D11" s="54" t="s">
        <v>178</v>
      </c>
      <c r="E11" s="11" t="str">
        <f>IF(D11="","",IFERROR(VLOOKUP(D11,基础资料!$P$5:$R$204,2,FALSE),""))</f>
        <v>H-08</v>
      </c>
      <c r="F11" s="11" t="str">
        <f>IF(D11="","",IFERROR(VLOOKUP(D11,基础资料!$P$5:$R$204,3,FALSE),""))</f>
        <v>个</v>
      </c>
      <c r="G11" s="55">
        <v>6</v>
      </c>
      <c r="H11" s="55">
        <v>300</v>
      </c>
      <c r="I11" s="62">
        <f t="shared" si="1"/>
        <v>1800</v>
      </c>
      <c r="J11" s="62">
        <f>IF(D11="","",IFERROR(VLOOKUP(D11,基础资料!$P$5:$T$204,5,FALSE),0))</f>
        <v>150</v>
      </c>
      <c r="K11" s="62">
        <f t="shared" si="2"/>
        <v>900</v>
      </c>
      <c r="L11" s="63">
        <f>IF(OR(A11="",C11=""),"",A11+IFERROR(VLOOKUP(C11,基础资料!$Y$5:$AA$204,3,FALSE),0))</f>
        <v>46218</v>
      </c>
      <c r="M11" s="54" t="s">
        <v>65</v>
      </c>
      <c r="N11" s="54" t="s">
        <v>90</v>
      </c>
      <c r="O11" s="54" t="s">
        <v>438</v>
      </c>
      <c r="P11" s="11" t="str">
        <f t="shared" si="3"/>
        <v>可录入</v>
      </c>
      <c r="Q11" s="62">
        <f t="shared" si="4"/>
        <v>900</v>
      </c>
    </row>
    <row r="12" spans="1:17">
      <c r="A12" s="60">
        <v>46190</v>
      </c>
      <c r="B12" s="11" t="str">
        <f t="shared" si="0"/>
        <v>2026-06</v>
      </c>
      <c r="C12" s="54" t="s">
        <v>195</v>
      </c>
      <c r="D12" s="54" t="s">
        <v>192</v>
      </c>
      <c r="E12" s="11" t="str">
        <f>IF(D12="","",IFERROR(VLOOKUP(D12,基础资料!$P$5:$R$204,2,FALSE),""))</f>
        <v>I-09</v>
      </c>
      <c r="F12" s="11" t="str">
        <f>IF(D12="","",IFERROR(VLOOKUP(D12,基础资料!$P$5:$R$204,3,FALSE),""))</f>
        <v>个</v>
      </c>
      <c r="G12" s="55">
        <v>25</v>
      </c>
      <c r="H12" s="55">
        <v>60</v>
      </c>
      <c r="I12" s="62">
        <f t="shared" si="1"/>
        <v>1500</v>
      </c>
      <c r="J12" s="62">
        <f>IF(D12="","",IFERROR(VLOOKUP(D12,基础资料!$P$5:$T$204,5,FALSE),0))</f>
        <v>30</v>
      </c>
      <c r="K12" s="62">
        <f t="shared" si="2"/>
        <v>750</v>
      </c>
      <c r="L12" s="63">
        <f>IF(OR(A12="",C12=""),"",A12+IFERROR(VLOOKUP(C12,基础资料!$Y$5:$AA$204,3,FALSE),0))</f>
        <v>46220</v>
      </c>
      <c r="M12" s="54" t="s">
        <v>65</v>
      </c>
      <c r="N12" s="54" t="s">
        <v>66</v>
      </c>
      <c r="O12" s="54" t="s">
        <v>438</v>
      </c>
      <c r="P12" s="11" t="str">
        <f t="shared" si="3"/>
        <v>可录入</v>
      </c>
      <c r="Q12" s="62">
        <f t="shared" si="4"/>
        <v>750</v>
      </c>
    </row>
    <row r="13" spans="1:17">
      <c r="A13" s="60">
        <v>46192</v>
      </c>
      <c r="B13" s="11" t="str">
        <f t="shared" si="0"/>
        <v>2026-06</v>
      </c>
      <c r="C13" s="54" t="s">
        <v>209</v>
      </c>
      <c r="D13" s="54" t="s">
        <v>206</v>
      </c>
      <c r="E13" s="11" t="str">
        <f>IF(D13="","",IFERROR(VLOOKUP(D13,基础资料!$P$5:$R$204,2,FALSE),""))</f>
        <v>J-10</v>
      </c>
      <c r="F13" s="11" t="str">
        <f>IF(D13="","",IFERROR(VLOOKUP(D13,基础资料!$P$5:$R$204,3,FALSE),""))</f>
        <v>个</v>
      </c>
      <c r="G13" s="55">
        <v>18</v>
      </c>
      <c r="H13" s="55">
        <v>120</v>
      </c>
      <c r="I13" s="62">
        <f t="shared" si="1"/>
        <v>2160</v>
      </c>
      <c r="J13" s="62">
        <f>IF(D13="","",IFERROR(VLOOKUP(D13,基础资料!$P$5:$T$204,5,FALSE),0))</f>
        <v>60</v>
      </c>
      <c r="K13" s="62">
        <f t="shared" si="2"/>
        <v>1080</v>
      </c>
      <c r="L13" s="63">
        <f>IF(OR(A13="",C13=""),"",A13+IFERROR(VLOOKUP(C13,基础资料!$Y$5:$AA$204,3,FALSE),0))</f>
        <v>46252</v>
      </c>
      <c r="M13" s="54" t="s">
        <v>65</v>
      </c>
      <c r="N13" s="54" t="s">
        <v>90</v>
      </c>
      <c r="O13" s="54" t="s">
        <v>438</v>
      </c>
      <c r="P13" s="11" t="str">
        <f t="shared" si="3"/>
        <v>可录入</v>
      </c>
      <c r="Q13" s="62">
        <f t="shared" si="4"/>
        <v>1080</v>
      </c>
    </row>
    <row r="14" spans="1:17">
      <c r="A14" s="60"/>
      <c r="B14" s="11" t="str">
        <f t="shared" si="0"/>
        <v/>
      </c>
      <c r="C14" s="54"/>
      <c r="D14" s="54"/>
      <c r="E14" s="11" t="str">
        <f>IF(D14="","",IFERROR(VLOOKUP(D14,基础资料!$P$5:$R$204,2,FALSE),""))</f>
        <v/>
      </c>
      <c r="F14" s="11" t="str">
        <f>IF(D14="","",IFERROR(VLOOKUP(D14,基础资料!$P$5:$R$204,3,FALSE),""))</f>
        <v/>
      </c>
      <c r="G14" s="55"/>
      <c r="H14" s="55"/>
      <c r="I14" s="62" t="str">
        <f t="shared" si="1"/>
        <v/>
      </c>
      <c r="J14" s="62" t="str">
        <f>IF(D14="","",IFERROR(VLOOKUP(D14,基础资料!$P$5:$T$204,5,FALSE),0))</f>
        <v/>
      </c>
      <c r="K14" s="62" t="str">
        <f t="shared" si="2"/>
        <v/>
      </c>
      <c r="L14" s="63" t="str">
        <f>IF(OR(A14="",C14=""),"",A14+IFERROR(VLOOKUP(C14,基础资料!$Y$5:$AA$204,3,FALSE),0))</f>
        <v/>
      </c>
      <c r="M14" s="54"/>
      <c r="N14" s="54"/>
      <c r="O14" s="54"/>
      <c r="P14" s="11" t="str">
        <f t="shared" si="3"/>
        <v/>
      </c>
      <c r="Q14" s="62" t="str">
        <f t="shared" si="4"/>
        <v/>
      </c>
    </row>
    <row r="15" spans="1:17">
      <c r="A15" s="60"/>
      <c r="B15" s="11" t="str">
        <f t="shared" si="0"/>
        <v/>
      </c>
      <c r="C15" s="54"/>
      <c r="D15" s="54"/>
      <c r="E15" s="11" t="str">
        <f>IF(D15="","",IFERROR(VLOOKUP(D15,基础资料!$P$5:$R$204,2,FALSE),""))</f>
        <v/>
      </c>
      <c r="F15" s="11" t="str">
        <f>IF(D15="","",IFERROR(VLOOKUP(D15,基础资料!$P$5:$R$204,3,FALSE),""))</f>
        <v/>
      </c>
      <c r="G15" s="55"/>
      <c r="H15" s="55"/>
      <c r="I15" s="62" t="str">
        <f t="shared" si="1"/>
        <v/>
      </c>
      <c r="J15" s="62" t="str">
        <f>IF(D15="","",IFERROR(VLOOKUP(D15,基础资料!$P$5:$T$204,5,FALSE),0))</f>
        <v/>
      </c>
      <c r="K15" s="62" t="str">
        <f t="shared" si="2"/>
        <v/>
      </c>
      <c r="L15" s="63" t="str">
        <f>IF(OR(A15="",C15=""),"",A15+IFERROR(VLOOKUP(C15,基础资料!$Y$5:$AA$204,3,FALSE),0))</f>
        <v/>
      </c>
      <c r="M15" s="54"/>
      <c r="N15" s="54"/>
      <c r="O15" s="54"/>
      <c r="P15" s="11" t="str">
        <f t="shared" si="3"/>
        <v/>
      </c>
      <c r="Q15" s="62" t="str">
        <f t="shared" si="4"/>
        <v/>
      </c>
    </row>
    <row r="16" spans="1:17">
      <c r="A16" s="60"/>
      <c r="B16" s="11" t="str">
        <f t="shared" si="0"/>
        <v/>
      </c>
      <c r="C16" s="54"/>
      <c r="D16" s="54"/>
      <c r="E16" s="11" t="str">
        <f>IF(D16="","",IFERROR(VLOOKUP(D16,基础资料!$P$5:$R$204,2,FALSE),""))</f>
        <v/>
      </c>
      <c r="F16" s="11" t="str">
        <f>IF(D16="","",IFERROR(VLOOKUP(D16,基础资料!$P$5:$R$204,3,FALSE),""))</f>
        <v/>
      </c>
      <c r="G16" s="55"/>
      <c r="H16" s="55"/>
      <c r="I16" s="62" t="str">
        <f t="shared" si="1"/>
        <v/>
      </c>
      <c r="J16" s="62" t="str">
        <f>IF(D16="","",IFERROR(VLOOKUP(D16,基础资料!$P$5:$T$204,5,FALSE),0))</f>
        <v/>
      </c>
      <c r="K16" s="62" t="str">
        <f t="shared" si="2"/>
        <v/>
      </c>
      <c r="L16" s="63" t="str">
        <f>IF(OR(A16="",C16=""),"",A16+IFERROR(VLOOKUP(C16,基础资料!$Y$5:$AA$204,3,FALSE),0))</f>
        <v/>
      </c>
      <c r="M16" s="54"/>
      <c r="N16" s="54"/>
      <c r="O16" s="54"/>
      <c r="P16" s="11" t="str">
        <f t="shared" si="3"/>
        <v/>
      </c>
      <c r="Q16" s="62" t="str">
        <f t="shared" si="4"/>
        <v/>
      </c>
    </row>
    <row r="17" spans="1:17">
      <c r="A17" s="60"/>
      <c r="B17" s="11" t="str">
        <f t="shared" si="0"/>
        <v/>
      </c>
      <c r="C17" s="54"/>
      <c r="D17" s="54"/>
      <c r="E17" s="11" t="str">
        <f>IF(D17="","",IFERROR(VLOOKUP(D17,基础资料!$P$5:$R$204,2,FALSE),""))</f>
        <v/>
      </c>
      <c r="F17" s="11" t="str">
        <f>IF(D17="","",IFERROR(VLOOKUP(D17,基础资料!$P$5:$R$204,3,FALSE),""))</f>
        <v/>
      </c>
      <c r="G17" s="55"/>
      <c r="H17" s="55"/>
      <c r="I17" s="62" t="str">
        <f t="shared" si="1"/>
        <v/>
      </c>
      <c r="J17" s="62" t="str">
        <f>IF(D17="","",IFERROR(VLOOKUP(D17,基础资料!$P$5:$T$204,5,FALSE),0))</f>
        <v/>
      </c>
      <c r="K17" s="62" t="str">
        <f t="shared" si="2"/>
        <v/>
      </c>
      <c r="L17" s="63" t="str">
        <f>IF(OR(A17="",C17=""),"",A17+IFERROR(VLOOKUP(C17,基础资料!$Y$5:$AA$204,3,FALSE),0))</f>
        <v/>
      </c>
      <c r="M17" s="54"/>
      <c r="N17" s="54"/>
      <c r="O17" s="54"/>
      <c r="P17" s="11" t="str">
        <f t="shared" si="3"/>
        <v/>
      </c>
      <c r="Q17" s="62" t="str">
        <f t="shared" si="4"/>
        <v/>
      </c>
    </row>
    <row r="18" spans="1:17">
      <c r="A18" s="60"/>
      <c r="B18" s="11" t="str">
        <f t="shared" si="0"/>
        <v/>
      </c>
      <c r="C18" s="54"/>
      <c r="D18" s="54"/>
      <c r="E18" s="11" t="str">
        <f>IF(D18="","",IFERROR(VLOOKUP(D18,基础资料!$P$5:$R$204,2,FALSE),""))</f>
        <v/>
      </c>
      <c r="F18" s="11" t="str">
        <f>IF(D18="","",IFERROR(VLOOKUP(D18,基础资料!$P$5:$R$204,3,FALSE),""))</f>
        <v/>
      </c>
      <c r="G18" s="55"/>
      <c r="H18" s="55"/>
      <c r="I18" s="62" t="str">
        <f t="shared" si="1"/>
        <v/>
      </c>
      <c r="J18" s="62" t="str">
        <f>IF(D18="","",IFERROR(VLOOKUP(D18,基础资料!$P$5:$T$204,5,FALSE),0))</f>
        <v/>
      </c>
      <c r="K18" s="62" t="str">
        <f t="shared" si="2"/>
        <v/>
      </c>
      <c r="L18" s="63" t="str">
        <f>IF(OR(A18="",C18=""),"",A18+IFERROR(VLOOKUP(C18,基础资料!$Y$5:$AA$204,3,FALSE),0))</f>
        <v/>
      </c>
      <c r="M18" s="54"/>
      <c r="N18" s="54"/>
      <c r="O18" s="54"/>
      <c r="P18" s="11" t="str">
        <f t="shared" si="3"/>
        <v/>
      </c>
      <c r="Q18" s="62" t="str">
        <f t="shared" si="4"/>
        <v/>
      </c>
    </row>
    <row r="19" spans="1:17">
      <c r="A19" s="60"/>
      <c r="B19" s="11" t="str">
        <f t="shared" si="0"/>
        <v/>
      </c>
      <c r="C19" s="54"/>
      <c r="D19" s="54"/>
      <c r="E19" s="11" t="str">
        <f>IF(D19="","",IFERROR(VLOOKUP(D19,基础资料!$P$5:$R$204,2,FALSE),""))</f>
        <v/>
      </c>
      <c r="F19" s="11" t="str">
        <f>IF(D19="","",IFERROR(VLOOKUP(D19,基础资料!$P$5:$R$204,3,FALSE),""))</f>
        <v/>
      </c>
      <c r="G19" s="55"/>
      <c r="H19" s="55"/>
      <c r="I19" s="62" t="str">
        <f t="shared" si="1"/>
        <v/>
      </c>
      <c r="J19" s="62" t="str">
        <f>IF(D19="","",IFERROR(VLOOKUP(D19,基础资料!$P$5:$T$204,5,FALSE),0))</f>
        <v/>
      </c>
      <c r="K19" s="62" t="str">
        <f t="shared" si="2"/>
        <v/>
      </c>
      <c r="L19" s="63" t="str">
        <f>IF(OR(A19="",C19=""),"",A19+IFERROR(VLOOKUP(C19,基础资料!$Y$5:$AA$204,3,FALSE),0))</f>
        <v/>
      </c>
      <c r="M19" s="54"/>
      <c r="N19" s="54"/>
      <c r="O19" s="54"/>
      <c r="P19" s="11" t="str">
        <f t="shared" si="3"/>
        <v/>
      </c>
      <c r="Q19" s="62" t="str">
        <f t="shared" si="4"/>
        <v/>
      </c>
    </row>
    <row r="20" spans="1:17">
      <c r="A20" s="60"/>
      <c r="B20" s="11" t="str">
        <f t="shared" si="0"/>
        <v/>
      </c>
      <c r="C20" s="54"/>
      <c r="D20" s="54"/>
      <c r="E20" s="11" t="str">
        <f>IF(D20="","",IFERROR(VLOOKUP(D20,基础资料!$P$5:$R$204,2,FALSE),""))</f>
        <v/>
      </c>
      <c r="F20" s="11" t="str">
        <f>IF(D20="","",IFERROR(VLOOKUP(D20,基础资料!$P$5:$R$204,3,FALSE),""))</f>
        <v/>
      </c>
      <c r="G20" s="55"/>
      <c r="H20" s="55"/>
      <c r="I20" s="62" t="str">
        <f t="shared" si="1"/>
        <v/>
      </c>
      <c r="J20" s="62" t="str">
        <f>IF(D20="","",IFERROR(VLOOKUP(D20,基础资料!$P$5:$T$204,5,FALSE),0))</f>
        <v/>
      </c>
      <c r="K20" s="62" t="str">
        <f t="shared" si="2"/>
        <v/>
      </c>
      <c r="L20" s="63" t="str">
        <f>IF(OR(A20="",C20=""),"",A20+IFERROR(VLOOKUP(C20,基础资料!$Y$5:$AA$204,3,FALSE),0))</f>
        <v/>
      </c>
      <c r="M20" s="54"/>
      <c r="N20" s="54"/>
      <c r="O20" s="54"/>
      <c r="P20" s="11" t="str">
        <f t="shared" si="3"/>
        <v/>
      </c>
      <c r="Q20" s="62" t="str">
        <f t="shared" si="4"/>
        <v/>
      </c>
    </row>
    <row r="21" spans="1:17">
      <c r="A21" s="60"/>
      <c r="B21" s="11" t="str">
        <f t="shared" si="0"/>
        <v/>
      </c>
      <c r="C21" s="54"/>
      <c r="D21" s="54"/>
      <c r="E21" s="11" t="str">
        <f>IF(D21="","",IFERROR(VLOOKUP(D21,基础资料!$P$5:$R$204,2,FALSE),""))</f>
        <v/>
      </c>
      <c r="F21" s="11" t="str">
        <f>IF(D21="","",IFERROR(VLOOKUP(D21,基础资料!$P$5:$R$204,3,FALSE),""))</f>
        <v/>
      </c>
      <c r="G21" s="55"/>
      <c r="H21" s="55"/>
      <c r="I21" s="62" t="str">
        <f t="shared" si="1"/>
        <v/>
      </c>
      <c r="J21" s="62" t="str">
        <f>IF(D21="","",IFERROR(VLOOKUP(D21,基础资料!$P$5:$T$204,5,FALSE),0))</f>
        <v/>
      </c>
      <c r="K21" s="62" t="str">
        <f t="shared" si="2"/>
        <v/>
      </c>
      <c r="L21" s="63" t="str">
        <f>IF(OR(A21="",C21=""),"",A21+IFERROR(VLOOKUP(C21,基础资料!$Y$5:$AA$204,3,FALSE),0))</f>
        <v/>
      </c>
      <c r="M21" s="54"/>
      <c r="N21" s="54"/>
      <c r="O21" s="54"/>
      <c r="P21" s="11" t="str">
        <f t="shared" si="3"/>
        <v/>
      </c>
      <c r="Q21" s="62" t="str">
        <f t="shared" si="4"/>
        <v/>
      </c>
    </row>
    <row r="22" spans="1:17">
      <c r="A22" s="60"/>
      <c r="B22" s="11" t="str">
        <f t="shared" si="0"/>
        <v/>
      </c>
      <c r="C22" s="54"/>
      <c r="D22" s="54"/>
      <c r="E22" s="11" t="str">
        <f>IF(D22="","",IFERROR(VLOOKUP(D22,基础资料!$P$5:$R$204,2,FALSE),""))</f>
        <v/>
      </c>
      <c r="F22" s="11" t="str">
        <f>IF(D22="","",IFERROR(VLOOKUP(D22,基础资料!$P$5:$R$204,3,FALSE),""))</f>
        <v/>
      </c>
      <c r="G22" s="55"/>
      <c r="H22" s="55"/>
      <c r="I22" s="62" t="str">
        <f t="shared" si="1"/>
        <v/>
      </c>
      <c r="J22" s="62" t="str">
        <f>IF(D22="","",IFERROR(VLOOKUP(D22,基础资料!$P$5:$T$204,5,FALSE),0))</f>
        <v/>
      </c>
      <c r="K22" s="62" t="str">
        <f t="shared" si="2"/>
        <v/>
      </c>
      <c r="L22" s="63" t="str">
        <f>IF(OR(A22="",C22=""),"",A22+IFERROR(VLOOKUP(C22,基础资料!$Y$5:$AA$204,3,FALSE),0))</f>
        <v/>
      </c>
      <c r="M22" s="54"/>
      <c r="N22" s="54"/>
      <c r="O22" s="54"/>
      <c r="P22" s="11" t="str">
        <f t="shared" si="3"/>
        <v/>
      </c>
      <c r="Q22" s="62" t="str">
        <f t="shared" si="4"/>
        <v/>
      </c>
    </row>
    <row r="23" spans="1:17">
      <c r="A23" s="60"/>
      <c r="B23" s="11" t="str">
        <f t="shared" si="0"/>
        <v/>
      </c>
      <c r="C23" s="54"/>
      <c r="D23" s="54"/>
      <c r="E23" s="11" t="str">
        <f>IF(D23="","",IFERROR(VLOOKUP(D23,基础资料!$P$5:$R$204,2,FALSE),""))</f>
        <v/>
      </c>
      <c r="F23" s="11" t="str">
        <f>IF(D23="","",IFERROR(VLOOKUP(D23,基础资料!$P$5:$R$204,3,FALSE),""))</f>
        <v/>
      </c>
      <c r="G23" s="55"/>
      <c r="H23" s="55"/>
      <c r="I23" s="62" t="str">
        <f t="shared" si="1"/>
        <v/>
      </c>
      <c r="J23" s="62" t="str">
        <f>IF(D23="","",IFERROR(VLOOKUP(D23,基础资料!$P$5:$T$204,5,FALSE),0))</f>
        <v/>
      </c>
      <c r="K23" s="62" t="str">
        <f t="shared" si="2"/>
        <v/>
      </c>
      <c r="L23" s="63" t="str">
        <f>IF(OR(A23="",C23=""),"",A23+IFERROR(VLOOKUP(C23,基础资料!$Y$5:$AA$204,3,FALSE),0))</f>
        <v/>
      </c>
      <c r="M23" s="54"/>
      <c r="N23" s="54"/>
      <c r="O23" s="54"/>
      <c r="P23" s="11" t="str">
        <f t="shared" si="3"/>
        <v/>
      </c>
      <c r="Q23" s="62" t="str">
        <f t="shared" si="4"/>
        <v/>
      </c>
    </row>
    <row r="24" spans="1:17">
      <c r="A24" s="60"/>
      <c r="B24" s="11" t="str">
        <f t="shared" si="0"/>
        <v/>
      </c>
      <c r="C24" s="54"/>
      <c r="D24" s="54"/>
      <c r="E24" s="11" t="str">
        <f>IF(D24="","",IFERROR(VLOOKUP(D24,基础资料!$P$5:$R$204,2,FALSE),""))</f>
        <v/>
      </c>
      <c r="F24" s="11" t="str">
        <f>IF(D24="","",IFERROR(VLOOKUP(D24,基础资料!$P$5:$R$204,3,FALSE),""))</f>
        <v/>
      </c>
      <c r="G24" s="55"/>
      <c r="H24" s="55"/>
      <c r="I24" s="62" t="str">
        <f t="shared" si="1"/>
        <v/>
      </c>
      <c r="J24" s="62" t="str">
        <f>IF(D24="","",IFERROR(VLOOKUP(D24,基础资料!$P$5:$T$204,5,FALSE),0))</f>
        <v/>
      </c>
      <c r="K24" s="62" t="str">
        <f t="shared" si="2"/>
        <v/>
      </c>
      <c r="L24" s="63" t="str">
        <f>IF(OR(A24="",C24=""),"",A24+IFERROR(VLOOKUP(C24,基础资料!$Y$5:$AA$204,3,FALSE),0))</f>
        <v/>
      </c>
      <c r="M24" s="54"/>
      <c r="N24" s="54"/>
      <c r="O24" s="54"/>
      <c r="P24" s="11" t="str">
        <f t="shared" si="3"/>
        <v/>
      </c>
      <c r="Q24" s="62" t="str">
        <f t="shared" si="4"/>
        <v/>
      </c>
    </row>
    <row r="25" spans="1:17">
      <c r="A25" s="60"/>
      <c r="B25" s="11" t="str">
        <f t="shared" si="0"/>
        <v/>
      </c>
      <c r="C25" s="54"/>
      <c r="D25" s="54"/>
      <c r="E25" s="11" t="str">
        <f>IF(D25="","",IFERROR(VLOOKUP(D25,基础资料!$P$5:$R$204,2,FALSE),""))</f>
        <v/>
      </c>
      <c r="F25" s="11" t="str">
        <f>IF(D25="","",IFERROR(VLOOKUP(D25,基础资料!$P$5:$R$204,3,FALSE),""))</f>
        <v/>
      </c>
      <c r="G25" s="55"/>
      <c r="H25" s="55"/>
      <c r="I25" s="62" t="str">
        <f t="shared" si="1"/>
        <v/>
      </c>
      <c r="J25" s="62" t="str">
        <f>IF(D25="","",IFERROR(VLOOKUP(D25,基础资料!$P$5:$T$204,5,FALSE),0))</f>
        <v/>
      </c>
      <c r="K25" s="62" t="str">
        <f t="shared" si="2"/>
        <v/>
      </c>
      <c r="L25" s="63" t="str">
        <f>IF(OR(A25="",C25=""),"",A25+IFERROR(VLOOKUP(C25,基础资料!$Y$5:$AA$204,3,FALSE),0))</f>
        <v/>
      </c>
      <c r="M25" s="54"/>
      <c r="N25" s="54"/>
      <c r="O25" s="54"/>
      <c r="P25" s="11" t="str">
        <f t="shared" si="3"/>
        <v/>
      </c>
      <c r="Q25" s="62" t="str">
        <f t="shared" si="4"/>
        <v/>
      </c>
    </row>
    <row r="26" spans="1:17">
      <c r="A26" s="60"/>
      <c r="B26" s="11" t="str">
        <f t="shared" si="0"/>
        <v/>
      </c>
      <c r="C26" s="54"/>
      <c r="D26" s="54"/>
      <c r="E26" s="11" t="str">
        <f>IF(D26="","",IFERROR(VLOOKUP(D26,基础资料!$P$5:$R$204,2,FALSE),""))</f>
        <v/>
      </c>
      <c r="F26" s="11" t="str">
        <f>IF(D26="","",IFERROR(VLOOKUP(D26,基础资料!$P$5:$R$204,3,FALSE),""))</f>
        <v/>
      </c>
      <c r="G26" s="55"/>
      <c r="H26" s="55"/>
      <c r="I26" s="62" t="str">
        <f t="shared" si="1"/>
        <v/>
      </c>
      <c r="J26" s="62" t="str">
        <f>IF(D26="","",IFERROR(VLOOKUP(D26,基础资料!$P$5:$T$204,5,FALSE),0))</f>
        <v/>
      </c>
      <c r="K26" s="62" t="str">
        <f t="shared" si="2"/>
        <v/>
      </c>
      <c r="L26" s="63" t="str">
        <f>IF(OR(A26="",C26=""),"",A26+IFERROR(VLOOKUP(C26,基础资料!$Y$5:$AA$204,3,FALSE),0))</f>
        <v/>
      </c>
      <c r="M26" s="54"/>
      <c r="N26" s="54"/>
      <c r="O26" s="54"/>
      <c r="P26" s="11" t="str">
        <f t="shared" si="3"/>
        <v/>
      </c>
      <c r="Q26" s="62" t="str">
        <f t="shared" si="4"/>
        <v/>
      </c>
    </row>
    <row r="27" spans="1:17">
      <c r="A27" s="60"/>
      <c r="B27" s="11" t="str">
        <f t="shared" si="0"/>
        <v/>
      </c>
      <c r="C27" s="54"/>
      <c r="D27" s="54"/>
      <c r="E27" s="11" t="str">
        <f>IF(D27="","",IFERROR(VLOOKUP(D27,基础资料!$P$5:$R$204,2,FALSE),""))</f>
        <v/>
      </c>
      <c r="F27" s="11" t="str">
        <f>IF(D27="","",IFERROR(VLOOKUP(D27,基础资料!$P$5:$R$204,3,FALSE),""))</f>
        <v/>
      </c>
      <c r="G27" s="55"/>
      <c r="H27" s="55"/>
      <c r="I27" s="62" t="str">
        <f t="shared" si="1"/>
        <v/>
      </c>
      <c r="J27" s="62" t="str">
        <f>IF(D27="","",IFERROR(VLOOKUP(D27,基础资料!$P$5:$T$204,5,FALSE),0))</f>
        <v/>
      </c>
      <c r="K27" s="62" t="str">
        <f t="shared" si="2"/>
        <v/>
      </c>
      <c r="L27" s="63" t="str">
        <f>IF(OR(A27="",C27=""),"",A27+IFERROR(VLOOKUP(C27,基础资料!$Y$5:$AA$204,3,FALSE),0))</f>
        <v/>
      </c>
      <c r="M27" s="54"/>
      <c r="N27" s="54"/>
      <c r="O27" s="54"/>
      <c r="P27" s="11" t="str">
        <f t="shared" si="3"/>
        <v/>
      </c>
      <c r="Q27" s="62" t="str">
        <f t="shared" si="4"/>
        <v/>
      </c>
    </row>
    <row r="28" spans="1:17">
      <c r="A28" s="60"/>
      <c r="B28" s="11" t="str">
        <f t="shared" si="0"/>
        <v/>
      </c>
      <c r="C28" s="54"/>
      <c r="D28" s="54"/>
      <c r="E28" s="11" t="str">
        <f>IF(D28="","",IFERROR(VLOOKUP(D28,基础资料!$P$5:$R$204,2,FALSE),""))</f>
        <v/>
      </c>
      <c r="F28" s="11" t="str">
        <f>IF(D28="","",IFERROR(VLOOKUP(D28,基础资料!$P$5:$R$204,3,FALSE),""))</f>
        <v/>
      </c>
      <c r="G28" s="55"/>
      <c r="H28" s="55"/>
      <c r="I28" s="62" t="str">
        <f t="shared" si="1"/>
        <v/>
      </c>
      <c r="J28" s="62" t="str">
        <f>IF(D28="","",IFERROR(VLOOKUP(D28,基础资料!$P$5:$T$204,5,FALSE),0))</f>
        <v/>
      </c>
      <c r="K28" s="62" t="str">
        <f t="shared" si="2"/>
        <v/>
      </c>
      <c r="L28" s="63" t="str">
        <f>IF(OR(A28="",C28=""),"",A28+IFERROR(VLOOKUP(C28,基础资料!$Y$5:$AA$204,3,FALSE),0))</f>
        <v/>
      </c>
      <c r="M28" s="54"/>
      <c r="N28" s="54"/>
      <c r="O28" s="54"/>
      <c r="P28" s="11" t="str">
        <f t="shared" si="3"/>
        <v/>
      </c>
      <c r="Q28" s="62" t="str">
        <f t="shared" si="4"/>
        <v/>
      </c>
    </row>
    <row r="29" spans="1:17">
      <c r="A29" s="60"/>
      <c r="B29" s="11" t="str">
        <f t="shared" si="0"/>
        <v/>
      </c>
      <c r="C29" s="54"/>
      <c r="D29" s="54"/>
      <c r="E29" s="11" t="str">
        <f>IF(D29="","",IFERROR(VLOOKUP(D29,基础资料!$P$5:$R$204,2,FALSE),""))</f>
        <v/>
      </c>
      <c r="F29" s="11" t="str">
        <f>IF(D29="","",IFERROR(VLOOKUP(D29,基础资料!$P$5:$R$204,3,FALSE),""))</f>
        <v/>
      </c>
      <c r="G29" s="55"/>
      <c r="H29" s="55"/>
      <c r="I29" s="62" t="str">
        <f t="shared" si="1"/>
        <v/>
      </c>
      <c r="J29" s="62" t="str">
        <f>IF(D29="","",IFERROR(VLOOKUP(D29,基础资料!$P$5:$T$204,5,FALSE),0))</f>
        <v/>
      </c>
      <c r="K29" s="62" t="str">
        <f t="shared" si="2"/>
        <v/>
      </c>
      <c r="L29" s="63" t="str">
        <f>IF(OR(A29="",C29=""),"",A29+IFERROR(VLOOKUP(C29,基础资料!$Y$5:$AA$204,3,FALSE),0))</f>
        <v/>
      </c>
      <c r="M29" s="54"/>
      <c r="N29" s="54"/>
      <c r="O29" s="54"/>
      <c r="P29" s="11" t="str">
        <f t="shared" si="3"/>
        <v/>
      </c>
      <c r="Q29" s="62" t="str">
        <f t="shared" si="4"/>
        <v/>
      </c>
    </row>
    <row r="30" spans="1:17">
      <c r="A30" s="60"/>
      <c r="B30" s="11" t="str">
        <f t="shared" si="0"/>
        <v/>
      </c>
      <c r="C30" s="54"/>
      <c r="D30" s="54"/>
      <c r="E30" s="11" t="str">
        <f>IF(D30="","",IFERROR(VLOOKUP(D30,基础资料!$P$5:$R$204,2,FALSE),""))</f>
        <v/>
      </c>
      <c r="F30" s="11" t="str">
        <f>IF(D30="","",IFERROR(VLOOKUP(D30,基础资料!$P$5:$R$204,3,FALSE),""))</f>
        <v/>
      </c>
      <c r="G30" s="55"/>
      <c r="H30" s="55"/>
      <c r="I30" s="62" t="str">
        <f t="shared" si="1"/>
        <v/>
      </c>
      <c r="J30" s="62" t="str">
        <f>IF(D30="","",IFERROR(VLOOKUP(D30,基础资料!$P$5:$T$204,5,FALSE),0))</f>
        <v/>
      </c>
      <c r="K30" s="62" t="str">
        <f t="shared" si="2"/>
        <v/>
      </c>
      <c r="L30" s="63" t="str">
        <f>IF(OR(A30="",C30=""),"",A30+IFERROR(VLOOKUP(C30,基础资料!$Y$5:$AA$204,3,FALSE),0))</f>
        <v/>
      </c>
      <c r="M30" s="54"/>
      <c r="N30" s="54"/>
      <c r="O30" s="54"/>
      <c r="P30" s="11" t="str">
        <f t="shared" si="3"/>
        <v/>
      </c>
      <c r="Q30" s="62" t="str">
        <f t="shared" si="4"/>
        <v/>
      </c>
    </row>
    <row r="31" spans="1:17">
      <c r="A31" s="60"/>
      <c r="B31" s="11" t="str">
        <f t="shared" si="0"/>
        <v/>
      </c>
      <c r="C31" s="54"/>
      <c r="D31" s="54"/>
      <c r="E31" s="11" t="str">
        <f>IF(D31="","",IFERROR(VLOOKUP(D31,基础资料!$P$5:$R$204,2,FALSE),""))</f>
        <v/>
      </c>
      <c r="F31" s="11" t="str">
        <f>IF(D31="","",IFERROR(VLOOKUP(D31,基础资料!$P$5:$R$204,3,FALSE),""))</f>
        <v/>
      </c>
      <c r="G31" s="55"/>
      <c r="H31" s="55"/>
      <c r="I31" s="62" t="str">
        <f t="shared" si="1"/>
        <v/>
      </c>
      <c r="J31" s="62" t="str">
        <f>IF(D31="","",IFERROR(VLOOKUP(D31,基础资料!$P$5:$T$204,5,FALSE),0))</f>
        <v/>
      </c>
      <c r="K31" s="62" t="str">
        <f t="shared" si="2"/>
        <v/>
      </c>
      <c r="L31" s="63" t="str">
        <f>IF(OR(A31="",C31=""),"",A31+IFERROR(VLOOKUP(C31,基础资料!$Y$5:$AA$204,3,FALSE),0))</f>
        <v/>
      </c>
      <c r="M31" s="54"/>
      <c r="N31" s="54"/>
      <c r="O31" s="54"/>
      <c r="P31" s="11" t="str">
        <f t="shared" si="3"/>
        <v/>
      </c>
      <c r="Q31" s="62" t="str">
        <f t="shared" si="4"/>
        <v/>
      </c>
    </row>
    <row r="32" spans="1:17">
      <c r="A32" s="60"/>
      <c r="B32" s="11" t="str">
        <f t="shared" si="0"/>
        <v/>
      </c>
      <c r="C32" s="54"/>
      <c r="D32" s="54"/>
      <c r="E32" s="11" t="str">
        <f>IF(D32="","",IFERROR(VLOOKUP(D32,基础资料!$P$5:$R$204,2,FALSE),""))</f>
        <v/>
      </c>
      <c r="F32" s="11" t="str">
        <f>IF(D32="","",IFERROR(VLOOKUP(D32,基础资料!$P$5:$R$204,3,FALSE),""))</f>
        <v/>
      </c>
      <c r="G32" s="55"/>
      <c r="H32" s="55"/>
      <c r="I32" s="62" t="str">
        <f t="shared" si="1"/>
        <v/>
      </c>
      <c r="J32" s="62" t="str">
        <f>IF(D32="","",IFERROR(VLOOKUP(D32,基础资料!$P$5:$T$204,5,FALSE),0))</f>
        <v/>
      </c>
      <c r="K32" s="62" t="str">
        <f t="shared" si="2"/>
        <v/>
      </c>
      <c r="L32" s="63" t="str">
        <f>IF(OR(A32="",C32=""),"",A32+IFERROR(VLOOKUP(C32,基础资料!$Y$5:$AA$204,3,FALSE),0))</f>
        <v/>
      </c>
      <c r="M32" s="54"/>
      <c r="N32" s="54"/>
      <c r="O32" s="54"/>
      <c r="P32" s="11" t="str">
        <f t="shared" si="3"/>
        <v/>
      </c>
      <c r="Q32" s="62" t="str">
        <f t="shared" si="4"/>
        <v/>
      </c>
    </row>
    <row r="33" spans="1:17">
      <c r="A33" s="60"/>
      <c r="B33" s="11" t="str">
        <f t="shared" si="0"/>
        <v/>
      </c>
      <c r="C33" s="54"/>
      <c r="D33" s="54"/>
      <c r="E33" s="11" t="str">
        <f>IF(D33="","",IFERROR(VLOOKUP(D33,基础资料!$P$5:$R$204,2,FALSE),""))</f>
        <v/>
      </c>
      <c r="F33" s="11" t="str">
        <f>IF(D33="","",IFERROR(VLOOKUP(D33,基础资料!$P$5:$R$204,3,FALSE),""))</f>
        <v/>
      </c>
      <c r="G33" s="55"/>
      <c r="H33" s="55"/>
      <c r="I33" s="62" t="str">
        <f t="shared" si="1"/>
        <v/>
      </c>
      <c r="J33" s="62" t="str">
        <f>IF(D33="","",IFERROR(VLOOKUP(D33,基础资料!$P$5:$T$204,5,FALSE),0))</f>
        <v/>
      </c>
      <c r="K33" s="62" t="str">
        <f t="shared" si="2"/>
        <v/>
      </c>
      <c r="L33" s="63" t="str">
        <f>IF(OR(A33="",C33=""),"",A33+IFERROR(VLOOKUP(C33,基础资料!$Y$5:$AA$204,3,FALSE),0))</f>
        <v/>
      </c>
      <c r="M33" s="54"/>
      <c r="N33" s="54"/>
      <c r="O33" s="54"/>
      <c r="P33" s="11" t="str">
        <f t="shared" si="3"/>
        <v/>
      </c>
      <c r="Q33" s="62" t="str">
        <f t="shared" si="4"/>
        <v/>
      </c>
    </row>
    <row r="34" spans="1:17">
      <c r="A34" s="60"/>
      <c r="B34" s="11" t="str">
        <f t="shared" si="0"/>
        <v/>
      </c>
      <c r="C34" s="54"/>
      <c r="D34" s="54"/>
      <c r="E34" s="11" t="str">
        <f>IF(D34="","",IFERROR(VLOOKUP(D34,基础资料!$P$5:$R$204,2,FALSE),""))</f>
        <v/>
      </c>
      <c r="F34" s="11" t="str">
        <f>IF(D34="","",IFERROR(VLOOKUP(D34,基础资料!$P$5:$R$204,3,FALSE),""))</f>
        <v/>
      </c>
      <c r="G34" s="55"/>
      <c r="H34" s="55"/>
      <c r="I34" s="62" t="str">
        <f t="shared" si="1"/>
        <v/>
      </c>
      <c r="J34" s="62" t="str">
        <f>IF(D34="","",IFERROR(VLOOKUP(D34,基础资料!$P$5:$T$204,5,FALSE),0))</f>
        <v/>
      </c>
      <c r="K34" s="62" t="str">
        <f t="shared" si="2"/>
        <v/>
      </c>
      <c r="L34" s="63" t="str">
        <f>IF(OR(A34="",C34=""),"",A34+IFERROR(VLOOKUP(C34,基础资料!$Y$5:$AA$204,3,FALSE),0))</f>
        <v/>
      </c>
      <c r="M34" s="54"/>
      <c r="N34" s="54"/>
      <c r="O34" s="54"/>
      <c r="P34" s="11" t="str">
        <f t="shared" si="3"/>
        <v/>
      </c>
      <c r="Q34" s="62" t="str">
        <f t="shared" si="4"/>
        <v/>
      </c>
    </row>
    <row r="35" spans="1:17">
      <c r="A35" s="60"/>
      <c r="B35" s="11" t="str">
        <f t="shared" si="0"/>
        <v/>
      </c>
      <c r="C35" s="54"/>
      <c r="D35" s="54"/>
      <c r="E35" s="11" t="str">
        <f>IF(D35="","",IFERROR(VLOOKUP(D35,基础资料!$P$5:$R$204,2,FALSE),""))</f>
        <v/>
      </c>
      <c r="F35" s="11" t="str">
        <f>IF(D35="","",IFERROR(VLOOKUP(D35,基础资料!$P$5:$R$204,3,FALSE),""))</f>
        <v/>
      </c>
      <c r="G35" s="55"/>
      <c r="H35" s="55"/>
      <c r="I35" s="62" t="str">
        <f t="shared" si="1"/>
        <v/>
      </c>
      <c r="J35" s="62" t="str">
        <f>IF(D35="","",IFERROR(VLOOKUP(D35,基础资料!$P$5:$T$204,5,FALSE),0))</f>
        <v/>
      </c>
      <c r="K35" s="62" t="str">
        <f t="shared" si="2"/>
        <v/>
      </c>
      <c r="L35" s="63" t="str">
        <f>IF(OR(A35="",C35=""),"",A35+IFERROR(VLOOKUP(C35,基础资料!$Y$5:$AA$204,3,FALSE),0))</f>
        <v/>
      </c>
      <c r="M35" s="54"/>
      <c r="N35" s="54"/>
      <c r="O35" s="54"/>
      <c r="P35" s="11" t="str">
        <f t="shared" si="3"/>
        <v/>
      </c>
      <c r="Q35" s="62" t="str">
        <f t="shared" si="4"/>
        <v/>
      </c>
    </row>
    <row r="36" spans="1:17">
      <c r="A36" s="60"/>
      <c r="B36" s="11" t="str">
        <f t="shared" si="0"/>
        <v/>
      </c>
      <c r="C36" s="54"/>
      <c r="D36" s="54"/>
      <c r="E36" s="11" t="str">
        <f>IF(D36="","",IFERROR(VLOOKUP(D36,基础资料!$P$5:$R$204,2,FALSE),""))</f>
        <v/>
      </c>
      <c r="F36" s="11" t="str">
        <f>IF(D36="","",IFERROR(VLOOKUP(D36,基础资料!$P$5:$R$204,3,FALSE),""))</f>
        <v/>
      </c>
      <c r="G36" s="55"/>
      <c r="H36" s="55"/>
      <c r="I36" s="62" t="str">
        <f t="shared" si="1"/>
        <v/>
      </c>
      <c r="J36" s="62" t="str">
        <f>IF(D36="","",IFERROR(VLOOKUP(D36,基础资料!$P$5:$T$204,5,FALSE),0))</f>
        <v/>
      </c>
      <c r="K36" s="62" t="str">
        <f t="shared" si="2"/>
        <v/>
      </c>
      <c r="L36" s="63" t="str">
        <f>IF(OR(A36="",C36=""),"",A36+IFERROR(VLOOKUP(C36,基础资料!$Y$5:$AA$204,3,FALSE),0))</f>
        <v/>
      </c>
      <c r="M36" s="54"/>
      <c r="N36" s="54"/>
      <c r="O36" s="54"/>
      <c r="P36" s="11" t="str">
        <f t="shared" si="3"/>
        <v/>
      </c>
      <c r="Q36" s="62" t="str">
        <f t="shared" si="4"/>
        <v/>
      </c>
    </row>
    <row r="37" spans="1:17">
      <c r="A37" s="60"/>
      <c r="B37" s="11" t="str">
        <f t="shared" si="0"/>
        <v/>
      </c>
      <c r="C37" s="54"/>
      <c r="D37" s="54"/>
      <c r="E37" s="11" t="str">
        <f>IF(D37="","",IFERROR(VLOOKUP(D37,基础资料!$P$5:$R$204,2,FALSE),""))</f>
        <v/>
      </c>
      <c r="F37" s="11" t="str">
        <f>IF(D37="","",IFERROR(VLOOKUP(D37,基础资料!$P$5:$R$204,3,FALSE),""))</f>
        <v/>
      </c>
      <c r="G37" s="55"/>
      <c r="H37" s="55"/>
      <c r="I37" s="62" t="str">
        <f t="shared" si="1"/>
        <v/>
      </c>
      <c r="J37" s="62" t="str">
        <f>IF(D37="","",IFERROR(VLOOKUP(D37,基础资料!$P$5:$T$204,5,FALSE),0))</f>
        <v/>
      </c>
      <c r="K37" s="62" t="str">
        <f t="shared" si="2"/>
        <v/>
      </c>
      <c r="L37" s="63" t="str">
        <f>IF(OR(A37="",C37=""),"",A37+IFERROR(VLOOKUP(C37,基础资料!$Y$5:$AA$204,3,FALSE),0))</f>
        <v/>
      </c>
      <c r="M37" s="54"/>
      <c r="N37" s="54"/>
      <c r="O37" s="54"/>
      <c r="P37" s="11" t="str">
        <f t="shared" si="3"/>
        <v/>
      </c>
      <c r="Q37" s="62" t="str">
        <f t="shared" si="4"/>
        <v/>
      </c>
    </row>
    <row r="38" spans="1:17">
      <c r="A38" s="60"/>
      <c r="B38" s="11" t="str">
        <f t="shared" si="0"/>
        <v/>
      </c>
      <c r="C38" s="54"/>
      <c r="D38" s="54"/>
      <c r="E38" s="11" t="str">
        <f>IF(D38="","",IFERROR(VLOOKUP(D38,基础资料!$P$5:$R$204,2,FALSE),""))</f>
        <v/>
      </c>
      <c r="F38" s="11" t="str">
        <f>IF(D38="","",IFERROR(VLOOKUP(D38,基础资料!$P$5:$R$204,3,FALSE),""))</f>
        <v/>
      </c>
      <c r="G38" s="55"/>
      <c r="H38" s="55"/>
      <c r="I38" s="62" t="str">
        <f t="shared" si="1"/>
        <v/>
      </c>
      <c r="J38" s="62" t="str">
        <f>IF(D38="","",IFERROR(VLOOKUP(D38,基础资料!$P$5:$T$204,5,FALSE),0))</f>
        <v/>
      </c>
      <c r="K38" s="62" t="str">
        <f t="shared" si="2"/>
        <v/>
      </c>
      <c r="L38" s="63" t="str">
        <f>IF(OR(A38="",C38=""),"",A38+IFERROR(VLOOKUP(C38,基础资料!$Y$5:$AA$204,3,FALSE),0))</f>
        <v/>
      </c>
      <c r="M38" s="54"/>
      <c r="N38" s="54"/>
      <c r="O38" s="54"/>
      <c r="P38" s="11" t="str">
        <f t="shared" si="3"/>
        <v/>
      </c>
      <c r="Q38" s="62" t="str">
        <f t="shared" si="4"/>
        <v/>
      </c>
    </row>
    <row r="39" spans="1:17">
      <c r="A39" s="60"/>
      <c r="B39" s="11" t="str">
        <f t="shared" si="0"/>
        <v/>
      </c>
      <c r="C39" s="54"/>
      <c r="D39" s="54"/>
      <c r="E39" s="11" t="str">
        <f>IF(D39="","",IFERROR(VLOOKUP(D39,基础资料!$P$5:$R$204,2,FALSE),""))</f>
        <v/>
      </c>
      <c r="F39" s="11" t="str">
        <f>IF(D39="","",IFERROR(VLOOKUP(D39,基础资料!$P$5:$R$204,3,FALSE),""))</f>
        <v/>
      </c>
      <c r="G39" s="55"/>
      <c r="H39" s="55"/>
      <c r="I39" s="62" t="str">
        <f t="shared" si="1"/>
        <v/>
      </c>
      <c r="J39" s="62" t="str">
        <f>IF(D39="","",IFERROR(VLOOKUP(D39,基础资料!$P$5:$T$204,5,FALSE),0))</f>
        <v/>
      </c>
      <c r="K39" s="62" t="str">
        <f t="shared" si="2"/>
        <v/>
      </c>
      <c r="L39" s="63" t="str">
        <f>IF(OR(A39="",C39=""),"",A39+IFERROR(VLOOKUP(C39,基础资料!$Y$5:$AA$204,3,FALSE),0))</f>
        <v/>
      </c>
      <c r="M39" s="54"/>
      <c r="N39" s="54"/>
      <c r="O39" s="54"/>
      <c r="P39" s="11" t="str">
        <f t="shared" si="3"/>
        <v/>
      </c>
      <c r="Q39" s="62" t="str">
        <f t="shared" si="4"/>
        <v/>
      </c>
    </row>
    <row r="40" spans="1:17">
      <c r="A40" s="60"/>
      <c r="B40" s="11" t="str">
        <f t="shared" si="0"/>
        <v/>
      </c>
      <c r="C40" s="54"/>
      <c r="D40" s="54"/>
      <c r="E40" s="11" t="str">
        <f>IF(D40="","",IFERROR(VLOOKUP(D40,基础资料!$P$5:$R$204,2,FALSE),""))</f>
        <v/>
      </c>
      <c r="F40" s="11" t="str">
        <f>IF(D40="","",IFERROR(VLOOKUP(D40,基础资料!$P$5:$R$204,3,FALSE),""))</f>
        <v/>
      </c>
      <c r="G40" s="55"/>
      <c r="H40" s="55"/>
      <c r="I40" s="62" t="str">
        <f t="shared" si="1"/>
        <v/>
      </c>
      <c r="J40" s="62" t="str">
        <f>IF(D40="","",IFERROR(VLOOKUP(D40,基础资料!$P$5:$T$204,5,FALSE),0))</f>
        <v/>
      </c>
      <c r="K40" s="62" t="str">
        <f t="shared" si="2"/>
        <v/>
      </c>
      <c r="L40" s="63" t="str">
        <f>IF(OR(A40="",C40=""),"",A40+IFERROR(VLOOKUP(C40,基础资料!$Y$5:$AA$204,3,FALSE),0))</f>
        <v/>
      </c>
      <c r="M40" s="54"/>
      <c r="N40" s="54"/>
      <c r="O40" s="54"/>
      <c r="P40" s="11" t="str">
        <f t="shared" si="3"/>
        <v/>
      </c>
      <c r="Q40" s="62" t="str">
        <f t="shared" si="4"/>
        <v/>
      </c>
    </row>
    <row r="41" spans="1:17">
      <c r="A41" s="60"/>
      <c r="B41" s="11" t="str">
        <f t="shared" si="0"/>
        <v/>
      </c>
      <c r="C41" s="54"/>
      <c r="D41" s="54"/>
      <c r="E41" s="11" t="str">
        <f>IF(D41="","",IFERROR(VLOOKUP(D41,基础资料!$P$5:$R$204,2,FALSE),""))</f>
        <v/>
      </c>
      <c r="F41" s="11" t="str">
        <f>IF(D41="","",IFERROR(VLOOKUP(D41,基础资料!$P$5:$R$204,3,FALSE),""))</f>
        <v/>
      </c>
      <c r="G41" s="55"/>
      <c r="H41" s="55"/>
      <c r="I41" s="62" t="str">
        <f t="shared" si="1"/>
        <v/>
      </c>
      <c r="J41" s="62" t="str">
        <f>IF(D41="","",IFERROR(VLOOKUP(D41,基础资料!$P$5:$T$204,5,FALSE),0))</f>
        <v/>
      </c>
      <c r="K41" s="62" t="str">
        <f t="shared" si="2"/>
        <v/>
      </c>
      <c r="L41" s="63" t="str">
        <f>IF(OR(A41="",C41=""),"",A41+IFERROR(VLOOKUP(C41,基础资料!$Y$5:$AA$204,3,FALSE),0))</f>
        <v/>
      </c>
      <c r="M41" s="54"/>
      <c r="N41" s="54"/>
      <c r="O41" s="54"/>
      <c r="P41" s="11" t="str">
        <f t="shared" si="3"/>
        <v/>
      </c>
      <c r="Q41" s="62" t="str">
        <f t="shared" si="4"/>
        <v/>
      </c>
    </row>
    <row r="42" spans="1:17">
      <c r="A42" s="60"/>
      <c r="B42" s="11" t="str">
        <f t="shared" si="0"/>
        <v/>
      </c>
      <c r="C42" s="54"/>
      <c r="D42" s="54"/>
      <c r="E42" s="11" t="str">
        <f>IF(D42="","",IFERROR(VLOOKUP(D42,基础资料!$P$5:$R$204,2,FALSE),""))</f>
        <v/>
      </c>
      <c r="F42" s="11" t="str">
        <f>IF(D42="","",IFERROR(VLOOKUP(D42,基础资料!$P$5:$R$204,3,FALSE),""))</f>
        <v/>
      </c>
      <c r="G42" s="55"/>
      <c r="H42" s="55"/>
      <c r="I42" s="62" t="str">
        <f t="shared" si="1"/>
        <v/>
      </c>
      <c r="J42" s="62" t="str">
        <f>IF(D42="","",IFERROR(VLOOKUP(D42,基础资料!$P$5:$T$204,5,FALSE),0))</f>
        <v/>
      </c>
      <c r="K42" s="62" t="str">
        <f t="shared" si="2"/>
        <v/>
      </c>
      <c r="L42" s="63" t="str">
        <f>IF(OR(A42="",C42=""),"",A42+IFERROR(VLOOKUP(C42,基础资料!$Y$5:$AA$204,3,FALSE),0))</f>
        <v/>
      </c>
      <c r="M42" s="54"/>
      <c r="N42" s="54"/>
      <c r="O42" s="54"/>
      <c r="P42" s="11" t="str">
        <f t="shared" si="3"/>
        <v/>
      </c>
      <c r="Q42" s="62" t="str">
        <f t="shared" si="4"/>
        <v/>
      </c>
    </row>
    <row r="43" spans="1:17">
      <c r="A43" s="60"/>
      <c r="B43" s="11" t="str">
        <f t="shared" si="0"/>
        <v/>
      </c>
      <c r="C43" s="54"/>
      <c r="D43" s="54"/>
      <c r="E43" s="11" t="str">
        <f>IF(D43="","",IFERROR(VLOOKUP(D43,基础资料!$P$5:$R$204,2,FALSE),""))</f>
        <v/>
      </c>
      <c r="F43" s="11" t="str">
        <f>IF(D43="","",IFERROR(VLOOKUP(D43,基础资料!$P$5:$R$204,3,FALSE),""))</f>
        <v/>
      </c>
      <c r="G43" s="55"/>
      <c r="H43" s="55"/>
      <c r="I43" s="62" t="str">
        <f t="shared" si="1"/>
        <v/>
      </c>
      <c r="J43" s="62" t="str">
        <f>IF(D43="","",IFERROR(VLOOKUP(D43,基础资料!$P$5:$T$204,5,FALSE),0))</f>
        <v/>
      </c>
      <c r="K43" s="62" t="str">
        <f t="shared" si="2"/>
        <v/>
      </c>
      <c r="L43" s="63" t="str">
        <f>IF(OR(A43="",C43=""),"",A43+IFERROR(VLOOKUP(C43,基础资料!$Y$5:$AA$204,3,FALSE),0))</f>
        <v/>
      </c>
      <c r="M43" s="54"/>
      <c r="N43" s="54"/>
      <c r="O43" s="54"/>
      <c r="P43" s="11" t="str">
        <f t="shared" si="3"/>
        <v/>
      </c>
      <c r="Q43" s="62" t="str">
        <f t="shared" si="4"/>
        <v/>
      </c>
    </row>
    <row r="44" spans="1:17">
      <c r="A44" s="60"/>
      <c r="B44" s="11" t="str">
        <f t="shared" si="0"/>
        <v/>
      </c>
      <c r="C44" s="54"/>
      <c r="D44" s="54"/>
      <c r="E44" s="11" t="str">
        <f>IF(D44="","",IFERROR(VLOOKUP(D44,基础资料!$P$5:$R$204,2,FALSE),""))</f>
        <v/>
      </c>
      <c r="F44" s="11" t="str">
        <f>IF(D44="","",IFERROR(VLOOKUP(D44,基础资料!$P$5:$R$204,3,FALSE),""))</f>
        <v/>
      </c>
      <c r="G44" s="55"/>
      <c r="H44" s="55"/>
      <c r="I44" s="62" t="str">
        <f t="shared" si="1"/>
        <v/>
      </c>
      <c r="J44" s="62" t="str">
        <f>IF(D44="","",IFERROR(VLOOKUP(D44,基础资料!$P$5:$T$204,5,FALSE),0))</f>
        <v/>
      </c>
      <c r="K44" s="62" t="str">
        <f t="shared" si="2"/>
        <v/>
      </c>
      <c r="L44" s="63" t="str">
        <f>IF(OR(A44="",C44=""),"",A44+IFERROR(VLOOKUP(C44,基础资料!$Y$5:$AA$204,3,FALSE),0))</f>
        <v/>
      </c>
      <c r="M44" s="54"/>
      <c r="N44" s="54"/>
      <c r="O44" s="54"/>
      <c r="P44" s="11" t="str">
        <f t="shared" si="3"/>
        <v/>
      </c>
      <c r="Q44" s="62" t="str">
        <f t="shared" si="4"/>
        <v/>
      </c>
    </row>
    <row r="45" spans="1:17">
      <c r="A45" s="60"/>
      <c r="B45" s="11" t="str">
        <f t="shared" si="0"/>
        <v/>
      </c>
      <c r="C45" s="54"/>
      <c r="D45" s="54"/>
      <c r="E45" s="11" t="str">
        <f>IF(D45="","",IFERROR(VLOOKUP(D45,基础资料!$P$5:$R$204,2,FALSE),""))</f>
        <v/>
      </c>
      <c r="F45" s="11" t="str">
        <f>IF(D45="","",IFERROR(VLOOKUP(D45,基础资料!$P$5:$R$204,3,FALSE),""))</f>
        <v/>
      </c>
      <c r="G45" s="55"/>
      <c r="H45" s="55"/>
      <c r="I45" s="62" t="str">
        <f t="shared" si="1"/>
        <v/>
      </c>
      <c r="J45" s="62" t="str">
        <f>IF(D45="","",IFERROR(VLOOKUP(D45,基础资料!$P$5:$T$204,5,FALSE),0))</f>
        <v/>
      </c>
      <c r="K45" s="62" t="str">
        <f t="shared" si="2"/>
        <v/>
      </c>
      <c r="L45" s="63" t="str">
        <f>IF(OR(A45="",C45=""),"",A45+IFERROR(VLOOKUP(C45,基础资料!$Y$5:$AA$204,3,FALSE),0))</f>
        <v/>
      </c>
      <c r="M45" s="54"/>
      <c r="N45" s="54"/>
      <c r="O45" s="54"/>
      <c r="P45" s="11" t="str">
        <f t="shared" si="3"/>
        <v/>
      </c>
      <c r="Q45" s="62" t="str">
        <f t="shared" si="4"/>
        <v/>
      </c>
    </row>
    <row r="46" spans="1:17">
      <c r="A46" s="60"/>
      <c r="B46" s="11" t="str">
        <f t="shared" si="0"/>
        <v/>
      </c>
      <c r="C46" s="54"/>
      <c r="D46" s="54"/>
      <c r="E46" s="11" t="str">
        <f>IF(D46="","",IFERROR(VLOOKUP(D46,基础资料!$P$5:$R$204,2,FALSE),""))</f>
        <v/>
      </c>
      <c r="F46" s="11" t="str">
        <f>IF(D46="","",IFERROR(VLOOKUP(D46,基础资料!$P$5:$R$204,3,FALSE),""))</f>
        <v/>
      </c>
      <c r="G46" s="55"/>
      <c r="H46" s="55"/>
      <c r="I46" s="62" t="str">
        <f t="shared" si="1"/>
        <v/>
      </c>
      <c r="J46" s="62" t="str">
        <f>IF(D46="","",IFERROR(VLOOKUP(D46,基础资料!$P$5:$T$204,5,FALSE),0))</f>
        <v/>
      </c>
      <c r="K46" s="62" t="str">
        <f t="shared" si="2"/>
        <v/>
      </c>
      <c r="L46" s="63" t="str">
        <f>IF(OR(A46="",C46=""),"",A46+IFERROR(VLOOKUP(C46,基础资料!$Y$5:$AA$204,3,FALSE),0))</f>
        <v/>
      </c>
      <c r="M46" s="54"/>
      <c r="N46" s="54"/>
      <c r="O46" s="54"/>
      <c r="P46" s="11" t="str">
        <f t="shared" si="3"/>
        <v/>
      </c>
      <c r="Q46" s="62" t="str">
        <f t="shared" si="4"/>
        <v/>
      </c>
    </row>
    <row r="47" spans="1:17">
      <c r="A47" s="60"/>
      <c r="B47" s="11" t="str">
        <f t="shared" si="0"/>
        <v/>
      </c>
      <c r="C47" s="54"/>
      <c r="D47" s="54"/>
      <c r="E47" s="11" t="str">
        <f>IF(D47="","",IFERROR(VLOOKUP(D47,基础资料!$P$5:$R$204,2,FALSE),""))</f>
        <v/>
      </c>
      <c r="F47" s="11" t="str">
        <f>IF(D47="","",IFERROR(VLOOKUP(D47,基础资料!$P$5:$R$204,3,FALSE),""))</f>
        <v/>
      </c>
      <c r="G47" s="55"/>
      <c r="H47" s="55"/>
      <c r="I47" s="62" t="str">
        <f t="shared" si="1"/>
        <v/>
      </c>
      <c r="J47" s="62" t="str">
        <f>IF(D47="","",IFERROR(VLOOKUP(D47,基础资料!$P$5:$T$204,5,FALSE),0))</f>
        <v/>
      </c>
      <c r="K47" s="62" t="str">
        <f t="shared" si="2"/>
        <v/>
      </c>
      <c r="L47" s="63" t="str">
        <f>IF(OR(A47="",C47=""),"",A47+IFERROR(VLOOKUP(C47,基础资料!$Y$5:$AA$204,3,FALSE),0))</f>
        <v/>
      </c>
      <c r="M47" s="54"/>
      <c r="N47" s="54"/>
      <c r="O47" s="54"/>
      <c r="P47" s="11" t="str">
        <f t="shared" si="3"/>
        <v/>
      </c>
      <c r="Q47" s="62" t="str">
        <f t="shared" si="4"/>
        <v/>
      </c>
    </row>
    <row r="48" spans="1:17">
      <c r="A48" s="60"/>
      <c r="B48" s="11" t="str">
        <f t="shared" si="0"/>
        <v/>
      </c>
      <c r="C48" s="54"/>
      <c r="D48" s="54"/>
      <c r="E48" s="11" t="str">
        <f>IF(D48="","",IFERROR(VLOOKUP(D48,基础资料!$P$5:$R$204,2,FALSE),""))</f>
        <v/>
      </c>
      <c r="F48" s="11" t="str">
        <f>IF(D48="","",IFERROR(VLOOKUP(D48,基础资料!$P$5:$R$204,3,FALSE),""))</f>
        <v/>
      </c>
      <c r="G48" s="55"/>
      <c r="H48" s="55"/>
      <c r="I48" s="62" t="str">
        <f t="shared" si="1"/>
        <v/>
      </c>
      <c r="J48" s="62" t="str">
        <f>IF(D48="","",IFERROR(VLOOKUP(D48,基础资料!$P$5:$T$204,5,FALSE),0))</f>
        <v/>
      </c>
      <c r="K48" s="62" t="str">
        <f t="shared" si="2"/>
        <v/>
      </c>
      <c r="L48" s="63" t="str">
        <f>IF(OR(A48="",C48=""),"",A48+IFERROR(VLOOKUP(C48,基础资料!$Y$5:$AA$204,3,FALSE),0))</f>
        <v/>
      </c>
      <c r="M48" s="54"/>
      <c r="N48" s="54"/>
      <c r="O48" s="54"/>
      <c r="P48" s="11" t="str">
        <f t="shared" si="3"/>
        <v/>
      </c>
      <c r="Q48" s="62" t="str">
        <f t="shared" si="4"/>
        <v/>
      </c>
    </row>
    <row r="49" spans="1:17">
      <c r="A49" s="60"/>
      <c r="B49" s="11" t="str">
        <f t="shared" si="0"/>
        <v/>
      </c>
      <c r="C49" s="54"/>
      <c r="D49" s="54"/>
      <c r="E49" s="11" t="str">
        <f>IF(D49="","",IFERROR(VLOOKUP(D49,基础资料!$P$5:$R$204,2,FALSE),""))</f>
        <v/>
      </c>
      <c r="F49" s="11" t="str">
        <f>IF(D49="","",IFERROR(VLOOKUP(D49,基础资料!$P$5:$R$204,3,FALSE),""))</f>
        <v/>
      </c>
      <c r="G49" s="55"/>
      <c r="H49" s="55"/>
      <c r="I49" s="62" t="str">
        <f t="shared" si="1"/>
        <v/>
      </c>
      <c r="J49" s="62" t="str">
        <f>IF(D49="","",IFERROR(VLOOKUP(D49,基础资料!$P$5:$T$204,5,FALSE),0))</f>
        <v/>
      </c>
      <c r="K49" s="62" t="str">
        <f t="shared" si="2"/>
        <v/>
      </c>
      <c r="L49" s="63" t="str">
        <f>IF(OR(A49="",C49=""),"",A49+IFERROR(VLOOKUP(C49,基础资料!$Y$5:$AA$204,3,FALSE),0))</f>
        <v/>
      </c>
      <c r="M49" s="54"/>
      <c r="N49" s="54"/>
      <c r="O49" s="54"/>
      <c r="P49" s="11" t="str">
        <f t="shared" si="3"/>
        <v/>
      </c>
      <c r="Q49" s="62" t="str">
        <f t="shared" si="4"/>
        <v/>
      </c>
    </row>
    <row r="50" spans="1:17">
      <c r="A50" s="60"/>
      <c r="B50" s="11" t="str">
        <f t="shared" si="0"/>
        <v/>
      </c>
      <c r="C50" s="54"/>
      <c r="D50" s="54"/>
      <c r="E50" s="11" t="str">
        <f>IF(D50="","",IFERROR(VLOOKUP(D50,基础资料!$P$5:$R$204,2,FALSE),""))</f>
        <v/>
      </c>
      <c r="F50" s="11" t="str">
        <f>IF(D50="","",IFERROR(VLOOKUP(D50,基础资料!$P$5:$R$204,3,FALSE),""))</f>
        <v/>
      </c>
      <c r="G50" s="55"/>
      <c r="H50" s="55"/>
      <c r="I50" s="62" t="str">
        <f t="shared" si="1"/>
        <v/>
      </c>
      <c r="J50" s="62" t="str">
        <f>IF(D50="","",IFERROR(VLOOKUP(D50,基础资料!$P$5:$T$204,5,FALSE),0))</f>
        <v/>
      </c>
      <c r="K50" s="62" t="str">
        <f t="shared" si="2"/>
        <v/>
      </c>
      <c r="L50" s="63" t="str">
        <f>IF(OR(A50="",C50=""),"",A50+IFERROR(VLOOKUP(C50,基础资料!$Y$5:$AA$204,3,FALSE),0))</f>
        <v/>
      </c>
      <c r="M50" s="54"/>
      <c r="N50" s="54"/>
      <c r="O50" s="54"/>
      <c r="P50" s="11" t="str">
        <f t="shared" si="3"/>
        <v/>
      </c>
      <c r="Q50" s="62" t="str">
        <f t="shared" si="4"/>
        <v/>
      </c>
    </row>
    <row r="51" spans="1:17">
      <c r="A51" s="60"/>
      <c r="B51" s="11" t="str">
        <f t="shared" si="0"/>
        <v/>
      </c>
      <c r="C51" s="54"/>
      <c r="D51" s="54"/>
      <c r="E51" s="11" t="str">
        <f>IF(D51="","",IFERROR(VLOOKUP(D51,基础资料!$P$5:$R$204,2,FALSE),""))</f>
        <v/>
      </c>
      <c r="F51" s="11" t="str">
        <f>IF(D51="","",IFERROR(VLOOKUP(D51,基础资料!$P$5:$R$204,3,FALSE),""))</f>
        <v/>
      </c>
      <c r="G51" s="55"/>
      <c r="H51" s="55"/>
      <c r="I51" s="62" t="str">
        <f t="shared" si="1"/>
        <v/>
      </c>
      <c r="J51" s="62" t="str">
        <f>IF(D51="","",IFERROR(VLOOKUP(D51,基础资料!$P$5:$T$204,5,FALSE),0))</f>
        <v/>
      </c>
      <c r="K51" s="62" t="str">
        <f t="shared" si="2"/>
        <v/>
      </c>
      <c r="L51" s="63" t="str">
        <f>IF(OR(A51="",C51=""),"",A51+IFERROR(VLOOKUP(C51,基础资料!$Y$5:$AA$204,3,FALSE),0))</f>
        <v/>
      </c>
      <c r="M51" s="54"/>
      <c r="N51" s="54"/>
      <c r="O51" s="54"/>
      <c r="P51" s="11" t="str">
        <f t="shared" si="3"/>
        <v/>
      </c>
      <c r="Q51" s="62" t="str">
        <f t="shared" si="4"/>
        <v/>
      </c>
    </row>
    <row r="52" spans="1:17">
      <c r="A52" s="60"/>
      <c r="B52" s="11" t="str">
        <f t="shared" si="0"/>
        <v/>
      </c>
      <c r="C52" s="54"/>
      <c r="D52" s="54"/>
      <c r="E52" s="11" t="str">
        <f>IF(D52="","",IFERROR(VLOOKUP(D52,基础资料!$P$5:$R$204,2,FALSE),""))</f>
        <v/>
      </c>
      <c r="F52" s="11" t="str">
        <f>IF(D52="","",IFERROR(VLOOKUP(D52,基础资料!$P$5:$R$204,3,FALSE),""))</f>
        <v/>
      </c>
      <c r="G52" s="55"/>
      <c r="H52" s="55"/>
      <c r="I52" s="62" t="str">
        <f t="shared" si="1"/>
        <v/>
      </c>
      <c r="J52" s="62" t="str">
        <f>IF(D52="","",IFERROR(VLOOKUP(D52,基础资料!$P$5:$T$204,5,FALSE),0))</f>
        <v/>
      </c>
      <c r="K52" s="62" t="str">
        <f t="shared" si="2"/>
        <v/>
      </c>
      <c r="L52" s="63" t="str">
        <f>IF(OR(A52="",C52=""),"",A52+IFERROR(VLOOKUP(C52,基础资料!$Y$5:$AA$204,3,FALSE),0))</f>
        <v/>
      </c>
      <c r="M52" s="54"/>
      <c r="N52" s="54"/>
      <c r="O52" s="54"/>
      <c r="P52" s="11" t="str">
        <f t="shared" si="3"/>
        <v/>
      </c>
      <c r="Q52" s="62" t="str">
        <f t="shared" si="4"/>
        <v/>
      </c>
    </row>
    <row r="53" spans="1:17">
      <c r="A53" s="60"/>
      <c r="B53" s="11" t="str">
        <f t="shared" si="0"/>
        <v/>
      </c>
      <c r="C53" s="54"/>
      <c r="D53" s="54"/>
      <c r="E53" s="11" t="str">
        <f>IF(D53="","",IFERROR(VLOOKUP(D53,基础资料!$P$5:$R$204,2,FALSE),""))</f>
        <v/>
      </c>
      <c r="F53" s="11" t="str">
        <f>IF(D53="","",IFERROR(VLOOKUP(D53,基础资料!$P$5:$R$204,3,FALSE),""))</f>
        <v/>
      </c>
      <c r="G53" s="55"/>
      <c r="H53" s="55"/>
      <c r="I53" s="62" t="str">
        <f t="shared" si="1"/>
        <v/>
      </c>
      <c r="J53" s="62" t="str">
        <f>IF(D53="","",IFERROR(VLOOKUP(D53,基础资料!$P$5:$T$204,5,FALSE),0))</f>
        <v/>
      </c>
      <c r="K53" s="62" t="str">
        <f t="shared" si="2"/>
        <v/>
      </c>
      <c r="L53" s="63" t="str">
        <f>IF(OR(A53="",C53=""),"",A53+IFERROR(VLOOKUP(C53,基础资料!$Y$5:$AA$204,3,FALSE),0))</f>
        <v/>
      </c>
      <c r="M53" s="54"/>
      <c r="N53" s="54"/>
      <c r="O53" s="54"/>
      <c r="P53" s="11" t="str">
        <f t="shared" si="3"/>
        <v/>
      </c>
      <c r="Q53" s="62" t="str">
        <f t="shared" si="4"/>
        <v/>
      </c>
    </row>
    <row r="54" spans="1:17">
      <c r="A54" s="60"/>
      <c r="B54" s="11" t="str">
        <f t="shared" si="0"/>
        <v/>
      </c>
      <c r="C54" s="54"/>
      <c r="D54" s="54"/>
      <c r="E54" s="11" t="str">
        <f>IF(D54="","",IFERROR(VLOOKUP(D54,基础资料!$P$5:$R$204,2,FALSE),""))</f>
        <v/>
      </c>
      <c r="F54" s="11" t="str">
        <f>IF(D54="","",IFERROR(VLOOKUP(D54,基础资料!$P$5:$R$204,3,FALSE),""))</f>
        <v/>
      </c>
      <c r="G54" s="55"/>
      <c r="H54" s="55"/>
      <c r="I54" s="62" t="str">
        <f t="shared" si="1"/>
        <v/>
      </c>
      <c r="J54" s="62" t="str">
        <f>IF(D54="","",IFERROR(VLOOKUP(D54,基础资料!$P$5:$T$204,5,FALSE),0))</f>
        <v/>
      </c>
      <c r="K54" s="62" t="str">
        <f t="shared" si="2"/>
        <v/>
      </c>
      <c r="L54" s="63" t="str">
        <f>IF(OR(A54="",C54=""),"",A54+IFERROR(VLOOKUP(C54,基础资料!$Y$5:$AA$204,3,FALSE),0))</f>
        <v/>
      </c>
      <c r="M54" s="54"/>
      <c r="N54" s="54"/>
      <c r="O54" s="54"/>
      <c r="P54" s="11" t="str">
        <f t="shared" si="3"/>
        <v/>
      </c>
      <c r="Q54" s="62" t="str">
        <f t="shared" si="4"/>
        <v/>
      </c>
    </row>
    <row r="55" spans="1:17">
      <c r="A55" s="60"/>
      <c r="B55" s="11" t="str">
        <f t="shared" si="0"/>
        <v/>
      </c>
      <c r="C55" s="54"/>
      <c r="D55" s="54"/>
      <c r="E55" s="11" t="str">
        <f>IF(D55="","",IFERROR(VLOOKUP(D55,基础资料!$P$5:$R$204,2,FALSE),""))</f>
        <v/>
      </c>
      <c r="F55" s="11" t="str">
        <f>IF(D55="","",IFERROR(VLOOKUP(D55,基础资料!$P$5:$R$204,3,FALSE),""))</f>
        <v/>
      </c>
      <c r="G55" s="55"/>
      <c r="H55" s="55"/>
      <c r="I55" s="62" t="str">
        <f t="shared" si="1"/>
        <v/>
      </c>
      <c r="J55" s="62" t="str">
        <f>IF(D55="","",IFERROR(VLOOKUP(D55,基础资料!$P$5:$T$204,5,FALSE),0))</f>
        <v/>
      </c>
      <c r="K55" s="62" t="str">
        <f t="shared" si="2"/>
        <v/>
      </c>
      <c r="L55" s="63" t="str">
        <f>IF(OR(A55="",C55=""),"",A55+IFERROR(VLOOKUP(C55,基础资料!$Y$5:$AA$204,3,FALSE),0))</f>
        <v/>
      </c>
      <c r="M55" s="54"/>
      <c r="N55" s="54"/>
      <c r="O55" s="54"/>
      <c r="P55" s="11" t="str">
        <f t="shared" si="3"/>
        <v/>
      </c>
      <c r="Q55" s="62" t="str">
        <f t="shared" si="4"/>
        <v/>
      </c>
    </row>
    <row r="56" spans="1:17">
      <c r="A56" s="60"/>
      <c r="B56" s="11" t="str">
        <f t="shared" si="0"/>
        <v/>
      </c>
      <c r="C56" s="54"/>
      <c r="D56" s="54"/>
      <c r="E56" s="11" t="str">
        <f>IF(D56="","",IFERROR(VLOOKUP(D56,基础资料!$P$5:$R$204,2,FALSE),""))</f>
        <v/>
      </c>
      <c r="F56" s="11" t="str">
        <f>IF(D56="","",IFERROR(VLOOKUP(D56,基础资料!$P$5:$R$204,3,FALSE),""))</f>
        <v/>
      </c>
      <c r="G56" s="55"/>
      <c r="H56" s="55"/>
      <c r="I56" s="62" t="str">
        <f t="shared" si="1"/>
        <v/>
      </c>
      <c r="J56" s="62" t="str">
        <f>IF(D56="","",IFERROR(VLOOKUP(D56,基础资料!$P$5:$T$204,5,FALSE),0))</f>
        <v/>
      </c>
      <c r="K56" s="62" t="str">
        <f t="shared" si="2"/>
        <v/>
      </c>
      <c r="L56" s="63" t="str">
        <f>IF(OR(A56="",C56=""),"",A56+IFERROR(VLOOKUP(C56,基础资料!$Y$5:$AA$204,3,FALSE),0))</f>
        <v/>
      </c>
      <c r="M56" s="54"/>
      <c r="N56" s="54"/>
      <c r="O56" s="54"/>
      <c r="P56" s="11" t="str">
        <f t="shared" si="3"/>
        <v/>
      </c>
      <c r="Q56" s="62" t="str">
        <f t="shared" si="4"/>
        <v/>
      </c>
    </row>
    <row r="57" spans="1:17">
      <c r="A57" s="60"/>
      <c r="B57" s="11" t="str">
        <f t="shared" si="0"/>
        <v/>
      </c>
      <c r="C57" s="54"/>
      <c r="D57" s="54"/>
      <c r="E57" s="11" t="str">
        <f>IF(D57="","",IFERROR(VLOOKUP(D57,基础资料!$P$5:$R$204,2,FALSE),""))</f>
        <v/>
      </c>
      <c r="F57" s="11" t="str">
        <f>IF(D57="","",IFERROR(VLOOKUP(D57,基础资料!$P$5:$R$204,3,FALSE),""))</f>
        <v/>
      </c>
      <c r="G57" s="55"/>
      <c r="H57" s="55"/>
      <c r="I57" s="62" t="str">
        <f t="shared" si="1"/>
        <v/>
      </c>
      <c r="J57" s="62" t="str">
        <f>IF(D57="","",IFERROR(VLOOKUP(D57,基础资料!$P$5:$T$204,5,FALSE),0))</f>
        <v/>
      </c>
      <c r="K57" s="62" t="str">
        <f t="shared" si="2"/>
        <v/>
      </c>
      <c r="L57" s="63" t="str">
        <f>IF(OR(A57="",C57=""),"",A57+IFERROR(VLOOKUP(C57,基础资料!$Y$5:$AA$204,3,FALSE),0))</f>
        <v/>
      </c>
      <c r="M57" s="54"/>
      <c r="N57" s="54"/>
      <c r="O57" s="54"/>
      <c r="P57" s="11" t="str">
        <f t="shared" si="3"/>
        <v/>
      </c>
      <c r="Q57" s="62" t="str">
        <f t="shared" si="4"/>
        <v/>
      </c>
    </row>
    <row r="58" spans="1:17">
      <c r="A58" s="60"/>
      <c r="B58" s="11" t="str">
        <f t="shared" si="0"/>
        <v/>
      </c>
      <c r="C58" s="54"/>
      <c r="D58" s="54"/>
      <c r="E58" s="11" t="str">
        <f>IF(D58="","",IFERROR(VLOOKUP(D58,基础资料!$P$5:$R$204,2,FALSE),""))</f>
        <v/>
      </c>
      <c r="F58" s="11" t="str">
        <f>IF(D58="","",IFERROR(VLOOKUP(D58,基础资料!$P$5:$R$204,3,FALSE),""))</f>
        <v/>
      </c>
      <c r="G58" s="55"/>
      <c r="H58" s="55"/>
      <c r="I58" s="62" t="str">
        <f t="shared" si="1"/>
        <v/>
      </c>
      <c r="J58" s="62" t="str">
        <f>IF(D58="","",IFERROR(VLOOKUP(D58,基础资料!$P$5:$T$204,5,FALSE),0))</f>
        <v/>
      </c>
      <c r="K58" s="62" t="str">
        <f t="shared" si="2"/>
        <v/>
      </c>
      <c r="L58" s="63" t="str">
        <f>IF(OR(A58="",C58=""),"",A58+IFERROR(VLOOKUP(C58,基础资料!$Y$5:$AA$204,3,FALSE),0))</f>
        <v/>
      </c>
      <c r="M58" s="54"/>
      <c r="N58" s="54"/>
      <c r="O58" s="54"/>
      <c r="P58" s="11" t="str">
        <f t="shared" si="3"/>
        <v/>
      </c>
      <c r="Q58" s="62" t="str">
        <f t="shared" si="4"/>
        <v/>
      </c>
    </row>
    <row r="59" spans="1:17">
      <c r="A59" s="60"/>
      <c r="B59" s="11" t="str">
        <f t="shared" si="0"/>
        <v/>
      </c>
      <c r="C59" s="54"/>
      <c r="D59" s="54"/>
      <c r="E59" s="11" t="str">
        <f>IF(D59="","",IFERROR(VLOOKUP(D59,基础资料!$P$5:$R$204,2,FALSE),""))</f>
        <v/>
      </c>
      <c r="F59" s="11" t="str">
        <f>IF(D59="","",IFERROR(VLOOKUP(D59,基础资料!$P$5:$R$204,3,FALSE),""))</f>
        <v/>
      </c>
      <c r="G59" s="55"/>
      <c r="H59" s="55"/>
      <c r="I59" s="62" t="str">
        <f t="shared" si="1"/>
        <v/>
      </c>
      <c r="J59" s="62" t="str">
        <f>IF(D59="","",IFERROR(VLOOKUP(D59,基础资料!$P$5:$T$204,5,FALSE),0))</f>
        <v/>
      </c>
      <c r="K59" s="62" t="str">
        <f t="shared" si="2"/>
        <v/>
      </c>
      <c r="L59" s="63" t="str">
        <f>IF(OR(A59="",C59=""),"",A59+IFERROR(VLOOKUP(C59,基础资料!$Y$5:$AA$204,3,FALSE),0))</f>
        <v/>
      </c>
      <c r="M59" s="54"/>
      <c r="N59" s="54"/>
      <c r="O59" s="54"/>
      <c r="P59" s="11" t="str">
        <f t="shared" si="3"/>
        <v/>
      </c>
      <c r="Q59" s="62" t="str">
        <f t="shared" si="4"/>
        <v/>
      </c>
    </row>
    <row r="60" spans="1:17">
      <c r="A60" s="60"/>
      <c r="B60" s="11" t="str">
        <f t="shared" si="0"/>
        <v/>
      </c>
      <c r="C60" s="54"/>
      <c r="D60" s="54"/>
      <c r="E60" s="11" t="str">
        <f>IF(D60="","",IFERROR(VLOOKUP(D60,基础资料!$P$5:$R$204,2,FALSE),""))</f>
        <v/>
      </c>
      <c r="F60" s="11" t="str">
        <f>IF(D60="","",IFERROR(VLOOKUP(D60,基础资料!$P$5:$R$204,3,FALSE),""))</f>
        <v/>
      </c>
      <c r="G60" s="55"/>
      <c r="H60" s="55"/>
      <c r="I60" s="62" t="str">
        <f t="shared" si="1"/>
        <v/>
      </c>
      <c r="J60" s="62" t="str">
        <f>IF(D60="","",IFERROR(VLOOKUP(D60,基础资料!$P$5:$T$204,5,FALSE),0))</f>
        <v/>
      </c>
      <c r="K60" s="62" t="str">
        <f t="shared" si="2"/>
        <v/>
      </c>
      <c r="L60" s="63" t="str">
        <f>IF(OR(A60="",C60=""),"",A60+IFERROR(VLOOKUP(C60,基础资料!$Y$5:$AA$204,3,FALSE),0))</f>
        <v/>
      </c>
      <c r="M60" s="54"/>
      <c r="N60" s="54"/>
      <c r="O60" s="54"/>
      <c r="P60" s="11" t="str">
        <f t="shared" si="3"/>
        <v/>
      </c>
      <c r="Q60" s="62" t="str">
        <f t="shared" si="4"/>
        <v/>
      </c>
    </row>
    <row r="61" spans="1:17">
      <c r="A61" s="60"/>
      <c r="B61" s="11" t="str">
        <f t="shared" si="0"/>
        <v/>
      </c>
      <c r="C61" s="54"/>
      <c r="D61" s="54"/>
      <c r="E61" s="11" t="str">
        <f>IF(D61="","",IFERROR(VLOOKUP(D61,基础资料!$P$5:$R$204,2,FALSE),""))</f>
        <v/>
      </c>
      <c r="F61" s="11" t="str">
        <f>IF(D61="","",IFERROR(VLOOKUP(D61,基础资料!$P$5:$R$204,3,FALSE),""))</f>
        <v/>
      </c>
      <c r="G61" s="55"/>
      <c r="H61" s="55"/>
      <c r="I61" s="62" t="str">
        <f t="shared" si="1"/>
        <v/>
      </c>
      <c r="J61" s="62" t="str">
        <f>IF(D61="","",IFERROR(VLOOKUP(D61,基础资料!$P$5:$T$204,5,FALSE),0))</f>
        <v/>
      </c>
      <c r="K61" s="62" t="str">
        <f t="shared" si="2"/>
        <v/>
      </c>
      <c r="L61" s="63" t="str">
        <f>IF(OR(A61="",C61=""),"",A61+IFERROR(VLOOKUP(C61,基础资料!$Y$5:$AA$204,3,FALSE),0))</f>
        <v/>
      </c>
      <c r="M61" s="54"/>
      <c r="N61" s="54"/>
      <c r="O61" s="54"/>
      <c r="P61" s="11" t="str">
        <f t="shared" si="3"/>
        <v/>
      </c>
      <c r="Q61" s="62" t="str">
        <f t="shared" si="4"/>
        <v/>
      </c>
    </row>
    <row r="62" spans="1:17">
      <c r="A62" s="60"/>
      <c r="B62" s="11" t="str">
        <f t="shared" si="0"/>
        <v/>
      </c>
      <c r="C62" s="54"/>
      <c r="D62" s="54"/>
      <c r="E62" s="11" t="str">
        <f>IF(D62="","",IFERROR(VLOOKUP(D62,基础资料!$P$5:$R$204,2,FALSE),""))</f>
        <v/>
      </c>
      <c r="F62" s="11" t="str">
        <f>IF(D62="","",IFERROR(VLOOKUP(D62,基础资料!$P$5:$R$204,3,FALSE),""))</f>
        <v/>
      </c>
      <c r="G62" s="55"/>
      <c r="H62" s="55"/>
      <c r="I62" s="62" t="str">
        <f t="shared" si="1"/>
        <v/>
      </c>
      <c r="J62" s="62" t="str">
        <f>IF(D62="","",IFERROR(VLOOKUP(D62,基础资料!$P$5:$T$204,5,FALSE),0))</f>
        <v/>
      </c>
      <c r="K62" s="62" t="str">
        <f t="shared" si="2"/>
        <v/>
      </c>
      <c r="L62" s="63" t="str">
        <f>IF(OR(A62="",C62=""),"",A62+IFERROR(VLOOKUP(C62,基础资料!$Y$5:$AA$204,3,FALSE),0))</f>
        <v/>
      </c>
      <c r="M62" s="54"/>
      <c r="N62" s="54"/>
      <c r="O62" s="54"/>
      <c r="P62" s="11" t="str">
        <f t="shared" si="3"/>
        <v/>
      </c>
      <c r="Q62" s="62" t="str">
        <f t="shared" si="4"/>
        <v/>
      </c>
    </row>
    <row r="63" spans="1:17">
      <c r="A63" s="60"/>
      <c r="B63" s="11" t="str">
        <f t="shared" si="0"/>
        <v/>
      </c>
      <c r="C63" s="54"/>
      <c r="D63" s="54"/>
      <c r="E63" s="11" t="str">
        <f>IF(D63="","",IFERROR(VLOOKUP(D63,基础资料!$P$5:$R$204,2,FALSE),""))</f>
        <v/>
      </c>
      <c r="F63" s="11" t="str">
        <f>IF(D63="","",IFERROR(VLOOKUP(D63,基础资料!$P$5:$R$204,3,FALSE),""))</f>
        <v/>
      </c>
      <c r="G63" s="55"/>
      <c r="H63" s="55"/>
      <c r="I63" s="62" t="str">
        <f t="shared" si="1"/>
        <v/>
      </c>
      <c r="J63" s="62" t="str">
        <f>IF(D63="","",IFERROR(VLOOKUP(D63,基础资料!$P$5:$T$204,5,FALSE),0))</f>
        <v/>
      </c>
      <c r="K63" s="62" t="str">
        <f t="shared" si="2"/>
        <v/>
      </c>
      <c r="L63" s="63" t="str">
        <f>IF(OR(A63="",C63=""),"",A63+IFERROR(VLOOKUP(C63,基础资料!$Y$5:$AA$204,3,FALSE),0))</f>
        <v/>
      </c>
      <c r="M63" s="54"/>
      <c r="N63" s="54"/>
      <c r="O63" s="54"/>
      <c r="P63" s="11" t="str">
        <f t="shared" si="3"/>
        <v/>
      </c>
      <c r="Q63" s="62" t="str">
        <f t="shared" si="4"/>
        <v/>
      </c>
    </row>
    <row r="64" spans="1:17">
      <c r="A64" s="60"/>
      <c r="B64" s="11" t="str">
        <f t="shared" si="0"/>
        <v/>
      </c>
      <c r="C64" s="54"/>
      <c r="D64" s="54"/>
      <c r="E64" s="11" t="str">
        <f>IF(D64="","",IFERROR(VLOOKUP(D64,基础资料!$P$5:$R$204,2,FALSE),""))</f>
        <v/>
      </c>
      <c r="F64" s="11" t="str">
        <f>IF(D64="","",IFERROR(VLOOKUP(D64,基础资料!$P$5:$R$204,3,FALSE),""))</f>
        <v/>
      </c>
      <c r="G64" s="55"/>
      <c r="H64" s="55"/>
      <c r="I64" s="62" t="str">
        <f t="shared" si="1"/>
        <v/>
      </c>
      <c r="J64" s="62" t="str">
        <f>IF(D64="","",IFERROR(VLOOKUP(D64,基础资料!$P$5:$T$204,5,FALSE),0))</f>
        <v/>
      </c>
      <c r="K64" s="62" t="str">
        <f t="shared" si="2"/>
        <v/>
      </c>
      <c r="L64" s="63" t="str">
        <f>IF(OR(A64="",C64=""),"",A64+IFERROR(VLOOKUP(C64,基础资料!$Y$5:$AA$204,3,FALSE),0))</f>
        <v/>
      </c>
      <c r="M64" s="54"/>
      <c r="N64" s="54"/>
      <c r="O64" s="54"/>
      <c r="P64" s="11" t="str">
        <f t="shared" si="3"/>
        <v/>
      </c>
      <c r="Q64" s="62" t="str">
        <f t="shared" si="4"/>
        <v/>
      </c>
    </row>
    <row r="65" spans="1:17">
      <c r="A65" s="60"/>
      <c r="B65" s="11" t="str">
        <f t="shared" si="0"/>
        <v/>
      </c>
      <c r="C65" s="54"/>
      <c r="D65" s="54"/>
      <c r="E65" s="11" t="str">
        <f>IF(D65="","",IFERROR(VLOOKUP(D65,基础资料!$P$5:$R$204,2,FALSE),""))</f>
        <v/>
      </c>
      <c r="F65" s="11" t="str">
        <f>IF(D65="","",IFERROR(VLOOKUP(D65,基础资料!$P$5:$R$204,3,FALSE),""))</f>
        <v/>
      </c>
      <c r="G65" s="55"/>
      <c r="H65" s="55"/>
      <c r="I65" s="62" t="str">
        <f t="shared" si="1"/>
        <v/>
      </c>
      <c r="J65" s="62" t="str">
        <f>IF(D65="","",IFERROR(VLOOKUP(D65,基础资料!$P$5:$T$204,5,FALSE),0))</f>
        <v/>
      </c>
      <c r="K65" s="62" t="str">
        <f t="shared" si="2"/>
        <v/>
      </c>
      <c r="L65" s="63" t="str">
        <f>IF(OR(A65="",C65=""),"",A65+IFERROR(VLOOKUP(C65,基础资料!$Y$5:$AA$204,3,FALSE),0))</f>
        <v/>
      </c>
      <c r="M65" s="54"/>
      <c r="N65" s="54"/>
      <c r="O65" s="54"/>
      <c r="P65" s="11" t="str">
        <f t="shared" si="3"/>
        <v/>
      </c>
      <c r="Q65" s="62" t="str">
        <f t="shared" si="4"/>
        <v/>
      </c>
    </row>
    <row r="66" spans="1:17">
      <c r="A66" s="60"/>
      <c r="B66" s="11" t="str">
        <f t="shared" si="0"/>
        <v/>
      </c>
      <c r="C66" s="54"/>
      <c r="D66" s="54"/>
      <c r="E66" s="11" t="str">
        <f>IF(D66="","",IFERROR(VLOOKUP(D66,基础资料!$P$5:$R$204,2,FALSE),""))</f>
        <v/>
      </c>
      <c r="F66" s="11" t="str">
        <f>IF(D66="","",IFERROR(VLOOKUP(D66,基础资料!$P$5:$R$204,3,FALSE),""))</f>
        <v/>
      </c>
      <c r="G66" s="55"/>
      <c r="H66" s="55"/>
      <c r="I66" s="62" t="str">
        <f t="shared" si="1"/>
        <v/>
      </c>
      <c r="J66" s="62" t="str">
        <f>IF(D66="","",IFERROR(VLOOKUP(D66,基础资料!$P$5:$T$204,5,FALSE),0))</f>
        <v/>
      </c>
      <c r="K66" s="62" t="str">
        <f t="shared" si="2"/>
        <v/>
      </c>
      <c r="L66" s="63" t="str">
        <f>IF(OR(A66="",C66=""),"",A66+IFERROR(VLOOKUP(C66,基础资料!$Y$5:$AA$204,3,FALSE),0))</f>
        <v/>
      </c>
      <c r="M66" s="54"/>
      <c r="N66" s="54"/>
      <c r="O66" s="54"/>
      <c r="P66" s="11" t="str">
        <f t="shared" si="3"/>
        <v/>
      </c>
      <c r="Q66" s="62" t="str">
        <f t="shared" si="4"/>
        <v/>
      </c>
    </row>
    <row r="67" spans="1:17">
      <c r="A67" s="60"/>
      <c r="B67" s="11" t="str">
        <f t="shared" si="0"/>
        <v/>
      </c>
      <c r="C67" s="54"/>
      <c r="D67" s="54"/>
      <c r="E67" s="11" t="str">
        <f>IF(D67="","",IFERROR(VLOOKUP(D67,基础资料!$P$5:$R$204,2,FALSE),""))</f>
        <v/>
      </c>
      <c r="F67" s="11" t="str">
        <f>IF(D67="","",IFERROR(VLOOKUP(D67,基础资料!$P$5:$R$204,3,FALSE),""))</f>
        <v/>
      </c>
      <c r="G67" s="55"/>
      <c r="H67" s="55"/>
      <c r="I67" s="62" t="str">
        <f t="shared" si="1"/>
        <v/>
      </c>
      <c r="J67" s="62" t="str">
        <f>IF(D67="","",IFERROR(VLOOKUP(D67,基础资料!$P$5:$T$204,5,FALSE),0))</f>
        <v/>
      </c>
      <c r="K67" s="62" t="str">
        <f t="shared" si="2"/>
        <v/>
      </c>
      <c r="L67" s="63" t="str">
        <f>IF(OR(A67="",C67=""),"",A67+IFERROR(VLOOKUP(C67,基础资料!$Y$5:$AA$204,3,FALSE),0))</f>
        <v/>
      </c>
      <c r="M67" s="54"/>
      <c r="N67" s="54"/>
      <c r="O67" s="54"/>
      <c r="P67" s="11" t="str">
        <f t="shared" si="3"/>
        <v/>
      </c>
      <c r="Q67" s="62" t="str">
        <f t="shared" si="4"/>
        <v/>
      </c>
    </row>
    <row r="68" spans="1:17">
      <c r="A68" s="60"/>
      <c r="B68" s="11" t="str">
        <f t="shared" ref="B68:B131" si="5">IF(A68="","",TEXT(A68,"yyyy-mm"))</f>
        <v/>
      </c>
      <c r="C68" s="54"/>
      <c r="D68" s="54"/>
      <c r="E68" s="11" t="str">
        <f>IF(D68="","",IFERROR(VLOOKUP(D68,基础资料!$P$5:$R$204,2,FALSE),""))</f>
        <v/>
      </c>
      <c r="F68" s="11" t="str">
        <f>IF(D68="","",IFERROR(VLOOKUP(D68,基础资料!$P$5:$R$204,3,FALSE),""))</f>
        <v/>
      </c>
      <c r="G68" s="55"/>
      <c r="H68" s="55"/>
      <c r="I68" s="62" t="str">
        <f t="shared" ref="I68:I131" si="6">IF(OR(G68="",H68=""),"",G68*H68)</f>
        <v/>
      </c>
      <c r="J68" s="62" t="str">
        <f>IF(D68="","",IFERROR(VLOOKUP(D68,基础资料!$P$5:$T$204,5,FALSE),0))</f>
        <v/>
      </c>
      <c r="K68" s="62" t="str">
        <f t="shared" ref="K68:K131" si="7">IF(OR(G68="",J68=""),"",G68*J68)</f>
        <v/>
      </c>
      <c r="L68" s="63" t="str">
        <f>IF(OR(A68="",C68=""),"",A68+IFERROR(VLOOKUP(C68,基础资料!$Y$5:$AA$204,3,FALSE),0))</f>
        <v/>
      </c>
      <c r="M68" s="54"/>
      <c r="N68" s="54"/>
      <c r="O68" s="54"/>
      <c r="P68" s="11" t="str">
        <f t="shared" ref="P68:P131" si="8">IF(A68="","","可录入")</f>
        <v/>
      </c>
      <c r="Q68" s="62" t="str">
        <f t="shared" ref="Q68:Q131" si="9">IF(I68="","",I68-K68)</f>
        <v/>
      </c>
    </row>
    <row r="69" spans="1:17">
      <c r="A69" s="60"/>
      <c r="B69" s="11" t="str">
        <f t="shared" si="5"/>
        <v/>
      </c>
      <c r="C69" s="54"/>
      <c r="D69" s="54"/>
      <c r="E69" s="11" t="str">
        <f>IF(D69="","",IFERROR(VLOOKUP(D69,基础资料!$P$5:$R$204,2,FALSE),""))</f>
        <v/>
      </c>
      <c r="F69" s="11" t="str">
        <f>IF(D69="","",IFERROR(VLOOKUP(D69,基础资料!$P$5:$R$204,3,FALSE),""))</f>
        <v/>
      </c>
      <c r="G69" s="55"/>
      <c r="H69" s="55"/>
      <c r="I69" s="62" t="str">
        <f t="shared" si="6"/>
        <v/>
      </c>
      <c r="J69" s="62" t="str">
        <f>IF(D69="","",IFERROR(VLOOKUP(D69,基础资料!$P$5:$T$204,5,FALSE),0))</f>
        <v/>
      </c>
      <c r="K69" s="62" t="str">
        <f t="shared" si="7"/>
        <v/>
      </c>
      <c r="L69" s="63" t="str">
        <f>IF(OR(A69="",C69=""),"",A69+IFERROR(VLOOKUP(C69,基础资料!$Y$5:$AA$204,3,FALSE),0))</f>
        <v/>
      </c>
      <c r="M69" s="54"/>
      <c r="N69" s="54"/>
      <c r="O69" s="54"/>
      <c r="P69" s="11" t="str">
        <f t="shared" si="8"/>
        <v/>
      </c>
      <c r="Q69" s="62" t="str">
        <f t="shared" si="9"/>
        <v/>
      </c>
    </row>
    <row r="70" spans="1:17">
      <c r="A70" s="60"/>
      <c r="B70" s="11" t="str">
        <f t="shared" si="5"/>
        <v/>
      </c>
      <c r="C70" s="54"/>
      <c r="D70" s="54"/>
      <c r="E70" s="11" t="str">
        <f>IF(D70="","",IFERROR(VLOOKUP(D70,基础资料!$P$5:$R$204,2,FALSE),""))</f>
        <v/>
      </c>
      <c r="F70" s="11" t="str">
        <f>IF(D70="","",IFERROR(VLOOKUP(D70,基础资料!$P$5:$R$204,3,FALSE),""))</f>
        <v/>
      </c>
      <c r="G70" s="55"/>
      <c r="H70" s="55"/>
      <c r="I70" s="62" t="str">
        <f t="shared" si="6"/>
        <v/>
      </c>
      <c r="J70" s="62" t="str">
        <f>IF(D70="","",IFERROR(VLOOKUP(D70,基础资料!$P$5:$T$204,5,FALSE),0))</f>
        <v/>
      </c>
      <c r="K70" s="62" t="str">
        <f t="shared" si="7"/>
        <v/>
      </c>
      <c r="L70" s="63" t="str">
        <f>IF(OR(A70="",C70=""),"",A70+IFERROR(VLOOKUP(C70,基础资料!$Y$5:$AA$204,3,FALSE),0))</f>
        <v/>
      </c>
      <c r="M70" s="54"/>
      <c r="N70" s="54"/>
      <c r="O70" s="54"/>
      <c r="P70" s="11" t="str">
        <f t="shared" si="8"/>
        <v/>
      </c>
      <c r="Q70" s="62" t="str">
        <f t="shared" si="9"/>
        <v/>
      </c>
    </row>
    <row r="71" spans="1:17">
      <c r="A71" s="60"/>
      <c r="B71" s="11" t="str">
        <f t="shared" si="5"/>
        <v/>
      </c>
      <c r="C71" s="54"/>
      <c r="D71" s="54"/>
      <c r="E71" s="11" t="str">
        <f>IF(D71="","",IFERROR(VLOOKUP(D71,基础资料!$P$5:$R$204,2,FALSE),""))</f>
        <v/>
      </c>
      <c r="F71" s="11" t="str">
        <f>IF(D71="","",IFERROR(VLOOKUP(D71,基础资料!$P$5:$R$204,3,FALSE),""))</f>
        <v/>
      </c>
      <c r="G71" s="55"/>
      <c r="H71" s="55"/>
      <c r="I71" s="62" t="str">
        <f t="shared" si="6"/>
        <v/>
      </c>
      <c r="J71" s="62" t="str">
        <f>IF(D71="","",IFERROR(VLOOKUP(D71,基础资料!$P$5:$T$204,5,FALSE),0))</f>
        <v/>
      </c>
      <c r="K71" s="62" t="str">
        <f t="shared" si="7"/>
        <v/>
      </c>
      <c r="L71" s="63" t="str">
        <f>IF(OR(A71="",C71=""),"",A71+IFERROR(VLOOKUP(C71,基础资料!$Y$5:$AA$204,3,FALSE),0))</f>
        <v/>
      </c>
      <c r="M71" s="54"/>
      <c r="N71" s="54"/>
      <c r="O71" s="54"/>
      <c r="P71" s="11" t="str">
        <f t="shared" si="8"/>
        <v/>
      </c>
      <c r="Q71" s="62" t="str">
        <f t="shared" si="9"/>
        <v/>
      </c>
    </row>
    <row r="72" spans="1:17">
      <c r="A72" s="60"/>
      <c r="B72" s="11" t="str">
        <f t="shared" si="5"/>
        <v/>
      </c>
      <c r="C72" s="54"/>
      <c r="D72" s="54"/>
      <c r="E72" s="11" t="str">
        <f>IF(D72="","",IFERROR(VLOOKUP(D72,基础资料!$P$5:$R$204,2,FALSE),""))</f>
        <v/>
      </c>
      <c r="F72" s="11" t="str">
        <f>IF(D72="","",IFERROR(VLOOKUP(D72,基础资料!$P$5:$R$204,3,FALSE),""))</f>
        <v/>
      </c>
      <c r="G72" s="55"/>
      <c r="H72" s="55"/>
      <c r="I72" s="62" t="str">
        <f t="shared" si="6"/>
        <v/>
      </c>
      <c r="J72" s="62" t="str">
        <f>IF(D72="","",IFERROR(VLOOKUP(D72,基础资料!$P$5:$T$204,5,FALSE),0))</f>
        <v/>
      </c>
      <c r="K72" s="62" t="str">
        <f t="shared" si="7"/>
        <v/>
      </c>
      <c r="L72" s="63" t="str">
        <f>IF(OR(A72="",C72=""),"",A72+IFERROR(VLOOKUP(C72,基础资料!$Y$5:$AA$204,3,FALSE),0))</f>
        <v/>
      </c>
      <c r="M72" s="54"/>
      <c r="N72" s="54"/>
      <c r="O72" s="54"/>
      <c r="P72" s="11" t="str">
        <f t="shared" si="8"/>
        <v/>
      </c>
      <c r="Q72" s="62" t="str">
        <f t="shared" si="9"/>
        <v/>
      </c>
    </row>
    <row r="73" spans="1:17">
      <c r="A73" s="60"/>
      <c r="B73" s="11" t="str">
        <f t="shared" si="5"/>
        <v/>
      </c>
      <c r="C73" s="54"/>
      <c r="D73" s="54"/>
      <c r="E73" s="11" t="str">
        <f>IF(D73="","",IFERROR(VLOOKUP(D73,基础资料!$P$5:$R$204,2,FALSE),""))</f>
        <v/>
      </c>
      <c r="F73" s="11" t="str">
        <f>IF(D73="","",IFERROR(VLOOKUP(D73,基础资料!$P$5:$R$204,3,FALSE),""))</f>
        <v/>
      </c>
      <c r="G73" s="55"/>
      <c r="H73" s="55"/>
      <c r="I73" s="62" t="str">
        <f t="shared" si="6"/>
        <v/>
      </c>
      <c r="J73" s="62" t="str">
        <f>IF(D73="","",IFERROR(VLOOKUP(D73,基础资料!$P$5:$T$204,5,FALSE),0))</f>
        <v/>
      </c>
      <c r="K73" s="62" t="str">
        <f t="shared" si="7"/>
        <v/>
      </c>
      <c r="L73" s="63" t="str">
        <f>IF(OR(A73="",C73=""),"",A73+IFERROR(VLOOKUP(C73,基础资料!$Y$5:$AA$204,3,FALSE),0))</f>
        <v/>
      </c>
      <c r="M73" s="54"/>
      <c r="N73" s="54"/>
      <c r="O73" s="54"/>
      <c r="P73" s="11" t="str">
        <f t="shared" si="8"/>
        <v/>
      </c>
      <c r="Q73" s="62" t="str">
        <f t="shared" si="9"/>
        <v/>
      </c>
    </row>
    <row r="74" spans="1:17">
      <c r="A74" s="60"/>
      <c r="B74" s="11" t="str">
        <f t="shared" si="5"/>
        <v/>
      </c>
      <c r="C74" s="54"/>
      <c r="D74" s="54"/>
      <c r="E74" s="11" t="str">
        <f>IF(D74="","",IFERROR(VLOOKUP(D74,基础资料!$P$5:$R$204,2,FALSE),""))</f>
        <v/>
      </c>
      <c r="F74" s="11" t="str">
        <f>IF(D74="","",IFERROR(VLOOKUP(D74,基础资料!$P$5:$R$204,3,FALSE),""))</f>
        <v/>
      </c>
      <c r="G74" s="55"/>
      <c r="H74" s="55"/>
      <c r="I74" s="62" t="str">
        <f t="shared" si="6"/>
        <v/>
      </c>
      <c r="J74" s="62" t="str">
        <f>IF(D74="","",IFERROR(VLOOKUP(D74,基础资料!$P$5:$T$204,5,FALSE),0))</f>
        <v/>
      </c>
      <c r="K74" s="62" t="str">
        <f t="shared" si="7"/>
        <v/>
      </c>
      <c r="L74" s="63" t="str">
        <f>IF(OR(A74="",C74=""),"",A74+IFERROR(VLOOKUP(C74,基础资料!$Y$5:$AA$204,3,FALSE),0))</f>
        <v/>
      </c>
      <c r="M74" s="54"/>
      <c r="N74" s="54"/>
      <c r="O74" s="54"/>
      <c r="P74" s="11" t="str">
        <f t="shared" si="8"/>
        <v/>
      </c>
      <c r="Q74" s="62" t="str">
        <f t="shared" si="9"/>
        <v/>
      </c>
    </row>
    <row r="75" spans="1:17">
      <c r="A75" s="60"/>
      <c r="B75" s="11" t="str">
        <f t="shared" si="5"/>
        <v/>
      </c>
      <c r="C75" s="54"/>
      <c r="D75" s="54"/>
      <c r="E75" s="11" t="str">
        <f>IF(D75="","",IFERROR(VLOOKUP(D75,基础资料!$P$5:$R$204,2,FALSE),""))</f>
        <v/>
      </c>
      <c r="F75" s="11" t="str">
        <f>IF(D75="","",IFERROR(VLOOKUP(D75,基础资料!$P$5:$R$204,3,FALSE),""))</f>
        <v/>
      </c>
      <c r="G75" s="55"/>
      <c r="H75" s="55"/>
      <c r="I75" s="62" t="str">
        <f t="shared" si="6"/>
        <v/>
      </c>
      <c r="J75" s="62" t="str">
        <f>IF(D75="","",IFERROR(VLOOKUP(D75,基础资料!$P$5:$T$204,5,FALSE),0))</f>
        <v/>
      </c>
      <c r="K75" s="62" t="str">
        <f t="shared" si="7"/>
        <v/>
      </c>
      <c r="L75" s="63" t="str">
        <f>IF(OR(A75="",C75=""),"",A75+IFERROR(VLOOKUP(C75,基础资料!$Y$5:$AA$204,3,FALSE),0))</f>
        <v/>
      </c>
      <c r="M75" s="54"/>
      <c r="N75" s="54"/>
      <c r="O75" s="54"/>
      <c r="P75" s="11" t="str">
        <f t="shared" si="8"/>
        <v/>
      </c>
      <c r="Q75" s="62" t="str">
        <f t="shared" si="9"/>
        <v/>
      </c>
    </row>
    <row r="76" spans="1:17">
      <c r="A76" s="60"/>
      <c r="B76" s="11" t="str">
        <f t="shared" si="5"/>
        <v/>
      </c>
      <c r="C76" s="54"/>
      <c r="D76" s="54"/>
      <c r="E76" s="11" t="str">
        <f>IF(D76="","",IFERROR(VLOOKUP(D76,基础资料!$P$5:$R$204,2,FALSE),""))</f>
        <v/>
      </c>
      <c r="F76" s="11" t="str">
        <f>IF(D76="","",IFERROR(VLOOKUP(D76,基础资料!$P$5:$R$204,3,FALSE),""))</f>
        <v/>
      </c>
      <c r="G76" s="55"/>
      <c r="H76" s="55"/>
      <c r="I76" s="62" t="str">
        <f t="shared" si="6"/>
        <v/>
      </c>
      <c r="J76" s="62" t="str">
        <f>IF(D76="","",IFERROR(VLOOKUP(D76,基础资料!$P$5:$T$204,5,FALSE),0))</f>
        <v/>
      </c>
      <c r="K76" s="62" t="str">
        <f t="shared" si="7"/>
        <v/>
      </c>
      <c r="L76" s="63" t="str">
        <f>IF(OR(A76="",C76=""),"",A76+IFERROR(VLOOKUP(C76,基础资料!$Y$5:$AA$204,3,FALSE),0))</f>
        <v/>
      </c>
      <c r="M76" s="54"/>
      <c r="N76" s="54"/>
      <c r="O76" s="54"/>
      <c r="P76" s="11" t="str">
        <f t="shared" si="8"/>
        <v/>
      </c>
      <c r="Q76" s="62" t="str">
        <f t="shared" si="9"/>
        <v/>
      </c>
    </row>
    <row r="77" spans="1:17">
      <c r="A77" s="60"/>
      <c r="B77" s="11" t="str">
        <f t="shared" si="5"/>
        <v/>
      </c>
      <c r="C77" s="54"/>
      <c r="D77" s="54"/>
      <c r="E77" s="11" t="str">
        <f>IF(D77="","",IFERROR(VLOOKUP(D77,基础资料!$P$5:$R$204,2,FALSE),""))</f>
        <v/>
      </c>
      <c r="F77" s="11" t="str">
        <f>IF(D77="","",IFERROR(VLOOKUP(D77,基础资料!$P$5:$R$204,3,FALSE),""))</f>
        <v/>
      </c>
      <c r="G77" s="55"/>
      <c r="H77" s="55"/>
      <c r="I77" s="62" t="str">
        <f t="shared" si="6"/>
        <v/>
      </c>
      <c r="J77" s="62" t="str">
        <f>IF(D77="","",IFERROR(VLOOKUP(D77,基础资料!$P$5:$T$204,5,FALSE),0))</f>
        <v/>
      </c>
      <c r="K77" s="62" t="str">
        <f t="shared" si="7"/>
        <v/>
      </c>
      <c r="L77" s="63" t="str">
        <f>IF(OR(A77="",C77=""),"",A77+IFERROR(VLOOKUP(C77,基础资料!$Y$5:$AA$204,3,FALSE),0))</f>
        <v/>
      </c>
      <c r="M77" s="54"/>
      <c r="N77" s="54"/>
      <c r="O77" s="54"/>
      <c r="P77" s="11" t="str">
        <f t="shared" si="8"/>
        <v/>
      </c>
      <c r="Q77" s="62" t="str">
        <f t="shared" si="9"/>
        <v/>
      </c>
    </row>
    <row r="78" spans="1:17">
      <c r="A78" s="60"/>
      <c r="B78" s="11" t="str">
        <f t="shared" si="5"/>
        <v/>
      </c>
      <c r="C78" s="54"/>
      <c r="D78" s="54"/>
      <c r="E78" s="11" t="str">
        <f>IF(D78="","",IFERROR(VLOOKUP(D78,基础资料!$P$5:$R$204,2,FALSE),""))</f>
        <v/>
      </c>
      <c r="F78" s="11" t="str">
        <f>IF(D78="","",IFERROR(VLOOKUP(D78,基础资料!$P$5:$R$204,3,FALSE),""))</f>
        <v/>
      </c>
      <c r="G78" s="55"/>
      <c r="H78" s="55"/>
      <c r="I78" s="62" t="str">
        <f t="shared" si="6"/>
        <v/>
      </c>
      <c r="J78" s="62" t="str">
        <f>IF(D78="","",IFERROR(VLOOKUP(D78,基础资料!$P$5:$T$204,5,FALSE),0))</f>
        <v/>
      </c>
      <c r="K78" s="62" t="str">
        <f t="shared" si="7"/>
        <v/>
      </c>
      <c r="L78" s="63" t="str">
        <f>IF(OR(A78="",C78=""),"",A78+IFERROR(VLOOKUP(C78,基础资料!$Y$5:$AA$204,3,FALSE),0))</f>
        <v/>
      </c>
      <c r="M78" s="54"/>
      <c r="N78" s="54"/>
      <c r="O78" s="54"/>
      <c r="P78" s="11" t="str">
        <f t="shared" si="8"/>
        <v/>
      </c>
      <c r="Q78" s="62" t="str">
        <f t="shared" si="9"/>
        <v/>
      </c>
    </row>
    <row r="79" spans="1:17">
      <c r="A79" s="60"/>
      <c r="B79" s="11" t="str">
        <f t="shared" si="5"/>
        <v/>
      </c>
      <c r="C79" s="54"/>
      <c r="D79" s="54"/>
      <c r="E79" s="11" t="str">
        <f>IF(D79="","",IFERROR(VLOOKUP(D79,基础资料!$P$5:$R$204,2,FALSE),""))</f>
        <v/>
      </c>
      <c r="F79" s="11" t="str">
        <f>IF(D79="","",IFERROR(VLOOKUP(D79,基础资料!$P$5:$R$204,3,FALSE),""))</f>
        <v/>
      </c>
      <c r="G79" s="55"/>
      <c r="H79" s="55"/>
      <c r="I79" s="62" t="str">
        <f t="shared" si="6"/>
        <v/>
      </c>
      <c r="J79" s="62" t="str">
        <f>IF(D79="","",IFERROR(VLOOKUP(D79,基础资料!$P$5:$T$204,5,FALSE),0))</f>
        <v/>
      </c>
      <c r="K79" s="62" t="str">
        <f t="shared" si="7"/>
        <v/>
      </c>
      <c r="L79" s="63" t="str">
        <f>IF(OR(A79="",C79=""),"",A79+IFERROR(VLOOKUP(C79,基础资料!$Y$5:$AA$204,3,FALSE),0))</f>
        <v/>
      </c>
      <c r="M79" s="54"/>
      <c r="N79" s="54"/>
      <c r="O79" s="54"/>
      <c r="P79" s="11" t="str">
        <f t="shared" si="8"/>
        <v/>
      </c>
      <c r="Q79" s="62" t="str">
        <f t="shared" si="9"/>
        <v/>
      </c>
    </row>
    <row r="80" spans="1:17">
      <c r="A80" s="60"/>
      <c r="B80" s="11" t="str">
        <f t="shared" si="5"/>
        <v/>
      </c>
      <c r="C80" s="54"/>
      <c r="D80" s="54"/>
      <c r="E80" s="11" t="str">
        <f>IF(D80="","",IFERROR(VLOOKUP(D80,基础资料!$P$5:$R$204,2,FALSE),""))</f>
        <v/>
      </c>
      <c r="F80" s="11" t="str">
        <f>IF(D80="","",IFERROR(VLOOKUP(D80,基础资料!$P$5:$R$204,3,FALSE),""))</f>
        <v/>
      </c>
      <c r="G80" s="55"/>
      <c r="H80" s="55"/>
      <c r="I80" s="62" t="str">
        <f t="shared" si="6"/>
        <v/>
      </c>
      <c r="J80" s="62" t="str">
        <f>IF(D80="","",IFERROR(VLOOKUP(D80,基础资料!$P$5:$T$204,5,FALSE),0))</f>
        <v/>
      </c>
      <c r="K80" s="62" t="str">
        <f t="shared" si="7"/>
        <v/>
      </c>
      <c r="L80" s="63" t="str">
        <f>IF(OR(A80="",C80=""),"",A80+IFERROR(VLOOKUP(C80,基础资料!$Y$5:$AA$204,3,FALSE),0))</f>
        <v/>
      </c>
      <c r="M80" s="54"/>
      <c r="N80" s="54"/>
      <c r="O80" s="54"/>
      <c r="P80" s="11" t="str">
        <f t="shared" si="8"/>
        <v/>
      </c>
      <c r="Q80" s="62" t="str">
        <f t="shared" si="9"/>
        <v/>
      </c>
    </row>
    <row r="81" spans="1:17">
      <c r="A81" s="60"/>
      <c r="B81" s="11" t="str">
        <f t="shared" si="5"/>
        <v/>
      </c>
      <c r="C81" s="54"/>
      <c r="D81" s="54"/>
      <c r="E81" s="11" t="str">
        <f>IF(D81="","",IFERROR(VLOOKUP(D81,基础资料!$P$5:$R$204,2,FALSE),""))</f>
        <v/>
      </c>
      <c r="F81" s="11" t="str">
        <f>IF(D81="","",IFERROR(VLOOKUP(D81,基础资料!$P$5:$R$204,3,FALSE),""))</f>
        <v/>
      </c>
      <c r="G81" s="55"/>
      <c r="H81" s="55"/>
      <c r="I81" s="62" t="str">
        <f t="shared" si="6"/>
        <v/>
      </c>
      <c r="J81" s="62" t="str">
        <f>IF(D81="","",IFERROR(VLOOKUP(D81,基础资料!$P$5:$T$204,5,FALSE),0))</f>
        <v/>
      </c>
      <c r="K81" s="62" t="str">
        <f t="shared" si="7"/>
        <v/>
      </c>
      <c r="L81" s="63" t="str">
        <f>IF(OR(A81="",C81=""),"",A81+IFERROR(VLOOKUP(C81,基础资料!$Y$5:$AA$204,3,FALSE),0))</f>
        <v/>
      </c>
      <c r="M81" s="54"/>
      <c r="N81" s="54"/>
      <c r="O81" s="54"/>
      <c r="P81" s="11" t="str">
        <f t="shared" si="8"/>
        <v/>
      </c>
      <c r="Q81" s="62" t="str">
        <f t="shared" si="9"/>
        <v/>
      </c>
    </row>
    <row r="82" spans="1:17">
      <c r="A82" s="60"/>
      <c r="B82" s="11" t="str">
        <f t="shared" si="5"/>
        <v/>
      </c>
      <c r="C82" s="54"/>
      <c r="D82" s="54"/>
      <c r="E82" s="11" t="str">
        <f>IF(D82="","",IFERROR(VLOOKUP(D82,基础资料!$P$5:$R$204,2,FALSE),""))</f>
        <v/>
      </c>
      <c r="F82" s="11" t="str">
        <f>IF(D82="","",IFERROR(VLOOKUP(D82,基础资料!$P$5:$R$204,3,FALSE),""))</f>
        <v/>
      </c>
      <c r="G82" s="55"/>
      <c r="H82" s="55"/>
      <c r="I82" s="62" t="str">
        <f t="shared" si="6"/>
        <v/>
      </c>
      <c r="J82" s="62" t="str">
        <f>IF(D82="","",IFERROR(VLOOKUP(D82,基础资料!$P$5:$T$204,5,FALSE),0))</f>
        <v/>
      </c>
      <c r="K82" s="62" t="str">
        <f t="shared" si="7"/>
        <v/>
      </c>
      <c r="L82" s="63" t="str">
        <f>IF(OR(A82="",C82=""),"",A82+IFERROR(VLOOKUP(C82,基础资料!$Y$5:$AA$204,3,FALSE),0))</f>
        <v/>
      </c>
      <c r="M82" s="54"/>
      <c r="N82" s="54"/>
      <c r="O82" s="54"/>
      <c r="P82" s="11" t="str">
        <f t="shared" si="8"/>
        <v/>
      </c>
      <c r="Q82" s="62" t="str">
        <f t="shared" si="9"/>
        <v/>
      </c>
    </row>
    <row r="83" spans="1:17">
      <c r="A83" s="60"/>
      <c r="B83" s="11" t="str">
        <f t="shared" si="5"/>
        <v/>
      </c>
      <c r="C83" s="54"/>
      <c r="D83" s="54"/>
      <c r="E83" s="11" t="str">
        <f>IF(D83="","",IFERROR(VLOOKUP(D83,基础资料!$P$5:$R$204,2,FALSE),""))</f>
        <v/>
      </c>
      <c r="F83" s="11" t="str">
        <f>IF(D83="","",IFERROR(VLOOKUP(D83,基础资料!$P$5:$R$204,3,FALSE),""))</f>
        <v/>
      </c>
      <c r="G83" s="55"/>
      <c r="H83" s="55"/>
      <c r="I83" s="62" t="str">
        <f t="shared" si="6"/>
        <v/>
      </c>
      <c r="J83" s="62" t="str">
        <f>IF(D83="","",IFERROR(VLOOKUP(D83,基础资料!$P$5:$T$204,5,FALSE),0))</f>
        <v/>
      </c>
      <c r="K83" s="62" t="str">
        <f t="shared" si="7"/>
        <v/>
      </c>
      <c r="L83" s="63" t="str">
        <f>IF(OR(A83="",C83=""),"",A83+IFERROR(VLOOKUP(C83,基础资料!$Y$5:$AA$204,3,FALSE),0))</f>
        <v/>
      </c>
      <c r="M83" s="54"/>
      <c r="N83" s="54"/>
      <c r="O83" s="54"/>
      <c r="P83" s="11" t="str">
        <f t="shared" si="8"/>
        <v/>
      </c>
      <c r="Q83" s="62" t="str">
        <f t="shared" si="9"/>
        <v/>
      </c>
    </row>
    <row r="84" spans="1:17">
      <c r="A84" s="60"/>
      <c r="B84" s="11" t="str">
        <f t="shared" si="5"/>
        <v/>
      </c>
      <c r="C84" s="54"/>
      <c r="D84" s="54"/>
      <c r="E84" s="11" t="str">
        <f>IF(D84="","",IFERROR(VLOOKUP(D84,基础资料!$P$5:$R$204,2,FALSE),""))</f>
        <v/>
      </c>
      <c r="F84" s="11" t="str">
        <f>IF(D84="","",IFERROR(VLOOKUP(D84,基础资料!$P$5:$R$204,3,FALSE),""))</f>
        <v/>
      </c>
      <c r="G84" s="55"/>
      <c r="H84" s="55"/>
      <c r="I84" s="62" t="str">
        <f t="shared" si="6"/>
        <v/>
      </c>
      <c r="J84" s="62" t="str">
        <f>IF(D84="","",IFERROR(VLOOKUP(D84,基础资料!$P$5:$T$204,5,FALSE),0))</f>
        <v/>
      </c>
      <c r="K84" s="62" t="str">
        <f t="shared" si="7"/>
        <v/>
      </c>
      <c r="L84" s="63" t="str">
        <f>IF(OR(A84="",C84=""),"",A84+IFERROR(VLOOKUP(C84,基础资料!$Y$5:$AA$204,3,FALSE),0))</f>
        <v/>
      </c>
      <c r="M84" s="54"/>
      <c r="N84" s="54"/>
      <c r="O84" s="54"/>
      <c r="P84" s="11" t="str">
        <f t="shared" si="8"/>
        <v/>
      </c>
      <c r="Q84" s="62" t="str">
        <f t="shared" si="9"/>
        <v/>
      </c>
    </row>
    <row r="85" spans="1:17">
      <c r="A85" s="60"/>
      <c r="B85" s="11" t="str">
        <f t="shared" si="5"/>
        <v/>
      </c>
      <c r="C85" s="54"/>
      <c r="D85" s="54"/>
      <c r="E85" s="11" t="str">
        <f>IF(D85="","",IFERROR(VLOOKUP(D85,基础资料!$P$5:$R$204,2,FALSE),""))</f>
        <v/>
      </c>
      <c r="F85" s="11" t="str">
        <f>IF(D85="","",IFERROR(VLOOKUP(D85,基础资料!$P$5:$R$204,3,FALSE),""))</f>
        <v/>
      </c>
      <c r="G85" s="55"/>
      <c r="H85" s="55"/>
      <c r="I85" s="62" t="str">
        <f t="shared" si="6"/>
        <v/>
      </c>
      <c r="J85" s="62" t="str">
        <f>IF(D85="","",IFERROR(VLOOKUP(D85,基础资料!$P$5:$T$204,5,FALSE),0))</f>
        <v/>
      </c>
      <c r="K85" s="62" t="str">
        <f t="shared" si="7"/>
        <v/>
      </c>
      <c r="L85" s="63" t="str">
        <f>IF(OR(A85="",C85=""),"",A85+IFERROR(VLOOKUP(C85,基础资料!$Y$5:$AA$204,3,FALSE),0))</f>
        <v/>
      </c>
      <c r="M85" s="54"/>
      <c r="N85" s="54"/>
      <c r="O85" s="54"/>
      <c r="P85" s="11" t="str">
        <f t="shared" si="8"/>
        <v/>
      </c>
      <c r="Q85" s="62" t="str">
        <f t="shared" si="9"/>
        <v/>
      </c>
    </row>
    <row r="86" spans="1:17">
      <c r="A86" s="60"/>
      <c r="B86" s="11" t="str">
        <f t="shared" si="5"/>
        <v/>
      </c>
      <c r="C86" s="54"/>
      <c r="D86" s="54"/>
      <c r="E86" s="11" t="str">
        <f>IF(D86="","",IFERROR(VLOOKUP(D86,基础资料!$P$5:$R$204,2,FALSE),""))</f>
        <v/>
      </c>
      <c r="F86" s="11" t="str">
        <f>IF(D86="","",IFERROR(VLOOKUP(D86,基础资料!$P$5:$R$204,3,FALSE),""))</f>
        <v/>
      </c>
      <c r="G86" s="55"/>
      <c r="H86" s="55"/>
      <c r="I86" s="62" t="str">
        <f t="shared" si="6"/>
        <v/>
      </c>
      <c r="J86" s="62" t="str">
        <f>IF(D86="","",IFERROR(VLOOKUP(D86,基础资料!$P$5:$T$204,5,FALSE),0))</f>
        <v/>
      </c>
      <c r="K86" s="62" t="str">
        <f t="shared" si="7"/>
        <v/>
      </c>
      <c r="L86" s="63" t="str">
        <f>IF(OR(A86="",C86=""),"",A86+IFERROR(VLOOKUP(C86,基础资料!$Y$5:$AA$204,3,FALSE),0))</f>
        <v/>
      </c>
      <c r="M86" s="54"/>
      <c r="N86" s="54"/>
      <c r="O86" s="54"/>
      <c r="P86" s="11" t="str">
        <f t="shared" si="8"/>
        <v/>
      </c>
      <c r="Q86" s="62" t="str">
        <f t="shared" si="9"/>
        <v/>
      </c>
    </row>
    <row r="87" spans="1:17">
      <c r="A87" s="60"/>
      <c r="B87" s="11" t="str">
        <f t="shared" si="5"/>
        <v/>
      </c>
      <c r="C87" s="54"/>
      <c r="D87" s="54"/>
      <c r="E87" s="11" t="str">
        <f>IF(D87="","",IFERROR(VLOOKUP(D87,基础资料!$P$5:$R$204,2,FALSE),""))</f>
        <v/>
      </c>
      <c r="F87" s="11" t="str">
        <f>IF(D87="","",IFERROR(VLOOKUP(D87,基础资料!$P$5:$R$204,3,FALSE),""))</f>
        <v/>
      </c>
      <c r="G87" s="55"/>
      <c r="H87" s="55"/>
      <c r="I87" s="62" t="str">
        <f t="shared" si="6"/>
        <v/>
      </c>
      <c r="J87" s="62" t="str">
        <f>IF(D87="","",IFERROR(VLOOKUP(D87,基础资料!$P$5:$T$204,5,FALSE),0))</f>
        <v/>
      </c>
      <c r="K87" s="62" t="str">
        <f t="shared" si="7"/>
        <v/>
      </c>
      <c r="L87" s="63" t="str">
        <f>IF(OR(A87="",C87=""),"",A87+IFERROR(VLOOKUP(C87,基础资料!$Y$5:$AA$204,3,FALSE),0))</f>
        <v/>
      </c>
      <c r="M87" s="54"/>
      <c r="N87" s="54"/>
      <c r="O87" s="54"/>
      <c r="P87" s="11" t="str">
        <f t="shared" si="8"/>
        <v/>
      </c>
      <c r="Q87" s="62" t="str">
        <f t="shared" si="9"/>
        <v/>
      </c>
    </row>
    <row r="88" spans="1:17">
      <c r="A88" s="60"/>
      <c r="B88" s="11" t="str">
        <f t="shared" si="5"/>
        <v/>
      </c>
      <c r="C88" s="54"/>
      <c r="D88" s="54"/>
      <c r="E88" s="11" t="str">
        <f>IF(D88="","",IFERROR(VLOOKUP(D88,基础资料!$P$5:$R$204,2,FALSE),""))</f>
        <v/>
      </c>
      <c r="F88" s="11" t="str">
        <f>IF(D88="","",IFERROR(VLOOKUP(D88,基础资料!$P$5:$R$204,3,FALSE),""))</f>
        <v/>
      </c>
      <c r="G88" s="55"/>
      <c r="H88" s="55"/>
      <c r="I88" s="62" t="str">
        <f t="shared" si="6"/>
        <v/>
      </c>
      <c r="J88" s="62" t="str">
        <f>IF(D88="","",IFERROR(VLOOKUP(D88,基础资料!$P$5:$T$204,5,FALSE),0))</f>
        <v/>
      </c>
      <c r="K88" s="62" t="str">
        <f t="shared" si="7"/>
        <v/>
      </c>
      <c r="L88" s="63" t="str">
        <f>IF(OR(A88="",C88=""),"",A88+IFERROR(VLOOKUP(C88,基础资料!$Y$5:$AA$204,3,FALSE),0))</f>
        <v/>
      </c>
      <c r="M88" s="54"/>
      <c r="N88" s="54"/>
      <c r="O88" s="54"/>
      <c r="P88" s="11" t="str">
        <f t="shared" si="8"/>
        <v/>
      </c>
      <c r="Q88" s="62" t="str">
        <f t="shared" si="9"/>
        <v/>
      </c>
    </row>
    <row r="89" spans="1:17">
      <c r="A89" s="60"/>
      <c r="B89" s="11" t="str">
        <f t="shared" si="5"/>
        <v/>
      </c>
      <c r="C89" s="54"/>
      <c r="D89" s="54"/>
      <c r="E89" s="11" t="str">
        <f>IF(D89="","",IFERROR(VLOOKUP(D89,基础资料!$P$5:$R$204,2,FALSE),""))</f>
        <v/>
      </c>
      <c r="F89" s="11" t="str">
        <f>IF(D89="","",IFERROR(VLOOKUP(D89,基础资料!$P$5:$R$204,3,FALSE),""))</f>
        <v/>
      </c>
      <c r="G89" s="55"/>
      <c r="H89" s="55"/>
      <c r="I89" s="62" t="str">
        <f t="shared" si="6"/>
        <v/>
      </c>
      <c r="J89" s="62" t="str">
        <f>IF(D89="","",IFERROR(VLOOKUP(D89,基础资料!$P$5:$T$204,5,FALSE),0))</f>
        <v/>
      </c>
      <c r="K89" s="62" t="str">
        <f t="shared" si="7"/>
        <v/>
      </c>
      <c r="L89" s="63" t="str">
        <f>IF(OR(A89="",C89=""),"",A89+IFERROR(VLOOKUP(C89,基础资料!$Y$5:$AA$204,3,FALSE),0))</f>
        <v/>
      </c>
      <c r="M89" s="54"/>
      <c r="N89" s="54"/>
      <c r="O89" s="54"/>
      <c r="P89" s="11" t="str">
        <f t="shared" si="8"/>
        <v/>
      </c>
      <c r="Q89" s="62" t="str">
        <f t="shared" si="9"/>
        <v/>
      </c>
    </row>
    <row r="90" spans="1:17">
      <c r="A90" s="60"/>
      <c r="B90" s="11" t="str">
        <f t="shared" si="5"/>
        <v/>
      </c>
      <c r="C90" s="54"/>
      <c r="D90" s="54"/>
      <c r="E90" s="11" t="str">
        <f>IF(D90="","",IFERROR(VLOOKUP(D90,基础资料!$P$5:$R$204,2,FALSE),""))</f>
        <v/>
      </c>
      <c r="F90" s="11" t="str">
        <f>IF(D90="","",IFERROR(VLOOKUP(D90,基础资料!$P$5:$R$204,3,FALSE),""))</f>
        <v/>
      </c>
      <c r="G90" s="55"/>
      <c r="H90" s="55"/>
      <c r="I90" s="62" t="str">
        <f t="shared" si="6"/>
        <v/>
      </c>
      <c r="J90" s="62" t="str">
        <f>IF(D90="","",IFERROR(VLOOKUP(D90,基础资料!$P$5:$T$204,5,FALSE),0))</f>
        <v/>
      </c>
      <c r="K90" s="62" t="str">
        <f t="shared" si="7"/>
        <v/>
      </c>
      <c r="L90" s="63" t="str">
        <f>IF(OR(A90="",C90=""),"",A90+IFERROR(VLOOKUP(C90,基础资料!$Y$5:$AA$204,3,FALSE),0))</f>
        <v/>
      </c>
      <c r="M90" s="54"/>
      <c r="N90" s="54"/>
      <c r="O90" s="54"/>
      <c r="P90" s="11" t="str">
        <f t="shared" si="8"/>
        <v/>
      </c>
      <c r="Q90" s="62" t="str">
        <f t="shared" si="9"/>
        <v/>
      </c>
    </row>
    <row r="91" spans="1:17">
      <c r="A91" s="60"/>
      <c r="B91" s="11" t="str">
        <f t="shared" si="5"/>
        <v/>
      </c>
      <c r="C91" s="54"/>
      <c r="D91" s="54"/>
      <c r="E91" s="11" t="str">
        <f>IF(D91="","",IFERROR(VLOOKUP(D91,基础资料!$P$5:$R$204,2,FALSE),""))</f>
        <v/>
      </c>
      <c r="F91" s="11" t="str">
        <f>IF(D91="","",IFERROR(VLOOKUP(D91,基础资料!$P$5:$R$204,3,FALSE),""))</f>
        <v/>
      </c>
      <c r="G91" s="55"/>
      <c r="H91" s="55"/>
      <c r="I91" s="62" t="str">
        <f t="shared" si="6"/>
        <v/>
      </c>
      <c r="J91" s="62" t="str">
        <f>IF(D91="","",IFERROR(VLOOKUP(D91,基础资料!$P$5:$T$204,5,FALSE),0))</f>
        <v/>
      </c>
      <c r="K91" s="62" t="str">
        <f t="shared" si="7"/>
        <v/>
      </c>
      <c r="L91" s="63" t="str">
        <f>IF(OR(A91="",C91=""),"",A91+IFERROR(VLOOKUP(C91,基础资料!$Y$5:$AA$204,3,FALSE),0))</f>
        <v/>
      </c>
      <c r="M91" s="54"/>
      <c r="N91" s="54"/>
      <c r="O91" s="54"/>
      <c r="P91" s="11" t="str">
        <f t="shared" si="8"/>
        <v/>
      </c>
      <c r="Q91" s="62" t="str">
        <f t="shared" si="9"/>
        <v/>
      </c>
    </row>
    <row r="92" spans="1:17">
      <c r="A92" s="60"/>
      <c r="B92" s="11" t="str">
        <f t="shared" si="5"/>
        <v/>
      </c>
      <c r="C92" s="54"/>
      <c r="D92" s="54"/>
      <c r="E92" s="11" t="str">
        <f>IF(D92="","",IFERROR(VLOOKUP(D92,基础资料!$P$5:$R$204,2,FALSE),""))</f>
        <v/>
      </c>
      <c r="F92" s="11" t="str">
        <f>IF(D92="","",IFERROR(VLOOKUP(D92,基础资料!$P$5:$R$204,3,FALSE),""))</f>
        <v/>
      </c>
      <c r="G92" s="55"/>
      <c r="H92" s="55"/>
      <c r="I92" s="62" t="str">
        <f t="shared" si="6"/>
        <v/>
      </c>
      <c r="J92" s="62" t="str">
        <f>IF(D92="","",IFERROR(VLOOKUP(D92,基础资料!$P$5:$T$204,5,FALSE),0))</f>
        <v/>
      </c>
      <c r="K92" s="62" t="str">
        <f t="shared" si="7"/>
        <v/>
      </c>
      <c r="L92" s="63" t="str">
        <f>IF(OR(A92="",C92=""),"",A92+IFERROR(VLOOKUP(C92,基础资料!$Y$5:$AA$204,3,FALSE),0))</f>
        <v/>
      </c>
      <c r="M92" s="54"/>
      <c r="N92" s="54"/>
      <c r="O92" s="54"/>
      <c r="P92" s="11" t="str">
        <f t="shared" si="8"/>
        <v/>
      </c>
      <c r="Q92" s="62" t="str">
        <f t="shared" si="9"/>
        <v/>
      </c>
    </row>
    <row r="93" spans="1:17">
      <c r="A93" s="60"/>
      <c r="B93" s="11" t="str">
        <f t="shared" si="5"/>
        <v/>
      </c>
      <c r="C93" s="54"/>
      <c r="D93" s="54"/>
      <c r="E93" s="11" t="str">
        <f>IF(D93="","",IFERROR(VLOOKUP(D93,基础资料!$P$5:$R$204,2,FALSE),""))</f>
        <v/>
      </c>
      <c r="F93" s="11" t="str">
        <f>IF(D93="","",IFERROR(VLOOKUP(D93,基础资料!$P$5:$R$204,3,FALSE),""))</f>
        <v/>
      </c>
      <c r="G93" s="55"/>
      <c r="H93" s="55"/>
      <c r="I93" s="62" t="str">
        <f t="shared" si="6"/>
        <v/>
      </c>
      <c r="J93" s="62" t="str">
        <f>IF(D93="","",IFERROR(VLOOKUP(D93,基础资料!$P$5:$T$204,5,FALSE),0))</f>
        <v/>
      </c>
      <c r="K93" s="62" t="str">
        <f t="shared" si="7"/>
        <v/>
      </c>
      <c r="L93" s="63" t="str">
        <f>IF(OR(A93="",C93=""),"",A93+IFERROR(VLOOKUP(C93,基础资料!$Y$5:$AA$204,3,FALSE),0))</f>
        <v/>
      </c>
      <c r="M93" s="54"/>
      <c r="N93" s="54"/>
      <c r="O93" s="54"/>
      <c r="P93" s="11" t="str">
        <f t="shared" si="8"/>
        <v/>
      </c>
      <c r="Q93" s="62" t="str">
        <f t="shared" si="9"/>
        <v/>
      </c>
    </row>
    <row r="94" spans="1:17">
      <c r="A94" s="60"/>
      <c r="B94" s="11" t="str">
        <f t="shared" si="5"/>
        <v/>
      </c>
      <c r="C94" s="54"/>
      <c r="D94" s="54"/>
      <c r="E94" s="11" t="str">
        <f>IF(D94="","",IFERROR(VLOOKUP(D94,基础资料!$P$5:$R$204,2,FALSE),""))</f>
        <v/>
      </c>
      <c r="F94" s="11" t="str">
        <f>IF(D94="","",IFERROR(VLOOKUP(D94,基础资料!$P$5:$R$204,3,FALSE),""))</f>
        <v/>
      </c>
      <c r="G94" s="55"/>
      <c r="H94" s="55"/>
      <c r="I94" s="62" t="str">
        <f t="shared" si="6"/>
        <v/>
      </c>
      <c r="J94" s="62" t="str">
        <f>IF(D94="","",IFERROR(VLOOKUP(D94,基础资料!$P$5:$T$204,5,FALSE),0))</f>
        <v/>
      </c>
      <c r="K94" s="62" t="str">
        <f t="shared" si="7"/>
        <v/>
      </c>
      <c r="L94" s="63" t="str">
        <f>IF(OR(A94="",C94=""),"",A94+IFERROR(VLOOKUP(C94,基础资料!$Y$5:$AA$204,3,FALSE),0))</f>
        <v/>
      </c>
      <c r="M94" s="54"/>
      <c r="N94" s="54"/>
      <c r="O94" s="54"/>
      <c r="P94" s="11" t="str">
        <f t="shared" si="8"/>
        <v/>
      </c>
      <c r="Q94" s="62" t="str">
        <f t="shared" si="9"/>
        <v/>
      </c>
    </row>
    <row r="95" spans="1:17">
      <c r="A95" s="60"/>
      <c r="B95" s="11" t="str">
        <f t="shared" si="5"/>
        <v/>
      </c>
      <c r="C95" s="54"/>
      <c r="D95" s="54"/>
      <c r="E95" s="11" t="str">
        <f>IF(D95="","",IFERROR(VLOOKUP(D95,基础资料!$P$5:$R$204,2,FALSE),""))</f>
        <v/>
      </c>
      <c r="F95" s="11" t="str">
        <f>IF(D95="","",IFERROR(VLOOKUP(D95,基础资料!$P$5:$R$204,3,FALSE),""))</f>
        <v/>
      </c>
      <c r="G95" s="55"/>
      <c r="H95" s="55"/>
      <c r="I95" s="62" t="str">
        <f t="shared" si="6"/>
        <v/>
      </c>
      <c r="J95" s="62" t="str">
        <f>IF(D95="","",IFERROR(VLOOKUP(D95,基础资料!$P$5:$T$204,5,FALSE),0))</f>
        <v/>
      </c>
      <c r="K95" s="62" t="str">
        <f t="shared" si="7"/>
        <v/>
      </c>
      <c r="L95" s="63" t="str">
        <f>IF(OR(A95="",C95=""),"",A95+IFERROR(VLOOKUP(C95,基础资料!$Y$5:$AA$204,3,FALSE),0))</f>
        <v/>
      </c>
      <c r="M95" s="54"/>
      <c r="N95" s="54"/>
      <c r="O95" s="54"/>
      <c r="P95" s="11" t="str">
        <f t="shared" si="8"/>
        <v/>
      </c>
      <c r="Q95" s="62" t="str">
        <f t="shared" si="9"/>
        <v/>
      </c>
    </row>
    <row r="96" spans="1:17">
      <c r="A96" s="60"/>
      <c r="B96" s="11" t="str">
        <f t="shared" si="5"/>
        <v/>
      </c>
      <c r="C96" s="54"/>
      <c r="D96" s="54"/>
      <c r="E96" s="11" t="str">
        <f>IF(D96="","",IFERROR(VLOOKUP(D96,基础资料!$P$5:$R$204,2,FALSE),""))</f>
        <v/>
      </c>
      <c r="F96" s="11" t="str">
        <f>IF(D96="","",IFERROR(VLOOKUP(D96,基础资料!$P$5:$R$204,3,FALSE),""))</f>
        <v/>
      </c>
      <c r="G96" s="55"/>
      <c r="H96" s="55"/>
      <c r="I96" s="62" t="str">
        <f t="shared" si="6"/>
        <v/>
      </c>
      <c r="J96" s="62" t="str">
        <f>IF(D96="","",IFERROR(VLOOKUP(D96,基础资料!$P$5:$T$204,5,FALSE),0))</f>
        <v/>
      </c>
      <c r="K96" s="62" t="str">
        <f t="shared" si="7"/>
        <v/>
      </c>
      <c r="L96" s="63" t="str">
        <f>IF(OR(A96="",C96=""),"",A96+IFERROR(VLOOKUP(C96,基础资料!$Y$5:$AA$204,3,FALSE),0))</f>
        <v/>
      </c>
      <c r="M96" s="54"/>
      <c r="N96" s="54"/>
      <c r="O96" s="54"/>
      <c r="P96" s="11" t="str">
        <f t="shared" si="8"/>
        <v/>
      </c>
      <c r="Q96" s="62" t="str">
        <f t="shared" si="9"/>
        <v/>
      </c>
    </row>
    <row r="97" spans="1:17">
      <c r="A97" s="60"/>
      <c r="B97" s="11" t="str">
        <f t="shared" si="5"/>
        <v/>
      </c>
      <c r="C97" s="54"/>
      <c r="D97" s="54"/>
      <c r="E97" s="11" t="str">
        <f>IF(D97="","",IFERROR(VLOOKUP(D97,基础资料!$P$5:$R$204,2,FALSE),""))</f>
        <v/>
      </c>
      <c r="F97" s="11" t="str">
        <f>IF(D97="","",IFERROR(VLOOKUP(D97,基础资料!$P$5:$R$204,3,FALSE),""))</f>
        <v/>
      </c>
      <c r="G97" s="55"/>
      <c r="H97" s="55"/>
      <c r="I97" s="62" t="str">
        <f t="shared" si="6"/>
        <v/>
      </c>
      <c r="J97" s="62" t="str">
        <f>IF(D97="","",IFERROR(VLOOKUP(D97,基础资料!$P$5:$T$204,5,FALSE),0))</f>
        <v/>
      </c>
      <c r="K97" s="62" t="str">
        <f t="shared" si="7"/>
        <v/>
      </c>
      <c r="L97" s="63" t="str">
        <f>IF(OR(A97="",C97=""),"",A97+IFERROR(VLOOKUP(C97,基础资料!$Y$5:$AA$204,3,FALSE),0))</f>
        <v/>
      </c>
      <c r="M97" s="54"/>
      <c r="N97" s="54"/>
      <c r="O97" s="54"/>
      <c r="P97" s="11" t="str">
        <f t="shared" si="8"/>
        <v/>
      </c>
      <c r="Q97" s="62" t="str">
        <f t="shared" si="9"/>
        <v/>
      </c>
    </row>
    <row r="98" spans="1:17">
      <c r="A98" s="60"/>
      <c r="B98" s="11" t="str">
        <f t="shared" si="5"/>
        <v/>
      </c>
      <c r="C98" s="54"/>
      <c r="D98" s="54"/>
      <c r="E98" s="11" t="str">
        <f>IF(D98="","",IFERROR(VLOOKUP(D98,基础资料!$P$5:$R$204,2,FALSE),""))</f>
        <v/>
      </c>
      <c r="F98" s="11" t="str">
        <f>IF(D98="","",IFERROR(VLOOKUP(D98,基础资料!$P$5:$R$204,3,FALSE),""))</f>
        <v/>
      </c>
      <c r="G98" s="55"/>
      <c r="H98" s="55"/>
      <c r="I98" s="62" t="str">
        <f t="shared" si="6"/>
        <v/>
      </c>
      <c r="J98" s="62" t="str">
        <f>IF(D98="","",IFERROR(VLOOKUP(D98,基础资料!$P$5:$T$204,5,FALSE),0))</f>
        <v/>
      </c>
      <c r="K98" s="62" t="str">
        <f t="shared" si="7"/>
        <v/>
      </c>
      <c r="L98" s="63" t="str">
        <f>IF(OR(A98="",C98=""),"",A98+IFERROR(VLOOKUP(C98,基础资料!$Y$5:$AA$204,3,FALSE),0))</f>
        <v/>
      </c>
      <c r="M98" s="54"/>
      <c r="N98" s="54"/>
      <c r="O98" s="54"/>
      <c r="P98" s="11" t="str">
        <f t="shared" si="8"/>
        <v/>
      </c>
      <c r="Q98" s="62" t="str">
        <f t="shared" si="9"/>
        <v/>
      </c>
    </row>
    <row r="99" spans="1:17">
      <c r="A99" s="60"/>
      <c r="B99" s="11" t="str">
        <f t="shared" si="5"/>
        <v/>
      </c>
      <c r="C99" s="54"/>
      <c r="D99" s="54"/>
      <c r="E99" s="11" t="str">
        <f>IF(D99="","",IFERROR(VLOOKUP(D99,基础资料!$P$5:$R$204,2,FALSE),""))</f>
        <v/>
      </c>
      <c r="F99" s="11" t="str">
        <f>IF(D99="","",IFERROR(VLOOKUP(D99,基础资料!$P$5:$R$204,3,FALSE),""))</f>
        <v/>
      </c>
      <c r="G99" s="55"/>
      <c r="H99" s="55"/>
      <c r="I99" s="62" t="str">
        <f t="shared" si="6"/>
        <v/>
      </c>
      <c r="J99" s="62" t="str">
        <f>IF(D99="","",IFERROR(VLOOKUP(D99,基础资料!$P$5:$T$204,5,FALSE),0))</f>
        <v/>
      </c>
      <c r="K99" s="62" t="str">
        <f t="shared" si="7"/>
        <v/>
      </c>
      <c r="L99" s="63" t="str">
        <f>IF(OR(A99="",C99=""),"",A99+IFERROR(VLOOKUP(C99,基础资料!$Y$5:$AA$204,3,FALSE),0))</f>
        <v/>
      </c>
      <c r="M99" s="54"/>
      <c r="N99" s="54"/>
      <c r="O99" s="54"/>
      <c r="P99" s="11" t="str">
        <f t="shared" si="8"/>
        <v/>
      </c>
      <c r="Q99" s="62" t="str">
        <f t="shared" si="9"/>
        <v/>
      </c>
    </row>
    <row r="100" spans="1:17">
      <c r="A100" s="60"/>
      <c r="B100" s="11" t="str">
        <f t="shared" si="5"/>
        <v/>
      </c>
      <c r="C100" s="54"/>
      <c r="D100" s="54"/>
      <c r="E100" s="11" t="str">
        <f>IF(D100="","",IFERROR(VLOOKUP(D100,基础资料!$P$5:$R$204,2,FALSE),""))</f>
        <v/>
      </c>
      <c r="F100" s="11" t="str">
        <f>IF(D100="","",IFERROR(VLOOKUP(D100,基础资料!$P$5:$R$204,3,FALSE),""))</f>
        <v/>
      </c>
      <c r="G100" s="55"/>
      <c r="H100" s="55"/>
      <c r="I100" s="62" t="str">
        <f t="shared" si="6"/>
        <v/>
      </c>
      <c r="J100" s="62" t="str">
        <f>IF(D100="","",IFERROR(VLOOKUP(D100,基础资料!$P$5:$T$204,5,FALSE),0))</f>
        <v/>
      </c>
      <c r="K100" s="62" t="str">
        <f t="shared" si="7"/>
        <v/>
      </c>
      <c r="L100" s="63" t="str">
        <f>IF(OR(A100="",C100=""),"",A100+IFERROR(VLOOKUP(C100,基础资料!$Y$5:$AA$204,3,FALSE),0))</f>
        <v/>
      </c>
      <c r="M100" s="54"/>
      <c r="N100" s="54"/>
      <c r="O100" s="54"/>
      <c r="P100" s="11" t="str">
        <f t="shared" si="8"/>
        <v/>
      </c>
      <c r="Q100" s="62" t="str">
        <f t="shared" si="9"/>
        <v/>
      </c>
    </row>
    <row r="101" spans="1:17">
      <c r="A101" s="60"/>
      <c r="B101" s="11" t="str">
        <f t="shared" si="5"/>
        <v/>
      </c>
      <c r="C101" s="54"/>
      <c r="D101" s="54"/>
      <c r="E101" s="11" t="str">
        <f>IF(D101="","",IFERROR(VLOOKUP(D101,基础资料!$P$5:$R$204,2,FALSE),""))</f>
        <v/>
      </c>
      <c r="F101" s="11" t="str">
        <f>IF(D101="","",IFERROR(VLOOKUP(D101,基础资料!$P$5:$R$204,3,FALSE),""))</f>
        <v/>
      </c>
      <c r="G101" s="55"/>
      <c r="H101" s="55"/>
      <c r="I101" s="62" t="str">
        <f t="shared" si="6"/>
        <v/>
      </c>
      <c r="J101" s="62" t="str">
        <f>IF(D101="","",IFERROR(VLOOKUP(D101,基础资料!$P$5:$T$204,5,FALSE),0))</f>
        <v/>
      </c>
      <c r="K101" s="62" t="str">
        <f t="shared" si="7"/>
        <v/>
      </c>
      <c r="L101" s="63" t="str">
        <f>IF(OR(A101="",C101=""),"",A101+IFERROR(VLOOKUP(C101,基础资料!$Y$5:$AA$204,3,FALSE),0))</f>
        <v/>
      </c>
      <c r="M101" s="54"/>
      <c r="N101" s="54"/>
      <c r="O101" s="54"/>
      <c r="P101" s="11" t="str">
        <f t="shared" si="8"/>
        <v/>
      </c>
      <c r="Q101" s="62" t="str">
        <f t="shared" si="9"/>
        <v/>
      </c>
    </row>
    <row r="102" spans="1:17">
      <c r="A102" s="60"/>
      <c r="B102" s="11" t="str">
        <f t="shared" si="5"/>
        <v/>
      </c>
      <c r="C102" s="54"/>
      <c r="D102" s="54"/>
      <c r="E102" s="11" t="str">
        <f>IF(D102="","",IFERROR(VLOOKUP(D102,基础资料!$P$5:$R$204,2,FALSE),""))</f>
        <v/>
      </c>
      <c r="F102" s="11" t="str">
        <f>IF(D102="","",IFERROR(VLOOKUP(D102,基础资料!$P$5:$R$204,3,FALSE),""))</f>
        <v/>
      </c>
      <c r="G102" s="55"/>
      <c r="H102" s="55"/>
      <c r="I102" s="62" t="str">
        <f t="shared" si="6"/>
        <v/>
      </c>
      <c r="J102" s="62" t="str">
        <f>IF(D102="","",IFERROR(VLOOKUP(D102,基础资料!$P$5:$T$204,5,FALSE),0))</f>
        <v/>
      </c>
      <c r="K102" s="62" t="str">
        <f t="shared" si="7"/>
        <v/>
      </c>
      <c r="L102" s="63" t="str">
        <f>IF(OR(A102="",C102=""),"",A102+IFERROR(VLOOKUP(C102,基础资料!$Y$5:$AA$204,3,FALSE),0))</f>
        <v/>
      </c>
      <c r="M102" s="54"/>
      <c r="N102" s="54"/>
      <c r="O102" s="54"/>
      <c r="P102" s="11" t="str">
        <f t="shared" si="8"/>
        <v/>
      </c>
      <c r="Q102" s="62" t="str">
        <f t="shared" si="9"/>
        <v/>
      </c>
    </row>
    <row r="103" spans="1:17">
      <c r="A103" s="60"/>
      <c r="B103" s="11" t="str">
        <f t="shared" si="5"/>
        <v/>
      </c>
      <c r="C103" s="54"/>
      <c r="D103" s="54"/>
      <c r="E103" s="11" t="str">
        <f>IF(D103="","",IFERROR(VLOOKUP(D103,基础资料!$P$5:$R$204,2,FALSE),""))</f>
        <v/>
      </c>
      <c r="F103" s="11" t="str">
        <f>IF(D103="","",IFERROR(VLOOKUP(D103,基础资料!$P$5:$R$204,3,FALSE),""))</f>
        <v/>
      </c>
      <c r="G103" s="55"/>
      <c r="H103" s="55"/>
      <c r="I103" s="62" t="str">
        <f t="shared" si="6"/>
        <v/>
      </c>
      <c r="J103" s="62" t="str">
        <f>IF(D103="","",IFERROR(VLOOKUP(D103,基础资料!$P$5:$T$204,5,FALSE),0))</f>
        <v/>
      </c>
      <c r="K103" s="62" t="str">
        <f t="shared" si="7"/>
        <v/>
      </c>
      <c r="L103" s="63" t="str">
        <f>IF(OR(A103="",C103=""),"",A103+IFERROR(VLOOKUP(C103,基础资料!$Y$5:$AA$204,3,FALSE),0))</f>
        <v/>
      </c>
      <c r="M103" s="54"/>
      <c r="N103" s="54"/>
      <c r="O103" s="54"/>
      <c r="P103" s="11" t="str">
        <f t="shared" si="8"/>
        <v/>
      </c>
      <c r="Q103" s="62" t="str">
        <f t="shared" si="9"/>
        <v/>
      </c>
    </row>
    <row r="104" spans="1:17">
      <c r="A104" s="5"/>
      <c r="B104" t="str">
        <f t="shared" si="5"/>
        <v/>
      </c>
      <c r="E104" t="str">
        <f>IF(D104="","",IFERROR(VLOOKUP(D104,基础资料!$P$5:$R$204,2,FALSE),""))</f>
        <v/>
      </c>
      <c r="F104" t="str">
        <f>IF(D104="","",IFERROR(VLOOKUP(D104,基础资料!$P$5:$R$204,3,FALSE),""))</f>
        <v/>
      </c>
      <c r="G104" s="17"/>
      <c r="H104" s="17"/>
      <c r="I104" s="17" t="str">
        <f t="shared" si="6"/>
        <v/>
      </c>
      <c r="J104" s="17" t="str">
        <f>IF(D104="","",IFERROR(VLOOKUP(D104,基础资料!$P$5:$T$204,5,FALSE),0))</f>
        <v/>
      </c>
      <c r="K104" s="17" t="str">
        <f t="shared" si="7"/>
        <v/>
      </c>
      <c r="L104" s="5" t="str">
        <f>IF(OR(A104="",C104=""),"",A104+IFERROR(VLOOKUP(C104,基础资料!$Y$5:$AA$204,3,FALSE),0))</f>
        <v/>
      </c>
      <c r="P104" t="str">
        <f t="shared" si="8"/>
        <v/>
      </c>
      <c r="Q104" s="17" t="str">
        <f t="shared" si="9"/>
        <v/>
      </c>
    </row>
    <row r="105" spans="1:17">
      <c r="A105" s="5"/>
      <c r="B105" t="str">
        <f t="shared" si="5"/>
        <v/>
      </c>
      <c r="E105" t="str">
        <f>IF(D105="","",IFERROR(VLOOKUP(D105,基础资料!$P$5:$R$204,2,FALSE),""))</f>
        <v/>
      </c>
      <c r="F105" t="str">
        <f>IF(D105="","",IFERROR(VLOOKUP(D105,基础资料!$P$5:$R$204,3,FALSE),""))</f>
        <v/>
      </c>
      <c r="G105" s="17"/>
      <c r="H105" s="17"/>
      <c r="I105" s="17" t="str">
        <f t="shared" si="6"/>
        <v/>
      </c>
      <c r="J105" s="17" t="str">
        <f>IF(D105="","",IFERROR(VLOOKUP(D105,基础资料!$P$5:$T$204,5,FALSE),0))</f>
        <v/>
      </c>
      <c r="K105" s="17" t="str">
        <f t="shared" si="7"/>
        <v/>
      </c>
      <c r="L105" s="5" t="str">
        <f>IF(OR(A105="",C105=""),"",A105+IFERROR(VLOOKUP(C105,基础资料!$Y$5:$AA$204,3,FALSE),0))</f>
        <v/>
      </c>
      <c r="P105" t="str">
        <f t="shared" si="8"/>
        <v/>
      </c>
      <c r="Q105" s="17" t="str">
        <f t="shared" si="9"/>
        <v/>
      </c>
    </row>
    <row r="106" spans="1:17">
      <c r="A106" s="5"/>
      <c r="B106" t="str">
        <f t="shared" si="5"/>
        <v/>
      </c>
      <c r="E106" t="str">
        <f>IF(D106="","",IFERROR(VLOOKUP(D106,基础资料!$P$5:$R$204,2,FALSE),""))</f>
        <v/>
      </c>
      <c r="F106" t="str">
        <f>IF(D106="","",IFERROR(VLOOKUP(D106,基础资料!$P$5:$R$204,3,FALSE),""))</f>
        <v/>
      </c>
      <c r="G106" s="17"/>
      <c r="H106" s="17"/>
      <c r="I106" s="17" t="str">
        <f t="shared" si="6"/>
        <v/>
      </c>
      <c r="J106" s="17" t="str">
        <f>IF(D106="","",IFERROR(VLOOKUP(D106,基础资料!$P$5:$T$204,5,FALSE),0))</f>
        <v/>
      </c>
      <c r="K106" s="17" t="str">
        <f t="shared" si="7"/>
        <v/>
      </c>
      <c r="L106" s="5" t="str">
        <f>IF(OR(A106="",C106=""),"",A106+IFERROR(VLOOKUP(C106,基础资料!$Y$5:$AA$204,3,FALSE),0))</f>
        <v/>
      </c>
      <c r="P106" t="str">
        <f t="shared" si="8"/>
        <v/>
      </c>
      <c r="Q106" s="17" t="str">
        <f t="shared" si="9"/>
        <v/>
      </c>
    </row>
    <row r="107" spans="1:17">
      <c r="A107" s="5"/>
      <c r="B107" t="str">
        <f t="shared" si="5"/>
        <v/>
      </c>
      <c r="E107" t="str">
        <f>IF(D107="","",IFERROR(VLOOKUP(D107,基础资料!$P$5:$R$204,2,FALSE),""))</f>
        <v/>
      </c>
      <c r="F107" t="str">
        <f>IF(D107="","",IFERROR(VLOOKUP(D107,基础资料!$P$5:$R$204,3,FALSE),""))</f>
        <v/>
      </c>
      <c r="G107" s="17"/>
      <c r="H107" s="17"/>
      <c r="I107" s="17" t="str">
        <f t="shared" si="6"/>
        <v/>
      </c>
      <c r="J107" s="17" t="str">
        <f>IF(D107="","",IFERROR(VLOOKUP(D107,基础资料!$P$5:$T$204,5,FALSE),0))</f>
        <v/>
      </c>
      <c r="K107" s="17" t="str">
        <f t="shared" si="7"/>
        <v/>
      </c>
      <c r="L107" s="5" t="str">
        <f>IF(OR(A107="",C107=""),"",A107+IFERROR(VLOOKUP(C107,基础资料!$Y$5:$AA$204,3,FALSE),0))</f>
        <v/>
      </c>
      <c r="P107" t="str">
        <f t="shared" si="8"/>
        <v/>
      </c>
      <c r="Q107" s="17" t="str">
        <f t="shared" si="9"/>
        <v/>
      </c>
    </row>
    <row r="108" spans="1:17">
      <c r="A108" s="5"/>
      <c r="B108" t="str">
        <f t="shared" si="5"/>
        <v/>
      </c>
      <c r="E108" t="str">
        <f>IF(D108="","",IFERROR(VLOOKUP(D108,基础资料!$P$5:$R$204,2,FALSE),""))</f>
        <v/>
      </c>
      <c r="F108" t="str">
        <f>IF(D108="","",IFERROR(VLOOKUP(D108,基础资料!$P$5:$R$204,3,FALSE),""))</f>
        <v/>
      </c>
      <c r="G108" s="17"/>
      <c r="H108" s="17"/>
      <c r="I108" s="17" t="str">
        <f t="shared" si="6"/>
        <v/>
      </c>
      <c r="J108" s="17" t="str">
        <f>IF(D108="","",IFERROR(VLOOKUP(D108,基础资料!$P$5:$T$204,5,FALSE),0))</f>
        <v/>
      </c>
      <c r="K108" s="17" t="str">
        <f t="shared" si="7"/>
        <v/>
      </c>
      <c r="L108" s="5" t="str">
        <f>IF(OR(A108="",C108=""),"",A108+IFERROR(VLOOKUP(C108,基础资料!$Y$5:$AA$204,3,FALSE),0))</f>
        <v/>
      </c>
      <c r="P108" t="str">
        <f t="shared" si="8"/>
        <v/>
      </c>
      <c r="Q108" s="17" t="str">
        <f t="shared" si="9"/>
        <v/>
      </c>
    </row>
    <row r="109" spans="1:17">
      <c r="A109" s="5"/>
      <c r="B109" t="str">
        <f t="shared" si="5"/>
        <v/>
      </c>
      <c r="E109" t="str">
        <f>IF(D109="","",IFERROR(VLOOKUP(D109,基础资料!$P$5:$R$204,2,FALSE),""))</f>
        <v/>
      </c>
      <c r="F109" t="str">
        <f>IF(D109="","",IFERROR(VLOOKUP(D109,基础资料!$P$5:$R$204,3,FALSE),""))</f>
        <v/>
      </c>
      <c r="G109" s="17"/>
      <c r="H109" s="17"/>
      <c r="I109" s="17" t="str">
        <f t="shared" si="6"/>
        <v/>
      </c>
      <c r="J109" s="17" t="str">
        <f>IF(D109="","",IFERROR(VLOOKUP(D109,基础资料!$P$5:$T$204,5,FALSE),0))</f>
        <v/>
      </c>
      <c r="K109" s="17" t="str">
        <f t="shared" si="7"/>
        <v/>
      </c>
      <c r="L109" s="5" t="str">
        <f>IF(OR(A109="",C109=""),"",A109+IFERROR(VLOOKUP(C109,基础资料!$Y$5:$AA$204,3,FALSE),0))</f>
        <v/>
      </c>
      <c r="P109" t="str">
        <f t="shared" si="8"/>
        <v/>
      </c>
      <c r="Q109" s="17" t="str">
        <f t="shared" si="9"/>
        <v/>
      </c>
    </row>
    <row r="110" spans="1:17">
      <c r="A110" s="5"/>
      <c r="B110" t="str">
        <f t="shared" si="5"/>
        <v/>
      </c>
      <c r="E110" t="str">
        <f>IF(D110="","",IFERROR(VLOOKUP(D110,基础资料!$P$5:$R$204,2,FALSE),""))</f>
        <v/>
      </c>
      <c r="F110" t="str">
        <f>IF(D110="","",IFERROR(VLOOKUP(D110,基础资料!$P$5:$R$204,3,FALSE),""))</f>
        <v/>
      </c>
      <c r="G110" s="17"/>
      <c r="H110" s="17"/>
      <c r="I110" s="17" t="str">
        <f t="shared" si="6"/>
        <v/>
      </c>
      <c r="J110" s="17" t="str">
        <f>IF(D110="","",IFERROR(VLOOKUP(D110,基础资料!$P$5:$T$204,5,FALSE),0))</f>
        <v/>
      </c>
      <c r="K110" s="17" t="str">
        <f t="shared" si="7"/>
        <v/>
      </c>
      <c r="L110" s="5" t="str">
        <f>IF(OR(A110="",C110=""),"",A110+IFERROR(VLOOKUP(C110,基础资料!$Y$5:$AA$204,3,FALSE),0))</f>
        <v/>
      </c>
      <c r="P110" t="str">
        <f t="shared" si="8"/>
        <v/>
      </c>
      <c r="Q110" s="17" t="str">
        <f t="shared" si="9"/>
        <v/>
      </c>
    </row>
    <row r="111" spans="1:17">
      <c r="A111" s="5"/>
      <c r="B111" t="str">
        <f t="shared" si="5"/>
        <v/>
      </c>
      <c r="E111" t="str">
        <f>IF(D111="","",IFERROR(VLOOKUP(D111,基础资料!$P$5:$R$204,2,FALSE),""))</f>
        <v/>
      </c>
      <c r="F111" t="str">
        <f>IF(D111="","",IFERROR(VLOOKUP(D111,基础资料!$P$5:$R$204,3,FALSE),""))</f>
        <v/>
      </c>
      <c r="G111" s="17"/>
      <c r="H111" s="17"/>
      <c r="I111" s="17" t="str">
        <f t="shared" si="6"/>
        <v/>
      </c>
      <c r="J111" s="17" t="str">
        <f>IF(D111="","",IFERROR(VLOOKUP(D111,基础资料!$P$5:$T$204,5,FALSE),0))</f>
        <v/>
      </c>
      <c r="K111" s="17" t="str">
        <f t="shared" si="7"/>
        <v/>
      </c>
      <c r="L111" s="5" t="str">
        <f>IF(OR(A111="",C111=""),"",A111+IFERROR(VLOOKUP(C111,基础资料!$Y$5:$AA$204,3,FALSE),0))</f>
        <v/>
      </c>
      <c r="P111" t="str">
        <f t="shared" si="8"/>
        <v/>
      </c>
      <c r="Q111" s="17" t="str">
        <f t="shared" si="9"/>
        <v/>
      </c>
    </row>
    <row r="112" spans="1:17">
      <c r="A112" s="5"/>
      <c r="B112" t="str">
        <f t="shared" si="5"/>
        <v/>
      </c>
      <c r="E112" t="str">
        <f>IF(D112="","",IFERROR(VLOOKUP(D112,基础资料!$P$5:$R$204,2,FALSE),""))</f>
        <v/>
      </c>
      <c r="F112" t="str">
        <f>IF(D112="","",IFERROR(VLOOKUP(D112,基础资料!$P$5:$R$204,3,FALSE),""))</f>
        <v/>
      </c>
      <c r="G112" s="17"/>
      <c r="H112" s="17"/>
      <c r="I112" s="17" t="str">
        <f t="shared" si="6"/>
        <v/>
      </c>
      <c r="J112" s="17" t="str">
        <f>IF(D112="","",IFERROR(VLOOKUP(D112,基础资料!$P$5:$T$204,5,FALSE),0))</f>
        <v/>
      </c>
      <c r="K112" s="17" t="str">
        <f t="shared" si="7"/>
        <v/>
      </c>
      <c r="L112" s="5" t="str">
        <f>IF(OR(A112="",C112=""),"",A112+IFERROR(VLOOKUP(C112,基础资料!$Y$5:$AA$204,3,FALSE),0))</f>
        <v/>
      </c>
      <c r="P112" t="str">
        <f t="shared" si="8"/>
        <v/>
      </c>
      <c r="Q112" s="17" t="str">
        <f t="shared" si="9"/>
        <v/>
      </c>
    </row>
    <row r="113" spans="1:17">
      <c r="A113" s="5"/>
      <c r="B113" t="str">
        <f t="shared" si="5"/>
        <v/>
      </c>
      <c r="E113" t="str">
        <f>IF(D113="","",IFERROR(VLOOKUP(D113,基础资料!$P$5:$R$204,2,FALSE),""))</f>
        <v/>
      </c>
      <c r="F113" t="str">
        <f>IF(D113="","",IFERROR(VLOOKUP(D113,基础资料!$P$5:$R$204,3,FALSE),""))</f>
        <v/>
      </c>
      <c r="G113" s="17"/>
      <c r="H113" s="17"/>
      <c r="I113" s="17" t="str">
        <f t="shared" si="6"/>
        <v/>
      </c>
      <c r="J113" s="17" t="str">
        <f>IF(D113="","",IFERROR(VLOOKUP(D113,基础资料!$P$5:$T$204,5,FALSE),0))</f>
        <v/>
      </c>
      <c r="K113" s="17" t="str">
        <f t="shared" si="7"/>
        <v/>
      </c>
      <c r="L113" s="5" t="str">
        <f>IF(OR(A113="",C113=""),"",A113+IFERROR(VLOOKUP(C113,基础资料!$Y$5:$AA$204,3,FALSE),0))</f>
        <v/>
      </c>
      <c r="P113" t="str">
        <f t="shared" si="8"/>
        <v/>
      </c>
      <c r="Q113" s="17" t="str">
        <f t="shared" si="9"/>
        <v/>
      </c>
    </row>
    <row r="114" spans="1:17">
      <c r="A114" s="5"/>
      <c r="B114" t="str">
        <f t="shared" si="5"/>
        <v/>
      </c>
      <c r="E114" t="str">
        <f>IF(D114="","",IFERROR(VLOOKUP(D114,基础资料!$P$5:$R$204,2,FALSE),""))</f>
        <v/>
      </c>
      <c r="F114" t="str">
        <f>IF(D114="","",IFERROR(VLOOKUP(D114,基础资料!$P$5:$R$204,3,FALSE),""))</f>
        <v/>
      </c>
      <c r="G114" s="17"/>
      <c r="H114" s="17"/>
      <c r="I114" s="17" t="str">
        <f t="shared" si="6"/>
        <v/>
      </c>
      <c r="J114" s="17" t="str">
        <f>IF(D114="","",IFERROR(VLOOKUP(D114,基础资料!$P$5:$T$204,5,FALSE),0))</f>
        <v/>
      </c>
      <c r="K114" s="17" t="str">
        <f t="shared" si="7"/>
        <v/>
      </c>
      <c r="L114" s="5" t="str">
        <f>IF(OR(A114="",C114=""),"",A114+IFERROR(VLOOKUP(C114,基础资料!$Y$5:$AA$204,3,FALSE),0))</f>
        <v/>
      </c>
      <c r="P114" t="str">
        <f t="shared" si="8"/>
        <v/>
      </c>
      <c r="Q114" s="17" t="str">
        <f t="shared" si="9"/>
        <v/>
      </c>
    </row>
    <row r="115" spans="1:17">
      <c r="A115" s="5"/>
      <c r="B115" t="str">
        <f t="shared" si="5"/>
        <v/>
      </c>
      <c r="E115" t="str">
        <f>IF(D115="","",IFERROR(VLOOKUP(D115,基础资料!$P$5:$R$204,2,FALSE),""))</f>
        <v/>
      </c>
      <c r="F115" t="str">
        <f>IF(D115="","",IFERROR(VLOOKUP(D115,基础资料!$P$5:$R$204,3,FALSE),""))</f>
        <v/>
      </c>
      <c r="G115" s="17"/>
      <c r="H115" s="17"/>
      <c r="I115" s="17" t="str">
        <f t="shared" si="6"/>
        <v/>
      </c>
      <c r="J115" s="17" t="str">
        <f>IF(D115="","",IFERROR(VLOOKUP(D115,基础资料!$P$5:$T$204,5,FALSE),0))</f>
        <v/>
      </c>
      <c r="K115" s="17" t="str">
        <f t="shared" si="7"/>
        <v/>
      </c>
      <c r="L115" s="5" t="str">
        <f>IF(OR(A115="",C115=""),"",A115+IFERROR(VLOOKUP(C115,基础资料!$Y$5:$AA$204,3,FALSE),0))</f>
        <v/>
      </c>
      <c r="P115" t="str">
        <f t="shared" si="8"/>
        <v/>
      </c>
      <c r="Q115" s="17" t="str">
        <f t="shared" si="9"/>
        <v/>
      </c>
    </row>
    <row r="116" spans="1:17">
      <c r="A116" s="5"/>
      <c r="B116" t="str">
        <f t="shared" si="5"/>
        <v/>
      </c>
      <c r="E116" t="str">
        <f>IF(D116="","",IFERROR(VLOOKUP(D116,基础资料!$P$5:$R$204,2,FALSE),""))</f>
        <v/>
      </c>
      <c r="F116" t="str">
        <f>IF(D116="","",IFERROR(VLOOKUP(D116,基础资料!$P$5:$R$204,3,FALSE),""))</f>
        <v/>
      </c>
      <c r="G116" s="17"/>
      <c r="H116" s="17"/>
      <c r="I116" s="17" t="str">
        <f t="shared" si="6"/>
        <v/>
      </c>
      <c r="J116" s="17" t="str">
        <f>IF(D116="","",IFERROR(VLOOKUP(D116,基础资料!$P$5:$T$204,5,FALSE),0))</f>
        <v/>
      </c>
      <c r="K116" s="17" t="str">
        <f t="shared" si="7"/>
        <v/>
      </c>
      <c r="L116" s="5" t="str">
        <f>IF(OR(A116="",C116=""),"",A116+IFERROR(VLOOKUP(C116,基础资料!$Y$5:$AA$204,3,FALSE),0))</f>
        <v/>
      </c>
      <c r="P116" t="str">
        <f t="shared" si="8"/>
        <v/>
      </c>
      <c r="Q116" s="17" t="str">
        <f t="shared" si="9"/>
        <v/>
      </c>
    </row>
    <row r="117" spans="1:17">
      <c r="A117" s="5"/>
      <c r="B117" t="str">
        <f t="shared" si="5"/>
        <v/>
      </c>
      <c r="E117" t="str">
        <f>IF(D117="","",IFERROR(VLOOKUP(D117,基础资料!$P$5:$R$204,2,FALSE),""))</f>
        <v/>
      </c>
      <c r="F117" t="str">
        <f>IF(D117="","",IFERROR(VLOOKUP(D117,基础资料!$P$5:$R$204,3,FALSE),""))</f>
        <v/>
      </c>
      <c r="G117" s="17"/>
      <c r="H117" s="17"/>
      <c r="I117" s="17" t="str">
        <f t="shared" si="6"/>
        <v/>
      </c>
      <c r="J117" s="17" t="str">
        <f>IF(D117="","",IFERROR(VLOOKUP(D117,基础资料!$P$5:$T$204,5,FALSE),0))</f>
        <v/>
      </c>
      <c r="K117" s="17" t="str">
        <f t="shared" si="7"/>
        <v/>
      </c>
      <c r="L117" s="5" t="str">
        <f>IF(OR(A117="",C117=""),"",A117+IFERROR(VLOOKUP(C117,基础资料!$Y$5:$AA$204,3,FALSE),0))</f>
        <v/>
      </c>
      <c r="P117" t="str">
        <f t="shared" si="8"/>
        <v/>
      </c>
      <c r="Q117" s="17" t="str">
        <f t="shared" si="9"/>
        <v/>
      </c>
    </row>
    <row r="118" spans="1:17">
      <c r="A118" s="5"/>
      <c r="B118" t="str">
        <f t="shared" si="5"/>
        <v/>
      </c>
      <c r="E118" t="str">
        <f>IF(D118="","",IFERROR(VLOOKUP(D118,基础资料!$P$5:$R$204,2,FALSE),""))</f>
        <v/>
      </c>
      <c r="F118" t="str">
        <f>IF(D118="","",IFERROR(VLOOKUP(D118,基础资料!$P$5:$R$204,3,FALSE),""))</f>
        <v/>
      </c>
      <c r="G118" s="17"/>
      <c r="H118" s="17"/>
      <c r="I118" s="17" t="str">
        <f t="shared" si="6"/>
        <v/>
      </c>
      <c r="J118" s="17" t="str">
        <f>IF(D118="","",IFERROR(VLOOKUP(D118,基础资料!$P$5:$T$204,5,FALSE),0))</f>
        <v/>
      </c>
      <c r="K118" s="17" t="str">
        <f t="shared" si="7"/>
        <v/>
      </c>
      <c r="L118" s="5" t="str">
        <f>IF(OR(A118="",C118=""),"",A118+IFERROR(VLOOKUP(C118,基础资料!$Y$5:$AA$204,3,FALSE),0))</f>
        <v/>
      </c>
      <c r="P118" t="str">
        <f t="shared" si="8"/>
        <v/>
      </c>
      <c r="Q118" s="17" t="str">
        <f t="shared" si="9"/>
        <v/>
      </c>
    </row>
    <row r="119" spans="1:17">
      <c r="A119" s="5"/>
      <c r="B119" t="str">
        <f t="shared" si="5"/>
        <v/>
      </c>
      <c r="E119" t="str">
        <f>IF(D119="","",IFERROR(VLOOKUP(D119,基础资料!$P$5:$R$204,2,FALSE),""))</f>
        <v/>
      </c>
      <c r="F119" t="str">
        <f>IF(D119="","",IFERROR(VLOOKUP(D119,基础资料!$P$5:$R$204,3,FALSE),""))</f>
        <v/>
      </c>
      <c r="G119" s="17"/>
      <c r="H119" s="17"/>
      <c r="I119" s="17" t="str">
        <f t="shared" si="6"/>
        <v/>
      </c>
      <c r="J119" s="17" t="str">
        <f>IF(D119="","",IFERROR(VLOOKUP(D119,基础资料!$P$5:$T$204,5,FALSE),0))</f>
        <v/>
      </c>
      <c r="K119" s="17" t="str">
        <f t="shared" si="7"/>
        <v/>
      </c>
      <c r="L119" s="5" t="str">
        <f>IF(OR(A119="",C119=""),"",A119+IFERROR(VLOOKUP(C119,基础资料!$Y$5:$AA$204,3,FALSE),0))</f>
        <v/>
      </c>
      <c r="P119" t="str">
        <f t="shared" si="8"/>
        <v/>
      </c>
      <c r="Q119" s="17" t="str">
        <f t="shared" si="9"/>
        <v/>
      </c>
    </row>
    <row r="120" spans="1:17">
      <c r="A120" s="5"/>
      <c r="B120" t="str">
        <f t="shared" si="5"/>
        <v/>
      </c>
      <c r="E120" t="str">
        <f>IF(D120="","",IFERROR(VLOOKUP(D120,基础资料!$P$5:$R$204,2,FALSE),""))</f>
        <v/>
      </c>
      <c r="F120" t="str">
        <f>IF(D120="","",IFERROR(VLOOKUP(D120,基础资料!$P$5:$R$204,3,FALSE),""))</f>
        <v/>
      </c>
      <c r="G120" s="17"/>
      <c r="H120" s="17"/>
      <c r="I120" s="17" t="str">
        <f t="shared" si="6"/>
        <v/>
      </c>
      <c r="J120" s="17" t="str">
        <f>IF(D120="","",IFERROR(VLOOKUP(D120,基础资料!$P$5:$T$204,5,FALSE),0))</f>
        <v/>
      </c>
      <c r="K120" s="17" t="str">
        <f t="shared" si="7"/>
        <v/>
      </c>
      <c r="L120" s="5" t="str">
        <f>IF(OR(A120="",C120=""),"",A120+IFERROR(VLOOKUP(C120,基础资料!$Y$5:$AA$204,3,FALSE),0))</f>
        <v/>
      </c>
      <c r="P120" t="str">
        <f t="shared" si="8"/>
        <v/>
      </c>
      <c r="Q120" s="17" t="str">
        <f t="shared" si="9"/>
        <v/>
      </c>
    </row>
    <row r="121" spans="1:17">
      <c r="A121" s="5"/>
      <c r="B121" t="str">
        <f t="shared" si="5"/>
        <v/>
      </c>
      <c r="E121" t="str">
        <f>IF(D121="","",IFERROR(VLOOKUP(D121,基础资料!$P$5:$R$204,2,FALSE),""))</f>
        <v/>
      </c>
      <c r="F121" t="str">
        <f>IF(D121="","",IFERROR(VLOOKUP(D121,基础资料!$P$5:$R$204,3,FALSE),""))</f>
        <v/>
      </c>
      <c r="G121" s="17"/>
      <c r="H121" s="17"/>
      <c r="I121" s="17" t="str">
        <f t="shared" si="6"/>
        <v/>
      </c>
      <c r="J121" s="17" t="str">
        <f>IF(D121="","",IFERROR(VLOOKUP(D121,基础资料!$P$5:$T$204,5,FALSE),0))</f>
        <v/>
      </c>
      <c r="K121" s="17" t="str">
        <f t="shared" si="7"/>
        <v/>
      </c>
      <c r="L121" s="5" t="str">
        <f>IF(OR(A121="",C121=""),"",A121+IFERROR(VLOOKUP(C121,基础资料!$Y$5:$AA$204,3,FALSE),0))</f>
        <v/>
      </c>
      <c r="P121" t="str">
        <f t="shared" si="8"/>
        <v/>
      </c>
      <c r="Q121" s="17" t="str">
        <f t="shared" si="9"/>
        <v/>
      </c>
    </row>
    <row r="122" spans="1:17">
      <c r="A122" s="5"/>
      <c r="B122" t="str">
        <f t="shared" si="5"/>
        <v/>
      </c>
      <c r="E122" t="str">
        <f>IF(D122="","",IFERROR(VLOOKUP(D122,基础资料!$P$5:$R$204,2,FALSE),""))</f>
        <v/>
      </c>
      <c r="F122" t="str">
        <f>IF(D122="","",IFERROR(VLOOKUP(D122,基础资料!$P$5:$R$204,3,FALSE),""))</f>
        <v/>
      </c>
      <c r="G122" s="17"/>
      <c r="H122" s="17"/>
      <c r="I122" s="17" t="str">
        <f t="shared" si="6"/>
        <v/>
      </c>
      <c r="J122" s="17" t="str">
        <f>IF(D122="","",IFERROR(VLOOKUP(D122,基础资料!$P$5:$T$204,5,FALSE),0))</f>
        <v/>
      </c>
      <c r="K122" s="17" t="str">
        <f t="shared" si="7"/>
        <v/>
      </c>
      <c r="L122" s="5" t="str">
        <f>IF(OR(A122="",C122=""),"",A122+IFERROR(VLOOKUP(C122,基础资料!$Y$5:$AA$204,3,FALSE),0))</f>
        <v/>
      </c>
      <c r="P122" t="str">
        <f t="shared" si="8"/>
        <v/>
      </c>
      <c r="Q122" s="17" t="str">
        <f t="shared" si="9"/>
        <v/>
      </c>
    </row>
    <row r="123" spans="1:17">
      <c r="A123" s="5"/>
      <c r="B123" t="str">
        <f t="shared" si="5"/>
        <v/>
      </c>
      <c r="E123" t="str">
        <f>IF(D123="","",IFERROR(VLOOKUP(D123,基础资料!$P$5:$R$204,2,FALSE),""))</f>
        <v/>
      </c>
      <c r="F123" t="str">
        <f>IF(D123="","",IFERROR(VLOOKUP(D123,基础资料!$P$5:$R$204,3,FALSE),""))</f>
        <v/>
      </c>
      <c r="G123" s="17"/>
      <c r="H123" s="17"/>
      <c r="I123" s="17" t="str">
        <f t="shared" si="6"/>
        <v/>
      </c>
      <c r="J123" s="17" t="str">
        <f>IF(D123="","",IFERROR(VLOOKUP(D123,基础资料!$P$5:$T$204,5,FALSE),0))</f>
        <v/>
      </c>
      <c r="K123" s="17" t="str">
        <f t="shared" si="7"/>
        <v/>
      </c>
      <c r="L123" s="5" t="str">
        <f>IF(OR(A123="",C123=""),"",A123+IFERROR(VLOOKUP(C123,基础资料!$Y$5:$AA$204,3,FALSE),0))</f>
        <v/>
      </c>
      <c r="P123" t="str">
        <f t="shared" si="8"/>
        <v/>
      </c>
      <c r="Q123" s="17" t="str">
        <f t="shared" si="9"/>
        <v/>
      </c>
    </row>
    <row r="124" spans="1:17">
      <c r="A124" s="5"/>
      <c r="B124" t="str">
        <f t="shared" si="5"/>
        <v/>
      </c>
      <c r="E124" t="str">
        <f>IF(D124="","",IFERROR(VLOOKUP(D124,基础资料!$P$5:$R$204,2,FALSE),""))</f>
        <v/>
      </c>
      <c r="F124" t="str">
        <f>IF(D124="","",IFERROR(VLOOKUP(D124,基础资料!$P$5:$R$204,3,FALSE),""))</f>
        <v/>
      </c>
      <c r="G124" s="17"/>
      <c r="H124" s="17"/>
      <c r="I124" s="17" t="str">
        <f t="shared" si="6"/>
        <v/>
      </c>
      <c r="J124" s="17" t="str">
        <f>IF(D124="","",IFERROR(VLOOKUP(D124,基础资料!$P$5:$T$204,5,FALSE),0))</f>
        <v/>
      </c>
      <c r="K124" s="17" t="str">
        <f t="shared" si="7"/>
        <v/>
      </c>
      <c r="L124" s="5" t="str">
        <f>IF(OR(A124="",C124=""),"",A124+IFERROR(VLOOKUP(C124,基础资料!$Y$5:$AA$204,3,FALSE),0))</f>
        <v/>
      </c>
      <c r="P124" t="str">
        <f t="shared" si="8"/>
        <v/>
      </c>
      <c r="Q124" s="17" t="str">
        <f t="shared" si="9"/>
        <v/>
      </c>
    </row>
    <row r="125" spans="1:17">
      <c r="A125" s="5"/>
      <c r="B125" t="str">
        <f t="shared" si="5"/>
        <v/>
      </c>
      <c r="E125" t="str">
        <f>IF(D125="","",IFERROR(VLOOKUP(D125,基础资料!$P$5:$R$204,2,FALSE),""))</f>
        <v/>
      </c>
      <c r="F125" t="str">
        <f>IF(D125="","",IFERROR(VLOOKUP(D125,基础资料!$P$5:$R$204,3,FALSE),""))</f>
        <v/>
      </c>
      <c r="G125" s="17"/>
      <c r="H125" s="17"/>
      <c r="I125" s="17" t="str">
        <f t="shared" si="6"/>
        <v/>
      </c>
      <c r="J125" s="17" t="str">
        <f>IF(D125="","",IFERROR(VLOOKUP(D125,基础资料!$P$5:$T$204,5,FALSE),0))</f>
        <v/>
      </c>
      <c r="K125" s="17" t="str">
        <f t="shared" si="7"/>
        <v/>
      </c>
      <c r="L125" s="5" t="str">
        <f>IF(OR(A125="",C125=""),"",A125+IFERROR(VLOOKUP(C125,基础资料!$Y$5:$AA$204,3,FALSE),0))</f>
        <v/>
      </c>
      <c r="P125" t="str">
        <f t="shared" si="8"/>
        <v/>
      </c>
      <c r="Q125" s="17" t="str">
        <f t="shared" si="9"/>
        <v/>
      </c>
    </row>
    <row r="126" spans="1:17">
      <c r="A126" s="5"/>
      <c r="B126" t="str">
        <f t="shared" si="5"/>
        <v/>
      </c>
      <c r="E126" t="str">
        <f>IF(D126="","",IFERROR(VLOOKUP(D126,基础资料!$P$5:$R$204,2,FALSE),""))</f>
        <v/>
      </c>
      <c r="F126" t="str">
        <f>IF(D126="","",IFERROR(VLOOKUP(D126,基础资料!$P$5:$R$204,3,FALSE),""))</f>
        <v/>
      </c>
      <c r="G126" s="17"/>
      <c r="H126" s="17"/>
      <c r="I126" s="17" t="str">
        <f t="shared" si="6"/>
        <v/>
      </c>
      <c r="J126" s="17" t="str">
        <f>IF(D126="","",IFERROR(VLOOKUP(D126,基础资料!$P$5:$T$204,5,FALSE),0))</f>
        <v/>
      </c>
      <c r="K126" s="17" t="str">
        <f t="shared" si="7"/>
        <v/>
      </c>
      <c r="L126" s="5" t="str">
        <f>IF(OR(A126="",C126=""),"",A126+IFERROR(VLOOKUP(C126,基础资料!$Y$5:$AA$204,3,FALSE),0))</f>
        <v/>
      </c>
      <c r="P126" t="str">
        <f t="shared" si="8"/>
        <v/>
      </c>
      <c r="Q126" s="17" t="str">
        <f t="shared" si="9"/>
        <v/>
      </c>
    </row>
    <row r="127" spans="1:17">
      <c r="A127" s="5"/>
      <c r="B127" t="str">
        <f t="shared" si="5"/>
        <v/>
      </c>
      <c r="E127" t="str">
        <f>IF(D127="","",IFERROR(VLOOKUP(D127,基础资料!$P$5:$R$204,2,FALSE),""))</f>
        <v/>
      </c>
      <c r="F127" t="str">
        <f>IF(D127="","",IFERROR(VLOOKUP(D127,基础资料!$P$5:$R$204,3,FALSE),""))</f>
        <v/>
      </c>
      <c r="G127" s="17"/>
      <c r="H127" s="17"/>
      <c r="I127" s="17" t="str">
        <f t="shared" si="6"/>
        <v/>
      </c>
      <c r="J127" s="17" t="str">
        <f>IF(D127="","",IFERROR(VLOOKUP(D127,基础资料!$P$5:$T$204,5,FALSE),0))</f>
        <v/>
      </c>
      <c r="K127" s="17" t="str">
        <f t="shared" si="7"/>
        <v/>
      </c>
      <c r="L127" s="5" t="str">
        <f>IF(OR(A127="",C127=""),"",A127+IFERROR(VLOOKUP(C127,基础资料!$Y$5:$AA$204,3,FALSE),0))</f>
        <v/>
      </c>
      <c r="P127" t="str">
        <f t="shared" si="8"/>
        <v/>
      </c>
      <c r="Q127" s="17" t="str">
        <f t="shared" si="9"/>
        <v/>
      </c>
    </row>
    <row r="128" spans="1:17">
      <c r="A128" s="5"/>
      <c r="B128" t="str">
        <f t="shared" si="5"/>
        <v/>
      </c>
      <c r="E128" t="str">
        <f>IF(D128="","",IFERROR(VLOOKUP(D128,基础资料!$P$5:$R$204,2,FALSE),""))</f>
        <v/>
      </c>
      <c r="F128" t="str">
        <f>IF(D128="","",IFERROR(VLOOKUP(D128,基础资料!$P$5:$R$204,3,FALSE),""))</f>
        <v/>
      </c>
      <c r="G128" s="17"/>
      <c r="H128" s="17"/>
      <c r="I128" s="17" t="str">
        <f t="shared" si="6"/>
        <v/>
      </c>
      <c r="J128" s="17" t="str">
        <f>IF(D128="","",IFERROR(VLOOKUP(D128,基础资料!$P$5:$T$204,5,FALSE),0))</f>
        <v/>
      </c>
      <c r="K128" s="17" t="str">
        <f t="shared" si="7"/>
        <v/>
      </c>
      <c r="L128" s="5" t="str">
        <f>IF(OR(A128="",C128=""),"",A128+IFERROR(VLOOKUP(C128,基础资料!$Y$5:$AA$204,3,FALSE),0))</f>
        <v/>
      </c>
      <c r="P128" t="str">
        <f t="shared" si="8"/>
        <v/>
      </c>
      <c r="Q128" s="17" t="str">
        <f t="shared" si="9"/>
        <v/>
      </c>
    </row>
    <row r="129" spans="1:17">
      <c r="A129" s="5"/>
      <c r="B129" t="str">
        <f t="shared" si="5"/>
        <v/>
      </c>
      <c r="E129" t="str">
        <f>IF(D129="","",IFERROR(VLOOKUP(D129,基础资料!$P$5:$R$204,2,FALSE),""))</f>
        <v/>
      </c>
      <c r="F129" t="str">
        <f>IF(D129="","",IFERROR(VLOOKUP(D129,基础资料!$P$5:$R$204,3,FALSE),""))</f>
        <v/>
      </c>
      <c r="G129" s="17"/>
      <c r="H129" s="17"/>
      <c r="I129" s="17" t="str">
        <f t="shared" si="6"/>
        <v/>
      </c>
      <c r="J129" s="17" t="str">
        <f>IF(D129="","",IFERROR(VLOOKUP(D129,基础资料!$P$5:$T$204,5,FALSE),0))</f>
        <v/>
      </c>
      <c r="K129" s="17" t="str">
        <f t="shared" si="7"/>
        <v/>
      </c>
      <c r="L129" s="5" t="str">
        <f>IF(OR(A129="",C129=""),"",A129+IFERROR(VLOOKUP(C129,基础资料!$Y$5:$AA$204,3,FALSE),0))</f>
        <v/>
      </c>
      <c r="P129" t="str">
        <f t="shared" si="8"/>
        <v/>
      </c>
      <c r="Q129" s="17" t="str">
        <f t="shared" si="9"/>
        <v/>
      </c>
    </row>
    <row r="130" spans="1:17">
      <c r="A130" s="5"/>
      <c r="B130" t="str">
        <f t="shared" si="5"/>
        <v/>
      </c>
      <c r="E130" t="str">
        <f>IF(D130="","",IFERROR(VLOOKUP(D130,基础资料!$P$5:$R$204,2,FALSE),""))</f>
        <v/>
      </c>
      <c r="F130" t="str">
        <f>IF(D130="","",IFERROR(VLOOKUP(D130,基础资料!$P$5:$R$204,3,FALSE),""))</f>
        <v/>
      </c>
      <c r="G130" s="17"/>
      <c r="H130" s="17"/>
      <c r="I130" s="17" t="str">
        <f t="shared" si="6"/>
        <v/>
      </c>
      <c r="J130" s="17" t="str">
        <f>IF(D130="","",IFERROR(VLOOKUP(D130,基础资料!$P$5:$T$204,5,FALSE),0))</f>
        <v/>
      </c>
      <c r="K130" s="17" t="str">
        <f t="shared" si="7"/>
        <v/>
      </c>
      <c r="L130" s="5" t="str">
        <f>IF(OR(A130="",C130=""),"",A130+IFERROR(VLOOKUP(C130,基础资料!$Y$5:$AA$204,3,FALSE),0))</f>
        <v/>
      </c>
      <c r="P130" t="str">
        <f t="shared" si="8"/>
        <v/>
      </c>
      <c r="Q130" s="17" t="str">
        <f t="shared" si="9"/>
        <v/>
      </c>
    </row>
    <row r="131" spans="1:17">
      <c r="A131" s="5"/>
      <c r="B131" t="str">
        <f t="shared" si="5"/>
        <v/>
      </c>
      <c r="E131" t="str">
        <f>IF(D131="","",IFERROR(VLOOKUP(D131,基础资料!$P$5:$R$204,2,FALSE),""))</f>
        <v/>
      </c>
      <c r="F131" t="str">
        <f>IF(D131="","",IFERROR(VLOOKUP(D131,基础资料!$P$5:$R$204,3,FALSE),""))</f>
        <v/>
      </c>
      <c r="G131" s="17"/>
      <c r="H131" s="17"/>
      <c r="I131" s="17" t="str">
        <f t="shared" si="6"/>
        <v/>
      </c>
      <c r="J131" s="17" t="str">
        <f>IF(D131="","",IFERROR(VLOOKUP(D131,基础资料!$P$5:$T$204,5,FALSE),0))</f>
        <v/>
      </c>
      <c r="K131" s="17" t="str">
        <f t="shared" si="7"/>
        <v/>
      </c>
      <c r="L131" s="5" t="str">
        <f>IF(OR(A131="",C131=""),"",A131+IFERROR(VLOOKUP(C131,基础资料!$Y$5:$AA$204,3,FALSE),0))</f>
        <v/>
      </c>
      <c r="P131" t="str">
        <f t="shared" si="8"/>
        <v/>
      </c>
      <c r="Q131" s="17" t="str">
        <f t="shared" si="9"/>
        <v/>
      </c>
    </row>
    <row r="132" spans="1:17">
      <c r="A132" s="5"/>
      <c r="B132" t="str">
        <f t="shared" ref="B132:B195" si="10">IF(A132="","",TEXT(A132,"yyyy-mm"))</f>
        <v/>
      </c>
      <c r="E132" t="str">
        <f>IF(D132="","",IFERROR(VLOOKUP(D132,基础资料!$P$5:$R$204,2,FALSE),""))</f>
        <v/>
      </c>
      <c r="F132" t="str">
        <f>IF(D132="","",IFERROR(VLOOKUP(D132,基础资料!$P$5:$R$204,3,FALSE),""))</f>
        <v/>
      </c>
      <c r="G132" s="17"/>
      <c r="H132" s="17"/>
      <c r="I132" s="17" t="str">
        <f t="shared" ref="I132:I195" si="11">IF(OR(G132="",H132=""),"",G132*H132)</f>
        <v/>
      </c>
      <c r="J132" s="17" t="str">
        <f>IF(D132="","",IFERROR(VLOOKUP(D132,基础资料!$P$5:$T$204,5,FALSE),0))</f>
        <v/>
      </c>
      <c r="K132" s="17" t="str">
        <f t="shared" ref="K132:K195" si="12">IF(OR(G132="",J132=""),"",G132*J132)</f>
        <v/>
      </c>
      <c r="L132" s="5" t="str">
        <f>IF(OR(A132="",C132=""),"",A132+IFERROR(VLOOKUP(C132,基础资料!$Y$5:$AA$204,3,FALSE),0))</f>
        <v/>
      </c>
      <c r="P132" t="str">
        <f t="shared" ref="P132:P195" si="13">IF(A132="","","可录入")</f>
        <v/>
      </c>
      <c r="Q132" s="17" t="str">
        <f t="shared" ref="Q132:Q195" si="14">IF(I132="","",I132-K132)</f>
        <v/>
      </c>
    </row>
    <row r="133" spans="1:17">
      <c r="A133" s="5"/>
      <c r="B133" t="str">
        <f t="shared" si="10"/>
        <v/>
      </c>
      <c r="E133" t="str">
        <f>IF(D133="","",IFERROR(VLOOKUP(D133,基础资料!$P$5:$R$204,2,FALSE),""))</f>
        <v/>
      </c>
      <c r="F133" t="str">
        <f>IF(D133="","",IFERROR(VLOOKUP(D133,基础资料!$P$5:$R$204,3,FALSE),""))</f>
        <v/>
      </c>
      <c r="G133" s="17"/>
      <c r="H133" s="17"/>
      <c r="I133" s="17" t="str">
        <f t="shared" si="11"/>
        <v/>
      </c>
      <c r="J133" s="17" t="str">
        <f>IF(D133="","",IFERROR(VLOOKUP(D133,基础资料!$P$5:$T$204,5,FALSE),0))</f>
        <v/>
      </c>
      <c r="K133" s="17" t="str">
        <f t="shared" si="12"/>
        <v/>
      </c>
      <c r="L133" s="5" t="str">
        <f>IF(OR(A133="",C133=""),"",A133+IFERROR(VLOOKUP(C133,基础资料!$Y$5:$AA$204,3,FALSE),0))</f>
        <v/>
      </c>
      <c r="P133" t="str">
        <f t="shared" si="13"/>
        <v/>
      </c>
      <c r="Q133" s="17" t="str">
        <f t="shared" si="14"/>
        <v/>
      </c>
    </row>
    <row r="134" spans="1:17">
      <c r="A134" s="5"/>
      <c r="B134" t="str">
        <f t="shared" si="10"/>
        <v/>
      </c>
      <c r="E134" t="str">
        <f>IF(D134="","",IFERROR(VLOOKUP(D134,基础资料!$P$5:$R$204,2,FALSE),""))</f>
        <v/>
      </c>
      <c r="F134" t="str">
        <f>IF(D134="","",IFERROR(VLOOKUP(D134,基础资料!$P$5:$R$204,3,FALSE),""))</f>
        <v/>
      </c>
      <c r="G134" s="17"/>
      <c r="H134" s="17"/>
      <c r="I134" s="17" t="str">
        <f t="shared" si="11"/>
        <v/>
      </c>
      <c r="J134" s="17" t="str">
        <f>IF(D134="","",IFERROR(VLOOKUP(D134,基础资料!$P$5:$T$204,5,FALSE),0))</f>
        <v/>
      </c>
      <c r="K134" s="17" t="str">
        <f t="shared" si="12"/>
        <v/>
      </c>
      <c r="L134" s="5" t="str">
        <f>IF(OR(A134="",C134=""),"",A134+IFERROR(VLOOKUP(C134,基础资料!$Y$5:$AA$204,3,FALSE),0))</f>
        <v/>
      </c>
      <c r="P134" t="str">
        <f t="shared" si="13"/>
        <v/>
      </c>
      <c r="Q134" s="17" t="str">
        <f t="shared" si="14"/>
        <v/>
      </c>
    </row>
    <row r="135" spans="1:17">
      <c r="A135" s="5"/>
      <c r="B135" t="str">
        <f t="shared" si="10"/>
        <v/>
      </c>
      <c r="E135" t="str">
        <f>IF(D135="","",IFERROR(VLOOKUP(D135,基础资料!$P$5:$R$204,2,FALSE),""))</f>
        <v/>
      </c>
      <c r="F135" t="str">
        <f>IF(D135="","",IFERROR(VLOOKUP(D135,基础资料!$P$5:$R$204,3,FALSE),""))</f>
        <v/>
      </c>
      <c r="G135" s="17"/>
      <c r="H135" s="17"/>
      <c r="I135" s="17" t="str">
        <f t="shared" si="11"/>
        <v/>
      </c>
      <c r="J135" s="17" t="str">
        <f>IF(D135="","",IFERROR(VLOOKUP(D135,基础资料!$P$5:$T$204,5,FALSE),0))</f>
        <v/>
      </c>
      <c r="K135" s="17" t="str">
        <f t="shared" si="12"/>
        <v/>
      </c>
      <c r="L135" s="5" t="str">
        <f>IF(OR(A135="",C135=""),"",A135+IFERROR(VLOOKUP(C135,基础资料!$Y$5:$AA$204,3,FALSE),0))</f>
        <v/>
      </c>
      <c r="P135" t="str">
        <f t="shared" si="13"/>
        <v/>
      </c>
      <c r="Q135" s="17" t="str">
        <f t="shared" si="14"/>
        <v/>
      </c>
    </row>
    <row r="136" spans="1:17">
      <c r="A136" s="5"/>
      <c r="B136" t="str">
        <f t="shared" si="10"/>
        <v/>
      </c>
      <c r="E136" t="str">
        <f>IF(D136="","",IFERROR(VLOOKUP(D136,基础资料!$P$5:$R$204,2,FALSE),""))</f>
        <v/>
      </c>
      <c r="F136" t="str">
        <f>IF(D136="","",IFERROR(VLOOKUP(D136,基础资料!$P$5:$R$204,3,FALSE),""))</f>
        <v/>
      </c>
      <c r="G136" s="17"/>
      <c r="H136" s="17"/>
      <c r="I136" s="17" t="str">
        <f t="shared" si="11"/>
        <v/>
      </c>
      <c r="J136" s="17" t="str">
        <f>IF(D136="","",IFERROR(VLOOKUP(D136,基础资料!$P$5:$T$204,5,FALSE),0))</f>
        <v/>
      </c>
      <c r="K136" s="17" t="str">
        <f t="shared" si="12"/>
        <v/>
      </c>
      <c r="L136" s="5" t="str">
        <f>IF(OR(A136="",C136=""),"",A136+IFERROR(VLOOKUP(C136,基础资料!$Y$5:$AA$204,3,FALSE),0))</f>
        <v/>
      </c>
      <c r="P136" t="str">
        <f t="shared" si="13"/>
        <v/>
      </c>
      <c r="Q136" s="17" t="str">
        <f t="shared" si="14"/>
        <v/>
      </c>
    </row>
    <row r="137" spans="1:17">
      <c r="A137" s="5"/>
      <c r="B137" t="str">
        <f t="shared" si="10"/>
        <v/>
      </c>
      <c r="E137" t="str">
        <f>IF(D137="","",IFERROR(VLOOKUP(D137,基础资料!$P$5:$R$204,2,FALSE),""))</f>
        <v/>
      </c>
      <c r="F137" t="str">
        <f>IF(D137="","",IFERROR(VLOOKUP(D137,基础资料!$P$5:$R$204,3,FALSE),""))</f>
        <v/>
      </c>
      <c r="G137" s="17"/>
      <c r="H137" s="17"/>
      <c r="I137" s="17" t="str">
        <f t="shared" si="11"/>
        <v/>
      </c>
      <c r="J137" s="17" t="str">
        <f>IF(D137="","",IFERROR(VLOOKUP(D137,基础资料!$P$5:$T$204,5,FALSE),0))</f>
        <v/>
      </c>
      <c r="K137" s="17" t="str">
        <f t="shared" si="12"/>
        <v/>
      </c>
      <c r="L137" s="5" t="str">
        <f>IF(OR(A137="",C137=""),"",A137+IFERROR(VLOOKUP(C137,基础资料!$Y$5:$AA$204,3,FALSE),0))</f>
        <v/>
      </c>
      <c r="P137" t="str">
        <f t="shared" si="13"/>
        <v/>
      </c>
      <c r="Q137" s="17" t="str">
        <f t="shared" si="14"/>
        <v/>
      </c>
    </row>
    <row r="138" spans="1:17">
      <c r="A138" s="5"/>
      <c r="B138" t="str">
        <f t="shared" si="10"/>
        <v/>
      </c>
      <c r="E138" t="str">
        <f>IF(D138="","",IFERROR(VLOOKUP(D138,基础资料!$P$5:$R$204,2,FALSE),""))</f>
        <v/>
      </c>
      <c r="F138" t="str">
        <f>IF(D138="","",IFERROR(VLOOKUP(D138,基础资料!$P$5:$R$204,3,FALSE),""))</f>
        <v/>
      </c>
      <c r="G138" s="17"/>
      <c r="H138" s="17"/>
      <c r="I138" s="17" t="str">
        <f t="shared" si="11"/>
        <v/>
      </c>
      <c r="J138" s="17" t="str">
        <f>IF(D138="","",IFERROR(VLOOKUP(D138,基础资料!$P$5:$T$204,5,FALSE),0))</f>
        <v/>
      </c>
      <c r="K138" s="17" t="str">
        <f t="shared" si="12"/>
        <v/>
      </c>
      <c r="L138" s="5" t="str">
        <f>IF(OR(A138="",C138=""),"",A138+IFERROR(VLOOKUP(C138,基础资料!$Y$5:$AA$204,3,FALSE),0))</f>
        <v/>
      </c>
      <c r="P138" t="str">
        <f t="shared" si="13"/>
        <v/>
      </c>
      <c r="Q138" s="17" t="str">
        <f t="shared" si="14"/>
        <v/>
      </c>
    </row>
    <row r="139" spans="1:17">
      <c r="A139" s="5"/>
      <c r="B139" t="str">
        <f t="shared" si="10"/>
        <v/>
      </c>
      <c r="E139" t="str">
        <f>IF(D139="","",IFERROR(VLOOKUP(D139,基础资料!$P$5:$R$204,2,FALSE),""))</f>
        <v/>
      </c>
      <c r="F139" t="str">
        <f>IF(D139="","",IFERROR(VLOOKUP(D139,基础资料!$P$5:$R$204,3,FALSE),""))</f>
        <v/>
      </c>
      <c r="G139" s="17"/>
      <c r="H139" s="17"/>
      <c r="I139" s="17" t="str">
        <f t="shared" si="11"/>
        <v/>
      </c>
      <c r="J139" s="17" t="str">
        <f>IF(D139="","",IFERROR(VLOOKUP(D139,基础资料!$P$5:$T$204,5,FALSE),0))</f>
        <v/>
      </c>
      <c r="K139" s="17" t="str">
        <f t="shared" si="12"/>
        <v/>
      </c>
      <c r="L139" s="5" t="str">
        <f>IF(OR(A139="",C139=""),"",A139+IFERROR(VLOOKUP(C139,基础资料!$Y$5:$AA$204,3,FALSE),0))</f>
        <v/>
      </c>
      <c r="P139" t="str">
        <f t="shared" si="13"/>
        <v/>
      </c>
      <c r="Q139" s="17" t="str">
        <f t="shared" si="14"/>
        <v/>
      </c>
    </row>
    <row r="140" spans="1:17">
      <c r="A140" s="5"/>
      <c r="B140" t="str">
        <f t="shared" si="10"/>
        <v/>
      </c>
      <c r="E140" t="str">
        <f>IF(D140="","",IFERROR(VLOOKUP(D140,基础资料!$P$5:$R$204,2,FALSE),""))</f>
        <v/>
      </c>
      <c r="F140" t="str">
        <f>IF(D140="","",IFERROR(VLOOKUP(D140,基础资料!$P$5:$R$204,3,FALSE),""))</f>
        <v/>
      </c>
      <c r="G140" s="17"/>
      <c r="H140" s="17"/>
      <c r="I140" s="17" t="str">
        <f t="shared" si="11"/>
        <v/>
      </c>
      <c r="J140" s="17" t="str">
        <f>IF(D140="","",IFERROR(VLOOKUP(D140,基础资料!$P$5:$T$204,5,FALSE),0))</f>
        <v/>
      </c>
      <c r="K140" s="17" t="str">
        <f t="shared" si="12"/>
        <v/>
      </c>
      <c r="L140" s="5" t="str">
        <f>IF(OR(A140="",C140=""),"",A140+IFERROR(VLOOKUP(C140,基础资料!$Y$5:$AA$204,3,FALSE),0))</f>
        <v/>
      </c>
      <c r="P140" t="str">
        <f t="shared" si="13"/>
        <v/>
      </c>
      <c r="Q140" s="17" t="str">
        <f t="shared" si="14"/>
        <v/>
      </c>
    </row>
    <row r="141" spans="1:17">
      <c r="A141" s="5"/>
      <c r="B141" t="str">
        <f t="shared" si="10"/>
        <v/>
      </c>
      <c r="E141" t="str">
        <f>IF(D141="","",IFERROR(VLOOKUP(D141,基础资料!$P$5:$R$204,2,FALSE),""))</f>
        <v/>
      </c>
      <c r="F141" t="str">
        <f>IF(D141="","",IFERROR(VLOOKUP(D141,基础资料!$P$5:$R$204,3,FALSE),""))</f>
        <v/>
      </c>
      <c r="G141" s="17"/>
      <c r="H141" s="17"/>
      <c r="I141" s="17" t="str">
        <f t="shared" si="11"/>
        <v/>
      </c>
      <c r="J141" s="17" t="str">
        <f>IF(D141="","",IFERROR(VLOOKUP(D141,基础资料!$P$5:$T$204,5,FALSE),0))</f>
        <v/>
      </c>
      <c r="K141" s="17" t="str">
        <f t="shared" si="12"/>
        <v/>
      </c>
      <c r="L141" s="5" t="str">
        <f>IF(OR(A141="",C141=""),"",A141+IFERROR(VLOOKUP(C141,基础资料!$Y$5:$AA$204,3,FALSE),0))</f>
        <v/>
      </c>
      <c r="P141" t="str">
        <f t="shared" si="13"/>
        <v/>
      </c>
      <c r="Q141" s="17" t="str">
        <f t="shared" si="14"/>
        <v/>
      </c>
    </row>
    <row r="142" spans="1:17">
      <c r="A142" s="5"/>
      <c r="B142" t="str">
        <f t="shared" si="10"/>
        <v/>
      </c>
      <c r="E142" t="str">
        <f>IF(D142="","",IFERROR(VLOOKUP(D142,基础资料!$P$5:$R$204,2,FALSE),""))</f>
        <v/>
      </c>
      <c r="F142" t="str">
        <f>IF(D142="","",IFERROR(VLOOKUP(D142,基础资料!$P$5:$R$204,3,FALSE),""))</f>
        <v/>
      </c>
      <c r="G142" s="17"/>
      <c r="H142" s="17"/>
      <c r="I142" s="17" t="str">
        <f t="shared" si="11"/>
        <v/>
      </c>
      <c r="J142" s="17" t="str">
        <f>IF(D142="","",IFERROR(VLOOKUP(D142,基础资料!$P$5:$T$204,5,FALSE),0))</f>
        <v/>
      </c>
      <c r="K142" s="17" t="str">
        <f t="shared" si="12"/>
        <v/>
      </c>
      <c r="L142" s="5" t="str">
        <f>IF(OR(A142="",C142=""),"",A142+IFERROR(VLOOKUP(C142,基础资料!$Y$5:$AA$204,3,FALSE),0))</f>
        <v/>
      </c>
      <c r="P142" t="str">
        <f t="shared" si="13"/>
        <v/>
      </c>
      <c r="Q142" s="17" t="str">
        <f t="shared" si="14"/>
        <v/>
      </c>
    </row>
    <row r="143" spans="1:17">
      <c r="A143" s="5"/>
      <c r="B143" t="str">
        <f t="shared" si="10"/>
        <v/>
      </c>
      <c r="E143" t="str">
        <f>IF(D143="","",IFERROR(VLOOKUP(D143,基础资料!$P$5:$R$204,2,FALSE),""))</f>
        <v/>
      </c>
      <c r="F143" t="str">
        <f>IF(D143="","",IFERROR(VLOOKUP(D143,基础资料!$P$5:$R$204,3,FALSE),""))</f>
        <v/>
      </c>
      <c r="G143" s="17"/>
      <c r="H143" s="17"/>
      <c r="I143" s="17" t="str">
        <f t="shared" si="11"/>
        <v/>
      </c>
      <c r="J143" s="17" t="str">
        <f>IF(D143="","",IFERROR(VLOOKUP(D143,基础资料!$P$5:$T$204,5,FALSE),0))</f>
        <v/>
      </c>
      <c r="K143" s="17" t="str">
        <f t="shared" si="12"/>
        <v/>
      </c>
      <c r="L143" s="5" t="str">
        <f>IF(OR(A143="",C143=""),"",A143+IFERROR(VLOOKUP(C143,基础资料!$Y$5:$AA$204,3,FALSE),0))</f>
        <v/>
      </c>
      <c r="P143" t="str">
        <f t="shared" si="13"/>
        <v/>
      </c>
      <c r="Q143" s="17" t="str">
        <f t="shared" si="14"/>
        <v/>
      </c>
    </row>
    <row r="144" spans="1:17">
      <c r="A144" s="5"/>
      <c r="B144" t="str">
        <f t="shared" si="10"/>
        <v/>
      </c>
      <c r="E144" t="str">
        <f>IF(D144="","",IFERROR(VLOOKUP(D144,基础资料!$P$5:$R$204,2,FALSE),""))</f>
        <v/>
      </c>
      <c r="F144" t="str">
        <f>IF(D144="","",IFERROR(VLOOKUP(D144,基础资料!$P$5:$R$204,3,FALSE),""))</f>
        <v/>
      </c>
      <c r="G144" s="17"/>
      <c r="H144" s="17"/>
      <c r="I144" s="17" t="str">
        <f t="shared" si="11"/>
        <v/>
      </c>
      <c r="J144" s="17" t="str">
        <f>IF(D144="","",IFERROR(VLOOKUP(D144,基础资料!$P$5:$T$204,5,FALSE),0))</f>
        <v/>
      </c>
      <c r="K144" s="17" t="str">
        <f t="shared" si="12"/>
        <v/>
      </c>
      <c r="L144" s="5" t="str">
        <f>IF(OR(A144="",C144=""),"",A144+IFERROR(VLOOKUP(C144,基础资料!$Y$5:$AA$204,3,FALSE),0))</f>
        <v/>
      </c>
      <c r="P144" t="str">
        <f t="shared" si="13"/>
        <v/>
      </c>
      <c r="Q144" s="17" t="str">
        <f t="shared" si="14"/>
        <v/>
      </c>
    </row>
    <row r="145" spans="1:17">
      <c r="A145" s="5"/>
      <c r="B145" t="str">
        <f t="shared" si="10"/>
        <v/>
      </c>
      <c r="E145" t="str">
        <f>IF(D145="","",IFERROR(VLOOKUP(D145,基础资料!$P$5:$R$204,2,FALSE),""))</f>
        <v/>
      </c>
      <c r="F145" t="str">
        <f>IF(D145="","",IFERROR(VLOOKUP(D145,基础资料!$P$5:$R$204,3,FALSE),""))</f>
        <v/>
      </c>
      <c r="G145" s="17"/>
      <c r="H145" s="17"/>
      <c r="I145" s="17" t="str">
        <f t="shared" si="11"/>
        <v/>
      </c>
      <c r="J145" s="17" t="str">
        <f>IF(D145="","",IFERROR(VLOOKUP(D145,基础资料!$P$5:$T$204,5,FALSE),0))</f>
        <v/>
      </c>
      <c r="K145" s="17" t="str">
        <f t="shared" si="12"/>
        <v/>
      </c>
      <c r="L145" s="5" t="str">
        <f>IF(OR(A145="",C145=""),"",A145+IFERROR(VLOOKUP(C145,基础资料!$Y$5:$AA$204,3,FALSE),0))</f>
        <v/>
      </c>
      <c r="P145" t="str">
        <f t="shared" si="13"/>
        <v/>
      </c>
      <c r="Q145" s="17" t="str">
        <f t="shared" si="14"/>
        <v/>
      </c>
    </row>
    <row r="146" spans="1:17">
      <c r="A146" s="5"/>
      <c r="B146" t="str">
        <f t="shared" si="10"/>
        <v/>
      </c>
      <c r="E146" t="str">
        <f>IF(D146="","",IFERROR(VLOOKUP(D146,基础资料!$P$5:$R$204,2,FALSE),""))</f>
        <v/>
      </c>
      <c r="F146" t="str">
        <f>IF(D146="","",IFERROR(VLOOKUP(D146,基础资料!$P$5:$R$204,3,FALSE),""))</f>
        <v/>
      </c>
      <c r="G146" s="17"/>
      <c r="H146" s="17"/>
      <c r="I146" s="17" t="str">
        <f t="shared" si="11"/>
        <v/>
      </c>
      <c r="J146" s="17" t="str">
        <f>IF(D146="","",IFERROR(VLOOKUP(D146,基础资料!$P$5:$T$204,5,FALSE),0))</f>
        <v/>
      </c>
      <c r="K146" s="17" t="str">
        <f t="shared" si="12"/>
        <v/>
      </c>
      <c r="L146" s="5" t="str">
        <f>IF(OR(A146="",C146=""),"",A146+IFERROR(VLOOKUP(C146,基础资料!$Y$5:$AA$204,3,FALSE),0))</f>
        <v/>
      </c>
      <c r="P146" t="str">
        <f t="shared" si="13"/>
        <v/>
      </c>
      <c r="Q146" s="17" t="str">
        <f t="shared" si="14"/>
        <v/>
      </c>
    </row>
    <row r="147" spans="1:17">
      <c r="A147" s="5"/>
      <c r="B147" t="str">
        <f t="shared" si="10"/>
        <v/>
      </c>
      <c r="E147" t="str">
        <f>IF(D147="","",IFERROR(VLOOKUP(D147,基础资料!$P$5:$R$204,2,FALSE),""))</f>
        <v/>
      </c>
      <c r="F147" t="str">
        <f>IF(D147="","",IFERROR(VLOOKUP(D147,基础资料!$P$5:$R$204,3,FALSE),""))</f>
        <v/>
      </c>
      <c r="G147" s="17"/>
      <c r="H147" s="17"/>
      <c r="I147" s="17" t="str">
        <f t="shared" si="11"/>
        <v/>
      </c>
      <c r="J147" s="17" t="str">
        <f>IF(D147="","",IFERROR(VLOOKUP(D147,基础资料!$P$5:$T$204,5,FALSE),0))</f>
        <v/>
      </c>
      <c r="K147" s="17" t="str">
        <f t="shared" si="12"/>
        <v/>
      </c>
      <c r="L147" s="5" t="str">
        <f>IF(OR(A147="",C147=""),"",A147+IFERROR(VLOOKUP(C147,基础资料!$Y$5:$AA$204,3,FALSE),0))</f>
        <v/>
      </c>
      <c r="P147" t="str">
        <f t="shared" si="13"/>
        <v/>
      </c>
      <c r="Q147" s="17" t="str">
        <f t="shared" si="14"/>
        <v/>
      </c>
    </row>
    <row r="148" spans="1:17">
      <c r="A148" s="5"/>
      <c r="B148" t="str">
        <f t="shared" si="10"/>
        <v/>
      </c>
      <c r="E148" t="str">
        <f>IF(D148="","",IFERROR(VLOOKUP(D148,基础资料!$P$5:$R$204,2,FALSE),""))</f>
        <v/>
      </c>
      <c r="F148" t="str">
        <f>IF(D148="","",IFERROR(VLOOKUP(D148,基础资料!$P$5:$R$204,3,FALSE),""))</f>
        <v/>
      </c>
      <c r="G148" s="17"/>
      <c r="H148" s="17"/>
      <c r="I148" s="17" t="str">
        <f t="shared" si="11"/>
        <v/>
      </c>
      <c r="J148" s="17" t="str">
        <f>IF(D148="","",IFERROR(VLOOKUP(D148,基础资料!$P$5:$T$204,5,FALSE),0))</f>
        <v/>
      </c>
      <c r="K148" s="17" t="str">
        <f t="shared" si="12"/>
        <v/>
      </c>
      <c r="L148" s="5" t="str">
        <f>IF(OR(A148="",C148=""),"",A148+IFERROR(VLOOKUP(C148,基础资料!$Y$5:$AA$204,3,FALSE),0))</f>
        <v/>
      </c>
      <c r="P148" t="str">
        <f t="shared" si="13"/>
        <v/>
      </c>
      <c r="Q148" s="17" t="str">
        <f t="shared" si="14"/>
        <v/>
      </c>
    </row>
    <row r="149" spans="1:17">
      <c r="A149" s="5"/>
      <c r="B149" t="str">
        <f t="shared" si="10"/>
        <v/>
      </c>
      <c r="E149" t="str">
        <f>IF(D149="","",IFERROR(VLOOKUP(D149,基础资料!$P$5:$R$204,2,FALSE),""))</f>
        <v/>
      </c>
      <c r="F149" t="str">
        <f>IF(D149="","",IFERROR(VLOOKUP(D149,基础资料!$P$5:$R$204,3,FALSE),""))</f>
        <v/>
      </c>
      <c r="G149" s="17"/>
      <c r="H149" s="17"/>
      <c r="I149" s="17" t="str">
        <f t="shared" si="11"/>
        <v/>
      </c>
      <c r="J149" s="17" t="str">
        <f>IF(D149="","",IFERROR(VLOOKUP(D149,基础资料!$P$5:$T$204,5,FALSE),0))</f>
        <v/>
      </c>
      <c r="K149" s="17" t="str">
        <f t="shared" si="12"/>
        <v/>
      </c>
      <c r="L149" s="5" t="str">
        <f>IF(OR(A149="",C149=""),"",A149+IFERROR(VLOOKUP(C149,基础资料!$Y$5:$AA$204,3,FALSE),0))</f>
        <v/>
      </c>
      <c r="P149" t="str">
        <f t="shared" si="13"/>
        <v/>
      </c>
      <c r="Q149" s="17" t="str">
        <f t="shared" si="14"/>
        <v/>
      </c>
    </row>
    <row r="150" spans="1:17">
      <c r="A150" s="5"/>
      <c r="B150" t="str">
        <f t="shared" si="10"/>
        <v/>
      </c>
      <c r="E150" t="str">
        <f>IF(D150="","",IFERROR(VLOOKUP(D150,基础资料!$P$5:$R$204,2,FALSE),""))</f>
        <v/>
      </c>
      <c r="F150" t="str">
        <f>IF(D150="","",IFERROR(VLOOKUP(D150,基础资料!$P$5:$R$204,3,FALSE),""))</f>
        <v/>
      </c>
      <c r="G150" s="17"/>
      <c r="H150" s="17"/>
      <c r="I150" s="17" t="str">
        <f t="shared" si="11"/>
        <v/>
      </c>
      <c r="J150" s="17" t="str">
        <f>IF(D150="","",IFERROR(VLOOKUP(D150,基础资料!$P$5:$T$204,5,FALSE),0))</f>
        <v/>
      </c>
      <c r="K150" s="17" t="str">
        <f t="shared" si="12"/>
        <v/>
      </c>
      <c r="L150" s="5" t="str">
        <f>IF(OR(A150="",C150=""),"",A150+IFERROR(VLOOKUP(C150,基础资料!$Y$5:$AA$204,3,FALSE),0))</f>
        <v/>
      </c>
      <c r="P150" t="str">
        <f t="shared" si="13"/>
        <v/>
      </c>
      <c r="Q150" s="17" t="str">
        <f t="shared" si="14"/>
        <v/>
      </c>
    </row>
    <row r="151" spans="1:17">
      <c r="A151" s="5"/>
      <c r="B151" t="str">
        <f t="shared" si="10"/>
        <v/>
      </c>
      <c r="E151" t="str">
        <f>IF(D151="","",IFERROR(VLOOKUP(D151,基础资料!$P$5:$R$204,2,FALSE),""))</f>
        <v/>
      </c>
      <c r="F151" t="str">
        <f>IF(D151="","",IFERROR(VLOOKUP(D151,基础资料!$P$5:$R$204,3,FALSE),""))</f>
        <v/>
      </c>
      <c r="G151" s="17"/>
      <c r="H151" s="17"/>
      <c r="I151" s="17" t="str">
        <f t="shared" si="11"/>
        <v/>
      </c>
      <c r="J151" s="17" t="str">
        <f>IF(D151="","",IFERROR(VLOOKUP(D151,基础资料!$P$5:$T$204,5,FALSE),0))</f>
        <v/>
      </c>
      <c r="K151" s="17" t="str">
        <f t="shared" si="12"/>
        <v/>
      </c>
      <c r="L151" s="5" t="str">
        <f>IF(OR(A151="",C151=""),"",A151+IFERROR(VLOOKUP(C151,基础资料!$Y$5:$AA$204,3,FALSE),0))</f>
        <v/>
      </c>
      <c r="P151" t="str">
        <f t="shared" si="13"/>
        <v/>
      </c>
      <c r="Q151" s="17" t="str">
        <f t="shared" si="14"/>
        <v/>
      </c>
    </row>
    <row r="152" spans="1:17">
      <c r="A152" s="5"/>
      <c r="B152" t="str">
        <f t="shared" si="10"/>
        <v/>
      </c>
      <c r="E152" t="str">
        <f>IF(D152="","",IFERROR(VLOOKUP(D152,基础资料!$P$5:$R$204,2,FALSE),""))</f>
        <v/>
      </c>
      <c r="F152" t="str">
        <f>IF(D152="","",IFERROR(VLOOKUP(D152,基础资料!$P$5:$R$204,3,FALSE),""))</f>
        <v/>
      </c>
      <c r="G152" s="17"/>
      <c r="H152" s="17"/>
      <c r="I152" s="17" t="str">
        <f t="shared" si="11"/>
        <v/>
      </c>
      <c r="J152" s="17" t="str">
        <f>IF(D152="","",IFERROR(VLOOKUP(D152,基础资料!$P$5:$T$204,5,FALSE),0))</f>
        <v/>
      </c>
      <c r="K152" s="17" t="str">
        <f t="shared" si="12"/>
        <v/>
      </c>
      <c r="L152" s="5" t="str">
        <f>IF(OR(A152="",C152=""),"",A152+IFERROR(VLOOKUP(C152,基础资料!$Y$5:$AA$204,3,FALSE),0))</f>
        <v/>
      </c>
      <c r="P152" t="str">
        <f t="shared" si="13"/>
        <v/>
      </c>
      <c r="Q152" s="17" t="str">
        <f t="shared" si="14"/>
        <v/>
      </c>
    </row>
    <row r="153" spans="1:17">
      <c r="A153" s="5"/>
      <c r="B153" t="str">
        <f t="shared" si="10"/>
        <v/>
      </c>
      <c r="E153" t="str">
        <f>IF(D153="","",IFERROR(VLOOKUP(D153,基础资料!$P$5:$R$204,2,FALSE),""))</f>
        <v/>
      </c>
      <c r="F153" t="str">
        <f>IF(D153="","",IFERROR(VLOOKUP(D153,基础资料!$P$5:$R$204,3,FALSE),""))</f>
        <v/>
      </c>
      <c r="G153" s="17"/>
      <c r="H153" s="17"/>
      <c r="I153" s="17" t="str">
        <f t="shared" si="11"/>
        <v/>
      </c>
      <c r="J153" s="17" t="str">
        <f>IF(D153="","",IFERROR(VLOOKUP(D153,基础资料!$P$5:$T$204,5,FALSE),0))</f>
        <v/>
      </c>
      <c r="K153" s="17" t="str">
        <f t="shared" si="12"/>
        <v/>
      </c>
      <c r="L153" s="5" t="str">
        <f>IF(OR(A153="",C153=""),"",A153+IFERROR(VLOOKUP(C153,基础资料!$Y$5:$AA$204,3,FALSE),0))</f>
        <v/>
      </c>
      <c r="P153" t="str">
        <f t="shared" si="13"/>
        <v/>
      </c>
      <c r="Q153" s="17" t="str">
        <f t="shared" si="14"/>
        <v/>
      </c>
    </row>
    <row r="154" spans="1:17">
      <c r="A154" s="5"/>
      <c r="B154" t="str">
        <f t="shared" si="10"/>
        <v/>
      </c>
      <c r="E154" t="str">
        <f>IF(D154="","",IFERROR(VLOOKUP(D154,基础资料!$P$5:$R$204,2,FALSE),""))</f>
        <v/>
      </c>
      <c r="F154" t="str">
        <f>IF(D154="","",IFERROR(VLOOKUP(D154,基础资料!$P$5:$R$204,3,FALSE),""))</f>
        <v/>
      </c>
      <c r="G154" s="17"/>
      <c r="H154" s="17"/>
      <c r="I154" s="17" t="str">
        <f t="shared" si="11"/>
        <v/>
      </c>
      <c r="J154" s="17" t="str">
        <f>IF(D154="","",IFERROR(VLOOKUP(D154,基础资料!$P$5:$T$204,5,FALSE),0))</f>
        <v/>
      </c>
      <c r="K154" s="17" t="str">
        <f t="shared" si="12"/>
        <v/>
      </c>
      <c r="L154" s="5" t="str">
        <f>IF(OR(A154="",C154=""),"",A154+IFERROR(VLOOKUP(C154,基础资料!$Y$5:$AA$204,3,FALSE),0))</f>
        <v/>
      </c>
      <c r="P154" t="str">
        <f t="shared" si="13"/>
        <v/>
      </c>
      <c r="Q154" s="17" t="str">
        <f t="shared" si="14"/>
        <v/>
      </c>
    </row>
    <row r="155" spans="1:17">
      <c r="A155" s="5"/>
      <c r="B155" t="str">
        <f t="shared" si="10"/>
        <v/>
      </c>
      <c r="E155" t="str">
        <f>IF(D155="","",IFERROR(VLOOKUP(D155,基础资料!$P$5:$R$204,2,FALSE),""))</f>
        <v/>
      </c>
      <c r="F155" t="str">
        <f>IF(D155="","",IFERROR(VLOOKUP(D155,基础资料!$P$5:$R$204,3,FALSE),""))</f>
        <v/>
      </c>
      <c r="G155" s="17"/>
      <c r="H155" s="17"/>
      <c r="I155" s="17" t="str">
        <f t="shared" si="11"/>
        <v/>
      </c>
      <c r="J155" s="17" t="str">
        <f>IF(D155="","",IFERROR(VLOOKUP(D155,基础资料!$P$5:$T$204,5,FALSE),0))</f>
        <v/>
      </c>
      <c r="K155" s="17" t="str">
        <f t="shared" si="12"/>
        <v/>
      </c>
      <c r="L155" s="5" t="str">
        <f>IF(OR(A155="",C155=""),"",A155+IFERROR(VLOOKUP(C155,基础资料!$Y$5:$AA$204,3,FALSE),0))</f>
        <v/>
      </c>
      <c r="P155" t="str">
        <f t="shared" si="13"/>
        <v/>
      </c>
      <c r="Q155" s="17" t="str">
        <f t="shared" si="14"/>
        <v/>
      </c>
    </row>
    <row r="156" spans="1:17">
      <c r="A156" s="5"/>
      <c r="B156" t="str">
        <f t="shared" si="10"/>
        <v/>
      </c>
      <c r="E156" t="str">
        <f>IF(D156="","",IFERROR(VLOOKUP(D156,基础资料!$P$5:$R$204,2,FALSE),""))</f>
        <v/>
      </c>
      <c r="F156" t="str">
        <f>IF(D156="","",IFERROR(VLOOKUP(D156,基础资料!$P$5:$R$204,3,FALSE),""))</f>
        <v/>
      </c>
      <c r="G156" s="17"/>
      <c r="H156" s="17"/>
      <c r="I156" s="17" t="str">
        <f t="shared" si="11"/>
        <v/>
      </c>
      <c r="J156" s="17" t="str">
        <f>IF(D156="","",IFERROR(VLOOKUP(D156,基础资料!$P$5:$T$204,5,FALSE),0))</f>
        <v/>
      </c>
      <c r="K156" s="17" t="str">
        <f t="shared" si="12"/>
        <v/>
      </c>
      <c r="L156" s="5" t="str">
        <f>IF(OR(A156="",C156=""),"",A156+IFERROR(VLOOKUP(C156,基础资料!$Y$5:$AA$204,3,FALSE),0))</f>
        <v/>
      </c>
      <c r="P156" t="str">
        <f t="shared" si="13"/>
        <v/>
      </c>
      <c r="Q156" s="17" t="str">
        <f t="shared" si="14"/>
        <v/>
      </c>
    </row>
    <row r="157" spans="1:17">
      <c r="A157" s="5"/>
      <c r="B157" t="str">
        <f t="shared" si="10"/>
        <v/>
      </c>
      <c r="E157" t="str">
        <f>IF(D157="","",IFERROR(VLOOKUP(D157,基础资料!$P$5:$R$204,2,FALSE),""))</f>
        <v/>
      </c>
      <c r="F157" t="str">
        <f>IF(D157="","",IFERROR(VLOOKUP(D157,基础资料!$P$5:$R$204,3,FALSE),""))</f>
        <v/>
      </c>
      <c r="G157" s="17"/>
      <c r="H157" s="17"/>
      <c r="I157" s="17" t="str">
        <f t="shared" si="11"/>
        <v/>
      </c>
      <c r="J157" s="17" t="str">
        <f>IF(D157="","",IFERROR(VLOOKUP(D157,基础资料!$P$5:$T$204,5,FALSE),0))</f>
        <v/>
      </c>
      <c r="K157" s="17" t="str">
        <f t="shared" si="12"/>
        <v/>
      </c>
      <c r="L157" s="5" t="str">
        <f>IF(OR(A157="",C157=""),"",A157+IFERROR(VLOOKUP(C157,基础资料!$Y$5:$AA$204,3,FALSE),0))</f>
        <v/>
      </c>
      <c r="P157" t="str">
        <f t="shared" si="13"/>
        <v/>
      </c>
      <c r="Q157" s="17" t="str">
        <f t="shared" si="14"/>
        <v/>
      </c>
    </row>
    <row r="158" spans="1:17">
      <c r="A158" s="5"/>
      <c r="B158" t="str">
        <f t="shared" si="10"/>
        <v/>
      </c>
      <c r="E158" t="str">
        <f>IF(D158="","",IFERROR(VLOOKUP(D158,基础资料!$P$5:$R$204,2,FALSE),""))</f>
        <v/>
      </c>
      <c r="F158" t="str">
        <f>IF(D158="","",IFERROR(VLOOKUP(D158,基础资料!$P$5:$R$204,3,FALSE),""))</f>
        <v/>
      </c>
      <c r="G158" s="17"/>
      <c r="H158" s="17"/>
      <c r="I158" s="17" t="str">
        <f t="shared" si="11"/>
        <v/>
      </c>
      <c r="J158" s="17" t="str">
        <f>IF(D158="","",IFERROR(VLOOKUP(D158,基础资料!$P$5:$T$204,5,FALSE),0))</f>
        <v/>
      </c>
      <c r="K158" s="17" t="str">
        <f t="shared" si="12"/>
        <v/>
      </c>
      <c r="L158" s="5" t="str">
        <f>IF(OR(A158="",C158=""),"",A158+IFERROR(VLOOKUP(C158,基础资料!$Y$5:$AA$204,3,FALSE),0))</f>
        <v/>
      </c>
      <c r="P158" t="str">
        <f t="shared" si="13"/>
        <v/>
      </c>
      <c r="Q158" s="17" t="str">
        <f t="shared" si="14"/>
        <v/>
      </c>
    </row>
    <row r="159" spans="1:17">
      <c r="A159" s="5"/>
      <c r="B159" t="str">
        <f t="shared" si="10"/>
        <v/>
      </c>
      <c r="E159" t="str">
        <f>IF(D159="","",IFERROR(VLOOKUP(D159,基础资料!$P$5:$R$204,2,FALSE),""))</f>
        <v/>
      </c>
      <c r="F159" t="str">
        <f>IF(D159="","",IFERROR(VLOOKUP(D159,基础资料!$P$5:$R$204,3,FALSE),""))</f>
        <v/>
      </c>
      <c r="G159" s="17"/>
      <c r="H159" s="17"/>
      <c r="I159" s="17" t="str">
        <f t="shared" si="11"/>
        <v/>
      </c>
      <c r="J159" s="17" t="str">
        <f>IF(D159="","",IFERROR(VLOOKUP(D159,基础资料!$P$5:$T$204,5,FALSE),0))</f>
        <v/>
      </c>
      <c r="K159" s="17" t="str">
        <f t="shared" si="12"/>
        <v/>
      </c>
      <c r="L159" s="5" t="str">
        <f>IF(OR(A159="",C159=""),"",A159+IFERROR(VLOOKUP(C159,基础资料!$Y$5:$AA$204,3,FALSE),0))</f>
        <v/>
      </c>
      <c r="P159" t="str">
        <f t="shared" si="13"/>
        <v/>
      </c>
      <c r="Q159" s="17" t="str">
        <f t="shared" si="14"/>
        <v/>
      </c>
    </row>
    <row r="160" spans="1:17">
      <c r="A160" s="5"/>
      <c r="B160" t="str">
        <f t="shared" si="10"/>
        <v/>
      </c>
      <c r="E160" t="str">
        <f>IF(D160="","",IFERROR(VLOOKUP(D160,基础资料!$P$5:$R$204,2,FALSE),""))</f>
        <v/>
      </c>
      <c r="F160" t="str">
        <f>IF(D160="","",IFERROR(VLOOKUP(D160,基础资料!$P$5:$R$204,3,FALSE),""))</f>
        <v/>
      </c>
      <c r="G160" s="17"/>
      <c r="H160" s="17"/>
      <c r="I160" s="17" t="str">
        <f t="shared" si="11"/>
        <v/>
      </c>
      <c r="J160" s="17" t="str">
        <f>IF(D160="","",IFERROR(VLOOKUP(D160,基础资料!$P$5:$T$204,5,FALSE),0))</f>
        <v/>
      </c>
      <c r="K160" s="17" t="str">
        <f t="shared" si="12"/>
        <v/>
      </c>
      <c r="L160" s="5" t="str">
        <f>IF(OR(A160="",C160=""),"",A160+IFERROR(VLOOKUP(C160,基础资料!$Y$5:$AA$204,3,FALSE),0))</f>
        <v/>
      </c>
      <c r="P160" t="str">
        <f t="shared" si="13"/>
        <v/>
      </c>
      <c r="Q160" s="17" t="str">
        <f t="shared" si="14"/>
        <v/>
      </c>
    </row>
    <row r="161" spans="1:17">
      <c r="A161" s="5"/>
      <c r="B161" t="str">
        <f t="shared" si="10"/>
        <v/>
      </c>
      <c r="E161" t="str">
        <f>IF(D161="","",IFERROR(VLOOKUP(D161,基础资料!$P$5:$R$204,2,FALSE),""))</f>
        <v/>
      </c>
      <c r="F161" t="str">
        <f>IF(D161="","",IFERROR(VLOOKUP(D161,基础资料!$P$5:$R$204,3,FALSE),""))</f>
        <v/>
      </c>
      <c r="G161" s="17"/>
      <c r="H161" s="17"/>
      <c r="I161" s="17" t="str">
        <f t="shared" si="11"/>
        <v/>
      </c>
      <c r="J161" s="17" t="str">
        <f>IF(D161="","",IFERROR(VLOOKUP(D161,基础资料!$P$5:$T$204,5,FALSE),0))</f>
        <v/>
      </c>
      <c r="K161" s="17" t="str">
        <f t="shared" si="12"/>
        <v/>
      </c>
      <c r="L161" s="5" t="str">
        <f>IF(OR(A161="",C161=""),"",A161+IFERROR(VLOOKUP(C161,基础资料!$Y$5:$AA$204,3,FALSE),0))</f>
        <v/>
      </c>
      <c r="P161" t="str">
        <f t="shared" si="13"/>
        <v/>
      </c>
      <c r="Q161" s="17" t="str">
        <f t="shared" si="14"/>
        <v/>
      </c>
    </row>
    <row r="162" spans="1:17">
      <c r="A162" s="5"/>
      <c r="B162" t="str">
        <f t="shared" si="10"/>
        <v/>
      </c>
      <c r="E162" t="str">
        <f>IF(D162="","",IFERROR(VLOOKUP(D162,基础资料!$P$5:$R$204,2,FALSE),""))</f>
        <v/>
      </c>
      <c r="F162" t="str">
        <f>IF(D162="","",IFERROR(VLOOKUP(D162,基础资料!$P$5:$R$204,3,FALSE),""))</f>
        <v/>
      </c>
      <c r="G162" s="17"/>
      <c r="H162" s="17"/>
      <c r="I162" s="17" t="str">
        <f t="shared" si="11"/>
        <v/>
      </c>
      <c r="J162" s="17" t="str">
        <f>IF(D162="","",IFERROR(VLOOKUP(D162,基础资料!$P$5:$T$204,5,FALSE),0))</f>
        <v/>
      </c>
      <c r="K162" s="17" t="str">
        <f t="shared" si="12"/>
        <v/>
      </c>
      <c r="L162" s="5" t="str">
        <f>IF(OR(A162="",C162=""),"",A162+IFERROR(VLOOKUP(C162,基础资料!$Y$5:$AA$204,3,FALSE),0))</f>
        <v/>
      </c>
      <c r="P162" t="str">
        <f t="shared" si="13"/>
        <v/>
      </c>
      <c r="Q162" s="17" t="str">
        <f t="shared" si="14"/>
        <v/>
      </c>
    </row>
    <row r="163" spans="1:17">
      <c r="A163" s="5"/>
      <c r="B163" t="str">
        <f t="shared" si="10"/>
        <v/>
      </c>
      <c r="E163" t="str">
        <f>IF(D163="","",IFERROR(VLOOKUP(D163,基础资料!$P$5:$R$204,2,FALSE),""))</f>
        <v/>
      </c>
      <c r="F163" t="str">
        <f>IF(D163="","",IFERROR(VLOOKUP(D163,基础资料!$P$5:$R$204,3,FALSE),""))</f>
        <v/>
      </c>
      <c r="G163" s="17"/>
      <c r="H163" s="17"/>
      <c r="I163" s="17" t="str">
        <f t="shared" si="11"/>
        <v/>
      </c>
      <c r="J163" s="17" t="str">
        <f>IF(D163="","",IFERROR(VLOOKUP(D163,基础资料!$P$5:$T$204,5,FALSE),0))</f>
        <v/>
      </c>
      <c r="K163" s="17" t="str">
        <f t="shared" si="12"/>
        <v/>
      </c>
      <c r="L163" s="5" t="str">
        <f>IF(OR(A163="",C163=""),"",A163+IFERROR(VLOOKUP(C163,基础资料!$Y$5:$AA$204,3,FALSE),0))</f>
        <v/>
      </c>
      <c r="P163" t="str">
        <f t="shared" si="13"/>
        <v/>
      </c>
      <c r="Q163" s="17" t="str">
        <f t="shared" si="14"/>
        <v/>
      </c>
    </row>
    <row r="164" spans="1:17">
      <c r="A164" s="5"/>
      <c r="B164" t="str">
        <f t="shared" si="10"/>
        <v/>
      </c>
      <c r="E164" t="str">
        <f>IF(D164="","",IFERROR(VLOOKUP(D164,基础资料!$P$5:$R$204,2,FALSE),""))</f>
        <v/>
      </c>
      <c r="F164" t="str">
        <f>IF(D164="","",IFERROR(VLOOKUP(D164,基础资料!$P$5:$R$204,3,FALSE),""))</f>
        <v/>
      </c>
      <c r="G164" s="17"/>
      <c r="H164" s="17"/>
      <c r="I164" s="17" t="str">
        <f t="shared" si="11"/>
        <v/>
      </c>
      <c r="J164" s="17" t="str">
        <f>IF(D164="","",IFERROR(VLOOKUP(D164,基础资料!$P$5:$T$204,5,FALSE),0))</f>
        <v/>
      </c>
      <c r="K164" s="17" t="str">
        <f t="shared" si="12"/>
        <v/>
      </c>
      <c r="L164" s="5" t="str">
        <f>IF(OR(A164="",C164=""),"",A164+IFERROR(VLOOKUP(C164,基础资料!$Y$5:$AA$204,3,FALSE),0))</f>
        <v/>
      </c>
      <c r="P164" t="str">
        <f t="shared" si="13"/>
        <v/>
      </c>
      <c r="Q164" s="17" t="str">
        <f t="shared" si="14"/>
        <v/>
      </c>
    </row>
    <row r="165" spans="1:17">
      <c r="A165" s="5"/>
      <c r="B165" t="str">
        <f t="shared" si="10"/>
        <v/>
      </c>
      <c r="E165" t="str">
        <f>IF(D165="","",IFERROR(VLOOKUP(D165,基础资料!$P$5:$R$204,2,FALSE),""))</f>
        <v/>
      </c>
      <c r="F165" t="str">
        <f>IF(D165="","",IFERROR(VLOOKUP(D165,基础资料!$P$5:$R$204,3,FALSE),""))</f>
        <v/>
      </c>
      <c r="G165" s="17"/>
      <c r="H165" s="17"/>
      <c r="I165" s="17" t="str">
        <f t="shared" si="11"/>
        <v/>
      </c>
      <c r="J165" s="17" t="str">
        <f>IF(D165="","",IFERROR(VLOOKUP(D165,基础资料!$P$5:$T$204,5,FALSE),0))</f>
        <v/>
      </c>
      <c r="K165" s="17" t="str">
        <f t="shared" si="12"/>
        <v/>
      </c>
      <c r="L165" s="5" t="str">
        <f>IF(OR(A165="",C165=""),"",A165+IFERROR(VLOOKUP(C165,基础资料!$Y$5:$AA$204,3,FALSE),0))</f>
        <v/>
      </c>
      <c r="P165" t="str">
        <f t="shared" si="13"/>
        <v/>
      </c>
      <c r="Q165" s="17" t="str">
        <f t="shared" si="14"/>
        <v/>
      </c>
    </row>
    <row r="166" spans="1:17">
      <c r="A166" s="5"/>
      <c r="B166" t="str">
        <f t="shared" si="10"/>
        <v/>
      </c>
      <c r="E166" t="str">
        <f>IF(D166="","",IFERROR(VLOOKUP(D166,基础资料!$P$5:$R$204,2,FALSE),""))</f>
        <v/>
      </c>
      <c r="F166" t="str">
        <f>IF(D166="","",IFERROR(VLOOKUP(D166,基础资料!$P$5:$R$204,3,FALSE),""))</f>
        <v/>
      </c>
      <c r="G166" s="17"/>
      <c r="H166" s="17"/>
      <c r="I166" s="17" t="str">
        <f t="shared" si="11"/>
        <v/>
      </c>
      <c r="J166" s="17" t="str">
        <f>IF(D166="","",IFERROR(VLOOKUP(D166,基础资料!$P$5:$T$204,5,FALSE),0))</f>
        <v/>
      </c>
      <c r="K166" s="17" t="str">
        <f t="shared" si="12"/>
        <v/>
      </c>
      <c r="L166" s="5" t="str">
        <f>IF(OR(A166="",C166=""),"",A166+IFERROR(VLOOKUP(C166,基础资料!$Y$5:$AA$204,3,FALSE),0))</f>
        <v/>
      </c>
      <c r="P166" t="str">
        <f t="shared" si="13"/>
        <v/>
      </c>
      <c r="Q166" s="17" t="str">
        <f t="shared" si="14"/>
        <v/>
      </c>
    </row>
    <row r="167" spans="1:17">
      <c r="A167" s="5"/>
      <c r="B167" t="str">
        <f t="shared" si="10"/>
        <v/>
      </c>
      <c r="E167" t="str">
        <f>IF(D167="","",IFERROR(VLOOKUP(D167,基础资料!$P$5:$R$204,2,FALSE),""))</f>
        <v/>
      </c>
      <c r="F167" t="str">
        <f>IF(D167="","",IFERROR(VLOOKUP(D167,基础资料!$P$5:$R$204,3,FALSE),""))</f>
        <v/>
      </c>
      <c r="G167" s="17"/>
      <c r="H167" s="17"/>
      <c r="I167" s="17" t="str">
        <f t="shared" si="11"/>
        <v/>
      </c>
      <c r="J167" s="17" t="str">
        <f>IF(D167="","",IFERROR(VLOOKUP(D167,基础资料!$P$5:$T$204,5,FALSE),0))</f>
        <v/>
      </c>
      <c r="K167" s="17" t="str">
        <f t="shared" si="12"/>
        <v/>
      </c>
      <c r="L167" s="5" t="str">
        <f>IF(OR(A167="",C167=""),"",A167+IFERROR(VLOOKUP(C167,基础资料!$Y$5:$AA$204,3,FALSE),0))</f>
        <v/>
      </c>
      <c r="P167" t="str">
        <f t="shared" si="13"/>
        <v/>
      </c>
      <c r="Q167" s="17" t="str">
        <f t="shared" si="14"/>
        <v/>
      </c>
    </row>
    <row r="168" spans="1:17">
      <c r="A168" s="5"/>
      <c r="B168" t="str">
        <f t="shared" si="10"/>
        <v/>
      </c>
      <c r="E168" t="str">
        <f>IF(D168="","",IFERROR(VLOOKUP(D168,基础资料!$P$5:$R$204,2,FALSE),""))</f>
        <v/>
      </c>
      <c r="F168" t="str">
        <f>IF(D168="","",IFERROR(VLOOKUP(D168,基础资料!$P$5:$R$204,3,FALSE),""))</f>
        <v/>
      </c>
      <c r="G168" s="17"/>
      <c r="H168" s="17"/>
      <c r="I168" s="17" t="str">
        <f t="shared" si="11"/>
        <v/>
      </c>
      <c r="J168" s="17" t="str">
        <f>IF(D168="","",IFERROR(VLOOKUP(D168,基础资料!$P$5:$T$204,5,FALSE),0))</f>
        <v/>
      </c>
      <c r="K168" s="17" t="str">
        <f t="shared" si="12"/>
        <v/>
      </c>
      <c r="L168" s="5" t="str">
        <f>IF(OR(A168="",C168=""),"",A168+IFERROR(VLOOKUP(C168,基础资料!$Y$5:$AA$204,3,FALSE),0))</f>
        <v/>
      </c>
      <c r="P168" t="str">
        <f t="shared" si="13"/>
        <v/>
      </c>
      <c r="Q168" s="17" t="str">
        <f t="shared" si="14"/>
        <v/>
      </c>
    </row>
    <row r="169" spans="1:17">
      <c r="A169" s="5"/>
      <c r="B169" t="str">
        <f t="shared" si="10"/>
        <v/>
      </c>
      <c r="E169" t="str">
        <f>IF(D169="","",IFERROR(VLOOKUP(D169,基础资料!$P$5:$R$204,2,FALSE),""))</f>
        <v/>
      </c>
      <c r="F169" t="str">
        <f>IF(D169="","",IFERROR(VLOOKUP(D169,基础资料!$P$5:$R$204,3,FALSE),""))</f>
        <v/>
      </c>
      <c r="G169" s="17"/>
      <c r="H169" s="17"/>
      <c r="I169" s="17" t="str">
        <f t="shared" si="11"/>
        <v/>
      </c>
      <c r="J169" s="17" t="str">
        <f>IF(D169="","",IFERROR(VLOOKUP(D169,基础资料!$P$5:$T$204,5,FALSE),0))</f>
        <v/>
      </c>
      <c r="K169" s="17" t="str">
        <f t="shared" si="12"/>
        <v/>
      </c>
      <c r="L169" s="5" t="str">
        <f>IF(OR(A169="",C169=""),"",A169+IFERROR(VLOOKUP(C169,基础资料!$Y$5:$AA$204,3,FALSE),0))</f>
        <v/>
      </c>
      <c r="P169" t="str">
        <f t="shared" si="13"/>
        <v/>
      </c>
      <c r="Q169" s="17" t="str">
        <f t="shared" si="14"/>
        <v/>
      </c>
    </row>
    <row r="170" spans="1:17">
      <c r="A170" s="5"/>
      <c r="B170" t="str">
        <f t="shared" si="10"/>
        <v/>
      </c>
      <c r="E170" t="str">
        <f>IF(D170="","",IFERROR(VLOOKUP(D170,基础资料!$P$5:$R$204,2,FALSE),""))</f>
        <v/>
      </c>
      <c r="F170" t="str">
        <f>IF(D170="","",IFERROR(VLOOKUP(D170,基础资料!$P$5:$R$204,3,FALSE),""))</f>
        <v/>
      </c>
      <c r="G170" s="17"/>
      <c r="H170" s="17"/>
      <c r="I170" s="17" t="str">
        <f t="shared" si="11"/>
        <v/>
      </c>
      <c r="J170" s="17" t="str">
        <f>IF(D170="","",IFERROR(VLOOKUP(D170,基础资料!$P$5:$T$204,5,FALSE),0))</f>
        <v/>
      </c>
      <c r="K170" s="17" t="str">
        <f t="shared" si="12"/>
        <v/>
      </c>
      <c r="L170" s="5" t="str">
        <f>IF(OR(A170="",C170=""),"",A170+IFERROR(VLOOKUP(C170,基础资料!$Y$5:$AA$204,3,FALSE),0))</f>
        <v/>
      </c>
      <c r="P170" t="str">
        <f t="shared" si="13"/>
        <v/>
      </c>
      <c r="Q170" s="17" t="str">
        <f t="shared" si="14"/>
        <v/>
      </c>
    </row>
    <row r="171" spans="1:17">
      <c r="A171" s="5"/>
      <c r="B171" t="str">
        <f t="shared" si="10"/>
        <v/>
      </c>
      <c r="E171" t="str">
        <f>IF(D171="","",IFERROR(VLOOKUP(D171,基础资料!$P$5:$R$204,2,FALSE),""))</f>
        <v/>
      </c>
      <c r="F171" t="str">
        <f>IF(D171="","",IFERROR(VLOOKUP(D171,基础资料!$P$5:$R$204,3,FALSE),""))</f>
        <v/>
      </c>
      <c r="G171" s="17"/>
      <c r="H171" s="17"/>
      <c r="I171" s="17" t="str">
        <f t="shared" si="11"/>
        <v/>
      </c>
      <c r="J171" s="17" t="str">
        <f>IF(D171="","",IFERROR(VLOOKUP(D171,基础资料!$P$5:$T$204,5,FALSE),0))</f>
        <v/>
      </c>
      <c r="K171" s="17" t="str">
        <f t="shared" si="12"/>
        <v/>
      </c>
      <c r="L171" s="5" t="str">
        <f>IF(OR(A171="",C171=""),"",A171+IFERROR(VLOOKUP(C171,基础资料!$Y$5:$AA$204,3,FALSE),0))</f>
        <v/>
      </c>
      <c r="P171" t="str">
        <f t="shared" si="13"/>
        <v/>
      </c>
      <c r="Q171" s="17" t="str">
        <f t="shared" si="14"/>
        <v/>
      </c>
    </row>
    <row r="172" spans="1:17">
      <c r="A172" s="5"/>
      <c r="B172" t="str">
        <f t="shared" si="10"/>
        <v/>
      </c>
      <c r="E172" t="str">
        <f>IF(D172="","",IFERROR(VLOOKUP(D172,基础资料!$P$5:$R$204,2,FALSE),""))</f>
        <v/>
      </c>
      <c r="F172" t="str">
        <f>IF(D172="","",IFERROR(VLOOKUP(D172,基础资料!$P$5:$R$204,3,FALSE),""))</f>
        <v/>
      </c>
      <c r="G172" s="17"/>
      <c r="H172" s="17"/>
      <c r="I172" s="17" t="str">
        <f t="shared" si="11"/>
        <v/>
      </c>
      <c r="J172" s="17" t="str">
        <f>IF(D172="","",IFERROR(VLOOKUP(D172,基础资料!$P$5:$T$204,5,FALSE),0))</f>
        <v/>
      </c>
      <c r="K172" s="17" t="str">
        <f t="shared" si="12"/>
        <v/>
      </c>
      <c r="L172" s="5" t="str">
        <f>IF(OR(A172="",C172=""),"",A172+IFERROR(VLOOKUP(C172,基础资料!$Y$5:$AA$204,3,FALSE),0))</f>
        <v/>
      </c>
      <c r="P172" t="str">
        <f t="shared" si="13"/>
        <v/>
      </c>
      <c r="Q172" s="17" t="str">
        <f t="shared" si="14"/>
        <v/>
      </c>
    </row>
    <row r="173" spans="1:17">
      <c r="A173" s="5"/>
      <c r="B173" t="str">
        <f t="shared" si="10"/>
        <v/>
      </c>
      <c r="E173" t="str">
        <f>IF(D173="","",IFERROR(VLOOKUP(D173,基础资料!$P$5:$R$204,2,FALSE),""))</f>
        <v/>
      </c>
      <c r="F173" t="str">
        <f>IF(D173="","",IFERROR(VLOOKUP(D173,基础资料!$P$5:$R$204,3,FALSE),""))</f>
        <v/>
      </c>
      <c r="G173" s="17"/>
      <c r="H173" s="17"/>
      <c r="I173" s="17" t="str">
        <f t="shared" si="11"/>
        <v/>
      </c>
      <c r="J173" s="17" t="str">
        <f>IF(D173="","",IFERROR(VLOOKUP(D173,基础资料!$P$5:$T$204,5,FALSE),0))</f>
        <v/>
      </c>
      <c r="K173" s="17" t="str">
        <f t="shared" si="12"/>
        <v/>
      </c>
      <c r="L173" s="5" t="str">
        <f>IF(OR(A173="",C173=""),"",A173+IFERROR(VLOOKUP(C173,基础资料!$Y$5:$AA$204,3,FALSE),0))</f>
        <v/>
      </c>
      <c r="P173" t="str">
        <f t="shared" si="13"/>
        <v/>
      </c>
      <c r="Q173" s="17" t="str">
        <f t="shared" si="14"/>
        <v/>
      </c>
    </row>
    <row r="174" spans="1:17">
      <c r="A174" s="5"/>
      <c r="B174" t="str">
        <f t="shared" si="10"/>
        <v/>
      </c>
      <c r="E174" t="str">
        <f>IF(D174="","",IFERROR(VLOOKUP(D174,基础资料!$P$5:$R$204,2,FALSE),""))</f>
        <v/>
      </c>
      <c r="F174" t="str">
        <f>IF(D174="","",IFERROR(VLOOKUP(D174,基础资料!$P$5:$R$204,3,FALSE),""))</f>
        <v/>
      </c>
      <c r="G174" s="17"/>
      <c r="H174" s="17"/>
      <c r="I174" s="17" t="str">
        <f t="shared" si="11"/>
        <v/>
      </c>
      <c r="J174" s="17" t="str">
        <f>IF(D174="","",IFERROR(VLOOKUP(D174,基础资料!$P$5:$T$204,5,FALSE),0))</f>
        <v/>
      </c>
      <c r="K174" s="17" t="str">
        <f t="shared" si="12"/>
        <v/>
      </c>
      <c r="L174" s="5" t="str">
        <f>IF(OR(A174="",C174=""),"",A174+IFERROR(VLOOKUP(C174,基础资料!$Y$5:$AA$204,3,FALSE),0))</f>
        <v/>
      </c>
      <c r="P174" t="str">
        <f t="shared" si="13"/>
        <v/>
      </c>
      <c r="Q174" s="17" t="str">
        <f t="shared" si="14"/>
        <v/>
      </c>
    </row>
    <row r="175" spans="1:17">
      <c r="A175" s="5"/>
      <c r="B175" t="str">
        <f t="shared" si="10"/>
        <v/>
      </c>
      <c r="E175" t="str">
        <f>IF(D175="","",IFERROR(VLOOKUP(D175,基础资料!$P$5:$R$204,2,FALSE),""))</f>
        <v/>
      </c>
      <c r="F175" t="str">
        <f>IF(D175="","",IFERROR(VLOOKUP(D175,基础资料!$P$5:$R$204,3,FALSE),""))</f>
        <v/>
      </c>
      <c r="G175" s="17"/>
      <c r="H175" s="17"/>
      <c r="I175" s="17" t="str">
        <f t="shared" si="11"/>
        <v/>
      </c>
      <c r="J175" s="17" t="str">
        <f>IF(D175="","",IFERROR(VLOOKUP(D175,基础资料!$P$5:$T$204,5,FALSE),0))</f>
        <v/>
      </c>
      <c r="K175" s="17" t="str">
        <f t="shared" si="12"/>
        <v/>
      </c>
      <c r="L175" s="5" t="str">
        <f>IF(OR(A175="",C175=""),"",A175+IFERROR(VLOOKUP(C175,基础资料!$Y$5:$AA$204,3,FALSE),0))</f>
        <v/>
      </c>
      <c r="P175" t="str">
        <f t="shared" si="13"/>
        <v/>
      </c>
      <c r="Q175" s="17" t="str">
        <f t="shared" si="14"/>
        <v/>
      </c>
    </row>
    <row r="176" spans="1:17">
      <c r="A176" s="5"/>
      <c r="B176" t="str">
        <f t="shared" si="10"/>
        <v/>
      </c>
      <c r="E176" t="str">
        <f>IF(D176="","",IFERROR(VLOOKUP(D176,基础资料!$P$5:$R$204,2,FALSE),""))</f>
        <v/>
      </c>
      <c r="F176" t="str">
        <f>IF(D176="","",IFERROR(VLOOKUP(D176,基础资料!$P$5:$R$204,3,FALSE),""))</f>
        <v/>
      </c>
      <c r="G176" s="17"/>
      <c r="H176" s="17"/>
      <c r="I176" s="17" t="str">
        <f t="shared" si="11"/>
        <v/>
      </c>
      <c r="J176" s="17" t="str">
        <f>IF(D176="","",IFERROR(VLOOKUP(D176,基础资料!$P$5:$T$204,5,FALSE),0))</f>
        <v/>
      </c>
      <c r="K176" s="17" t="str">
        <f t="shared" si="12"/>
        <v/>
      </c>
      <c r="L176" s="5" t="str">
        <f>IF(OR(A176="",C176=""),"",A176+IFERROR(VLOOKUP(C176,基础资料!$Y$5:$AA$204,3,FALSE),0))</f>
        <v/>
      </c>
      <c r="P176" t="str">
        <f t="shared" si="13"/>
        <v/>
      </c>
      <c r="Q176" s="17" t="str">
        <f t="shared" si="14"/>
        <v/>
      </c>
    </row>
    <row r="177" spans="1:17">
      <c r="A177" s="5"/>
      <c r="B177" t="str">
        <f t="shared" si="10"/>
        <v/>
      </c>
      <c r="E177" t="str">
        <f>IF(D177="","",IFERROR(VLOOKUP(D177,基础资料!$P$5:$R$204,2,FALSE),""))</f>
        <v/>
      </c>
      <c r="F177" t="str">
        <f>IF(D177="","",IFERROR(VLOOKUP(D177,基础资料!$P$5:$R$204,3,FALSE),""))</f>
        <v/>
      </c>
      <c r="G177" s="17"/>
      <c r="H177" s="17"/>
      <c r="I177" s="17" t="str">
        <f t="shared" si="11"/>
        <v/>
      </c>
      <c r="J177" s="17" t="str">
        <f>IF(D177="","",IFERROR(VLOOKUP(D177,基础资料!$P$5:$T$204,5,FALSE),0))</f>
        <v/>
      </c>
      <c r="K177" s="17" t="str">
        <f t="shared" si="12"/>
        <v/>
      </c>
      <c r="L177" s="5" t="str">
        <f>IF(OR(A177="",C177=""),"",A177+IFERROR(VLOOKUP(C177,基础资料!$Y$5:$AA$204,3,FALSE),0))</f>
        <v/>
      </c>
      <c r="P177" t="str">
        <f t="shared" si="13"/>
        <v/>
      </c>
      <c r="Q177" s="17" t="str">
        <f t="shared" si="14"/>
        <v/>
      </c>
    </row>
    <row r="178" spans="1:17">
      <c r="A178" s="5"/>
      <c r="B178" t="str">
        <f t="shared" si="10"/>
        <v/>
      </c>
      <c r="E178" t="str">
        <f>IF(D178="","",IFERROR(VLOOKUP(D178,基础资料!$P$5:$R$204,2,FALSE),""))</f>
        <v/>
      </c>
      <c r="F178" t="str">
        <f>IF(D178="","",IFERROR(VLOOKUP(D178,基础资料!$P$5:$R$204,3,FALSE),""))</f>
        <v/>
      </c>
      <c r="G178" s="17"/>
      <c r="H178" s="17"/>
      <c r="I178" s="17" t="str">
        <f t="shared" si="11"/>
        <v/>
      </c>
      <c r="J178" s="17" t="str">
        <f>IF(D178="","",IFERROR(VLOOKUP(D178,基础资料!$P$5:$T$204,5,FALSE),0))</f>
        <v/>
      </c>
      <c r="K178" s="17" t="str">
        <f t="shared" si="12"/>
        <v/>
      </c>
      <c r="L178" s="5" t="str">
        <f>IF(OR(A178="",C178=""),"",A178+IFERROR(VLOOKUP(C178,基础资料!$Y$5:$AA$204,3,FALSE),0))</f>
        <v/>
      </c>
      <c r="P178" t="str">
        <f t="shared" si="13"/>
        <v/>
      </c>
      <c r="Q178" s="17" t="str">
        <f t="shared" si="14"/>
        <v/>
      </c>
    </row>
    <row r="179" spans="1:17">
      <c r="A179" s="5"/>
      <c r="B179" t="str">
        <f t="shared" si="10"/>
        <v/>
      </c>
      <c r="E179" t="str">
        <f>IF(D179="","",IFERROR(VLOOKUP(D179,基础资料!$P$5:$R$204,2,FALSE),""))</f>
        <v/>
      </c>
      <c r="F179" t="str">
        <f>IF(D179="","",IFERROR(VLOOKUP(D179,基础资料!$P$5:$R$204,3,FALSE),""))</f>
        <v/>
      </c>
      <c r="G179" s="17"/>
      <c r="H179" s="17"/>
      <c r="I179" s="17" t="str">
        <f t="shared" si="11"/>
        <v/>
      </c>
      <c r="J179" s="17" t="str">
        <f>IF(D179="","",IFERROR(VLOOKUP(D179,基础资料!$P$5:$T$204,5,FALSE),0))</f>
        <v/>
      </c>
      <c r="K179" s="17" t="str">
        <f t="shared" si="12"/>
        <v/>
      </c>
      <c r="L179" s="5" t="str">
        <f>IF(OR(A179="",C179=""),"",A179+IFERROR(VLOOKUP(C179,基础资料!$Y$5:$AA$204,3,FALSE),0))</f>
        <v/>
      </c>
      <c r="P179" t="str">
        <f t="shared" si="13"/>
        <v/>
      </c>
      <c r="Q179" s="17" t="str">
        <f t="shared" si="14"/>
        <v/>
      </c>
    </row>
    <row r="180" spans="1:17">
      <c r="A180" s="5"/>
      <c r="B180" t="str">
        <f t="shared" si="10"/>
        <v/>
      </c>
      <c r="E180" t="str">
        <f>IF(D180="","",IFERROR(VLOOKUP(D180,基础资料!$P$5:$R$204,2,FALSE),""))</f>
        <v/>
      </c>
      <c r="F180" t="str">
        <f>IF(D180="","",IFERROR(VLOOKUP(D180,基础资料!$P$5:$R$204,3,FALSE),""))</f>
        <v/>
      </c>
      <c r="G180" s="17"/>
      <c r="H180" s="17"/>
      <c r="I180" s="17" t="str">
        <f t="shared" si="11"/>
        <v/>
      </c>
      <c r="J180" s="17" t="str">
        <f>IF(D180="","",IFERROR(VLOOKUP(D180,基础资料!$P$5:$T$204,5,FALSE),0))</f>
        <v/>
      </c>
      <c r="K180" s="17" t="str">
        <f t="shared" si="12"/>
        <v/>
      </c>
      <c r="L180" s="5" t="str">
        <f>IF(OR(A180="",C180=""),"",A180+IFERROR(VLOOKUP(C180,基础资料!$Y$5:$AA$204,3,FALSE),0))</f>
        <v/>
      </c>
      <c r="P180" t="str">
        <f t="shared" si="13"/>
        <v/>
      </c>
      <c r="Q180" s="17" t="str">
        <f t="shared" si="14"/>
        <v/>
      </c>
    </row>
    <row r="181" spans="1:17">
      <c r="A181" s="5"/>
      <c r="B181" t="str">
        <f t="shared" si="10"/>
        <v/>
      </c>
      <c r="E181" t="str">
        <f>IF(D181="","",IFERROR(VLOOKUP(D181,基础资料!$P$5:$R$204,2,FALSE),""))</f>
        <v/>
      </c>
      <c r="F181" t="str">
        <f>IF(D181="","",IFERROR(VLOOKUP(D181,基础资料!$P$5:$R$204,3,FALSE),""))</f>
        <v/>
      </c>
      <c r="G181" s="17"/>
      <c r="H181" s="17"/>
      <c r="I181" s="17" t="str">
        <f t="shared" si="11"/>
        <v/>
      </c>
      <c r="J181" s="17" t="str">
        <f>IF(D181="","",IFERROR(VLOOKUP(D181,基础资料!$P$5:$T$204,5,FALSE),0))</f>
        <v/>
      </c>
      <c r="K181" s="17" t="str">
        <f t="shared" si="12"/>
        <v/>
      </c>
      <c r="L181" s="5" t="str">
        <f>IF(OR(A181="",C181=""),"",A181+IFERROR(VLOOKUP(C181,基础资料!$Y$5:$AA$204,3,FALSE),0))</f>
        <v/>
      </c>
      <c r="P181" t="str">
        <f t="shared" si="13"/>
        <v/>
      </c>
      <c r="Q181" s="17" t="str">
        <f t="shared" si="14"/>
        <v/>
      </c>
    </row>
    <row r="182" spans="1:17">
      <c r="A182" s="5"/>
      <c r="B182" t="str">
        <f t="shared" si="10"/>
        <v/>
      </c>
      <c r="E182" t="str">
        <f>IF(D182="","",IFERROR(VLOOKUP(D182,基础资料!$P$5:$R$204,2,FALSE),""))</f>
        <v/>
      </c>
      <c r="F182" t="str">
        <f>IF(D182="","",IFERROR(VLOOKUP(D182,基础资料!$P$5:$R$204,3,FALSE),""))</f>
        <v/>
      </c>
      <c r="G182" s="17"/>
      <c r="H182" s="17"/>
      <c r="I182" s="17" t="str">
        <f t="shared" si="11"/>
        <v/>
      </c>
      <c r="J182" s="17" t="str">
        <f>IF(D182="","",IFERROR(VLOOKUP(D182,基础资料!$P$5:$T$204,5,FALSE),0))</f>
        <v/>
      </c>
      <c r="K182" s="17" t="str">
        <f t="shared" si="12"/>
        <v/>
      </c>
      <c r="L182" s="5" t="str">
        <f>IF(OR(A182="",C182=""),"",A182+IFERROR(VLOOKUP(C182,基础资料!$Y$5:$AA$204,3,FALSE),0))</f>
        <v/>
      </c>
      <c r="P182" t="str">
        <f t="shared" si="13"/>
        <v/>
      </c>
      <c r="Q182" s="17" t="str">
        <f t="shared" si="14"/>
        <v/>
      </c>
    </row>
    <row r="183" spans="1:17">
      <c r="A183" s="5"/>
      <c r="B183" t="str">
        <f t="shared" si="10"/>
        <v/>
      </c>
      <c r="E183" t="str">
        <f>IF(D183="","",IFERROR(VLOOKUP(D183,基础资料!$P$5:$R$204,2,FALSE),""))</f>
        <v/>
      </c>
      <c r="F183" t="str">
        <f>IF(D183="","",IFERROR(VLOOKUP(D183,基础资料!$P$5:$R$204,3,FALSE),""))</f>
        <v/>
      </c>
      <c r="G183" s="17"/>
      <c r="H183" s="17"/>
      <c r="I183" s="17" t="str">
        <f t="shared" si="11"/>
        <v/>
      </c>
      <c r="J183" s="17" t="str">
        <f>IF(D183="","",IFERROR(VLOOKUP(D183,基础资料!$P$5:$T$204,5,FALSE),0))</f>
        <v/>
      </c>
      <c r="K183" s="17" t="str">
        <f t="shared" si="12"/>
        <v/>
      </c>
      <c r="L183" s="5" t="str">
        <f>IF(OR(A183="",C183=""),"",A183+IFERROR(VLOOKUP(C183,基础资料!$Y$5:$AA$204,3,FALSE),0))</f>
        <v/>
      </c>
      <c r="P183" t="str">
        <f t="shared" si="13"/>
        <v/>
      </c>
      <c r="Q183" s="17" t="str">
        <f t="shared" si="14"/>
        <v/>
      </c>
    </row>
    <row r="184" spans="1:17">
      <c r="A184" s="5"/>
      <c r="B184" t="str">
        <f t="shared" si="10"/>
        <v/>
      </c>
      <c r="E184" t="str">
        <f>IF(D184="","",IFERROR(VLOOKUP(D184,基础资料!$P$5:$R$204,2,FALSE),""))</f>
        <v/>
      </c>
      <c r="F184" t="str">
        <f>IF(D184="","",IFERROR(VLOOKUP(D184,基础资料!$P$5:$R$204,3,FALSE),""))</f>
        <v/>
      </c>
      <c r="G184" s="17"/>
      <c r="H184" s="17"/>
      <c r="I184" s="17" t="str">
        <f t="shared" si="11"/>
        <v/>
      </c>
      <c r="J184" s="17" t="str">
        <f>IF(D184="","",IFERROR(VLOOKUP(D184,基础资料!$P$5:$T$204,5,FALSE),0))</f>
        <v/>
      </c>
      <c r="K184" s="17" t="str">
        <f t="shared" si="12"/>
        <v/>
      </c>
      <c r="L184" s="5" t="str">
        <f>IF(OR(A184="",C184=""),"",A184+IFERROR(VLOOKUP(C184,基础资料!$Y$5:$AA$204,3,FALSE),0))</f>
        <v/>
      </c>
      <c r="P184" t="str">
        <f t="shared" si="13"/>
        <v/>
      </c>
      <c r="Q184" s="17" t="str">
        <f t="shared" si="14"/>
        <v/>
      </c>
    </row>
    <row r="185" spans="1:17">
      <c r="A185" s="5"/>
      <c r="B185" t="str">
        <f t="shared" si="10"/>
        <v/>
      </c>
      <c r="E185" t="str">
        <f>IF(D185="","",IFERROR(VLOOKUP(D185,基础资料!$P$5:$R$204,2,FALSE),""))</f>
        <v/>
      </c>
      <c r="F185" t="str">
        <f>IF(D185="","",IFERROR(VLOOKUP(D185,基础资料!$P$5:$R$204,3,FALSE),""))</f>
        <v/>
      </c>
      <c r="G185" s="17"/>
      <c r="H185" s="17"/>
      <c r="I185" s="17" t="str">
        <f t="shared" si="11"/>
        <v/>
      </c>
      <c r="J185" s="17" t="str">
        <f>IF(D185="","",IFERROR(VLOOKUP(D185,基础资料!$P$5:$T$204,5,FALSE),0))</f>
        <v/>
      </c>
      <c r="K185" s="17" t="str">
        <f t="shared" si="12"/>
        <v/>
      </c>
      <c r="L185" s="5" t="str">
        <f>IF(OR(A185="",C185=""),"",A185+IFERROR(VLOOKUP(C185,基础资料!$Y$5:$AA$204,3,FALSE),0))</f>
        <v/>
      </c>
      <c r="P185" t="str">
        <f t="shared" si="13"/>
        <v/>
      </c>
      <c r="Q185" s="17" t="str">
        <f t="shared" si="14"/>
        <v/>
      </c>
    </row>
    <row r="186" spans="1:17">
      <c r="A186" s="5"/>
      <c r="B186" t="str">
        <f t="shared" si="10"/>
        <v/>
      </c>
      <c r="E186" t="str">
        <f>IF(D186="","",IFERROR(VLOOKUP(D186,基础资料!$P$5:$R$204,2,FALSE),""))</f>
        <v/>
      </c>
      <c r="F186" t="str">
        <f>IF(D186="","",IFERROR(VLOOKUP(D186,基础资料!$P$5:$R$204,3,FALSE),""))</f>
        <v/>
      </c>
      <c r="G186" s="17"/>
      <c r="H186" s="17"/>
      <c r="I186" s="17" t="str">
        <f t="shared" si="11"/>
        <v/>
      </c>
      <c r="J186" s="17" t="str">
        <f>IF(D186="","",IFERROR(VLOOKUP(D186,基础资料!$P$5:$T$204,5,FALSE),0))</f>
        <v/>
      </c>
      <c r="K186" s="17" t="str">
        <f t="shared" si="12"/>
        <v/>
      </c>
      <c r="L186" s="5" t="str">
        <f>IF(OR(A186="",C186=""),"",A186+IFERROR(VLOOKUP(C186,基础资料!$Y$5:$AA$204,3,FALSE),0))</f>
        <v/>
      </c>
      <c r="P186" t="str">
        <f t="shared" si="13"/>
        <v/>
      </c>
      <c r="Q186" s="17" t="str">
        <f t="shared" si="14"/>
        <v/>
      </c>
    </row>
    <row r="187" spans="1:17">
      <c r="A187" s="5"/>
      <c r="B187" t="str">
        <f t="shared" si="10"/>
        <v/>
      </c>
      <c r="E187" t="str">
        <f>IF(D187="","",IFERROR(VLOOKUP(D187,基础资料!$P$5:$R$204,2,FALSE),""))</f>
        <v/>
      </c>
      <c r="F187" t="str">
        <f>IF(D187="","",IFERROR(VLOOKUP(D187,基础资料!$P$5:$R$204,3,FALSE),""))</f>
        <v/>
      </c>
      <c r="G187" s="17"/>
      <c r="H187" s="17"/>
      <c r="I187" s="17" t="str">
        <f t="shared" si="11"/>
        <v/>
      </c>
      <c r="J187" s="17" t="str">
        <f>IF(D187="","",IFERROR(VLOOKUP(D187,基础资料!$P$5:$T$204,5,FALSE),0))</f>
        <v/>
      </c>
      <c r="K187" s="17" t="str">
        <f t="shared" si="12"/>
        <v/>
      </c>
      <c r="L187" s="5" t="str">
        <f>IF(OR(A187="",C187=""),"",A187+IFERROR(VLOOKUP(C187,基础资料!$Y$5:$AA$204,3,FALSE),0))</f>
        <v/>
      </c>
      <c r="P187" t="str">
        <f t="shared" si="13"/>
        <v/>
      </c>
      <c r="Q187" s="17" t="str">
        <f t="shared" si="14"/>
        <v/>
      </c>
    </row>
    <row r="188" spans="1:17">
      <c r="A188" s="5"/>
      <c r="B188" t="str">
        <f t="shared" si="10"/>
        <v/>
      </c>
      <c r="E188" t="str">
        <f>IF(D188="","",IFERROR(VLOOKUP(D188,基础资料!$P$5:$R$204,2,FALSE),""))</f>
        <v/>
      </c>
      <c r="F188" t="str">
        <f>IF(D188="","",IFERROR(VLOOKUP(D188,基础资料!$P$5:$R$204,3,FALSE),""))</f>
        <v/>
      </c>
      <c r="G188" s="17"/>
      <c r="H188" s="17"/>
      <c r="I188" s="17" t="str">
        <f t="shared" si="11"/>
        <v/>
      </c>
      <c r="J188" s="17" t="str">
        <f>IF(D188="","",IFERROR(VLOOKUP(D188,基础资料!$P$5:$T$204,5,FALSE),0))</f>
        <v/>
      </c>
      <c r="K188" s="17" t="str">
        <f t="shared" si="12"/>
        <v/>
      </c>
      <c r="L188" s="5" t="str">
        <f>IF(OR(A188="",C188=""),"",A188+IFERROR(VLOOKUP(C188,基础资料!$Y$5:$AA$204,3,FALSE),0))</f>
        <v/>
      </c>
      <c r="P188" t="str">
        <f t="shared" si="13"/>
        <v/>
      </c>
      <c r="Q188" s="17" t="str">
        <f t="shared" si="14"/>
        <v/>
      </c>
    </row>
    <row r="189" spans="1:17">
      <c r="A189" s="5"/>
      <c r="B189" t="str">
        <f t="shared" si="10"/>
        <v/>
      </c>
      <c r="E189" t="str">
        <f>IF(D189="","",IFERROR(VLOOKUP(D189,基础资料!$P$5:$R$204,2,FALSE),""))</f>
        <v/>
      </c>
      <c r="F189" t="str">
        <f>IF(D189="","",IFERROR(VLOOKUP(D189,基础资料!$P$5:$R$204,3,FALSE),""))</f>
        <v/>
      </c>
      <c r="G189" s="17"/>
      <c r="H189" s="17"/>
      <c r="I189" s="17" t="str">
        <f t="shared" si="11"/>
        <v/>
      </c>
      <c r="J189" s="17" t="str">
        <f>IF(D189="","",IFERROR(VLOOKUP(D189,基础资料!$P$5:$T$204,5,FALSE),0))</f>
        <v/>
      </c>
      <c r="K189" s="17" t="str">
        <f t="shared" si="12"/>
        <v/>
      </c>
      <c r="L189" s="5" t="str">
        <f>IF(OR(A189="",C189=""),"",A189+IFERROR(VLOOKUP(C189,基础资料!$Y$5:$AA$204,3,FALSE),0))</f>
        <v/>
      </c>
      <c r="P189" t="str">
        <f t="shared" si="13"/>
        <v/>
      </c>
      <c r="Q189" s="17" t="str">
        <f t="shared" si="14"/>
        <v/>
      </c>
    </row>
    <row r="190" spans="1:17">
      <c r="A190" s="5"/>
      <c r="B190" t="str">
        <f t="shared" si="10"/>
        <v/>
      </c>
      <c r="E190" t="str">
        <f>IF(D190="","",IFERROR(VLOOKUP(D190,基础资料!$P$5:$R$204,2,FALSE),""))</f>
        <v/>
      </c>
      <c r="F190" t="str">
        <f>IF(D190="","",IFERROR(VLOOKUP(D190,基础资料!$P$5:$R$204,3,FALSE),""))</f>
        <v/>
      </c>
      <c r="G190" s="17"/>
      <c r="H190" s="17"/>
      <c r="I190" s="17" t="str">
        <f t="shared" si="11"/>
        <v/>
      </c>
      <c r="J190" s="17" t="str">
        <f>IF(D190="","",IFERROR(VLOOKUP(D190,基础资料!$P$5:$T$204,5,FALSE),0))</f>
        <v/>
      </c>
      <c r="K190" s="17" t="str">
        <f t="shared" si="12"/>
        <v/>
      </c>
      <c r="L190" s="5" t="str">
        <f>IF(OR(A190="",C190=""),"",A190+IFERROR(VLOOKUP(C190,基础资料!$Y$5:$AA$204,3,FALSE),0))</f>
        <v/>
      </c>
      <c r="P190" t="str">
        <f t="shared" si="13"/>
        <v/>
      </c>
      <c r="Q190" s="17" t="str">
        <f t="shared" si="14"/>
        <v/>
      </c>
    </row>
    <row r="191" spans="1:17">
      <c r="A191" s="5"/>
      <c r="B191" t="str">
        <f t="shared" si="10"/>
        <v/>
      </c>
      <c r="E191" t="str">
        <f>IF(D191="","",IFERROR(VLOOKUP(D191,基础资料!$P$5:$R$204,2,FALSE),""))</f>
        <v/>
      </c>
      <c r="F191" t="str">
        <f>IF(D191="","",IFERROR(VLOOKUP(D191,基础资料!$P$5:$R$204,3,FALSE),""))</f>
        <v/>
      </c>
      <c r="G191" s="17"/>
      <c r="H191" s="17"/>
      <c r="I191" s="17" t="str">
        <f t="shared" si="11"/>
        <v/>
      </c>
      <c r="J191" s="17" t="str">
        <f>IF(D191="","",IFERROR(VLOOKUP(D191,基础资料!$P$5:$T$204,5,FALSE),0))</f>
        <v/>
      </c>
      <c r="K191" s="17" t="str">
        <f t="shared" si="12"/>
        <v/>
      </c>
      <c r="L191" s="5" t="str">
        <f>IF(OR(A191="",C191=""),"",A191+IFERROR(VLOOKUP(C191,基础资料!$Y$5:$AA$204,3,FALSE),0))</f>
        <v/>
      </c>
      <c r="P191" t="str">
        <f t="shared" si="13"/>
        <v/>
      </c>
      <c r="Q191" s="17" t="str">
        <f t="shared" si="14"/>
        <v/>
      </c>
    </row>
    <row r="192" spans="1:17">
      <c r="A192" s="5"/>
      <c r="B192" t="str">
        <f t="shared" si="10"/>
        <v/>
      </c>
      <c r="E192" t="str">
        <f>IF(D192="","",IFERROR(VLOOKUP(D192,基础资料!$P$5:$R$204,2,FALSE),""))</f>
        <v/>
      </c>
      <c r="F192" t="str">
        <f>IF(D192="","",IFERROR(VLOOKUP(D192,基础资料!$P$5:$R$204,3,FALSE),""))</f>
        <v/>
      </c>
      <c r="G192" s="17"/>
      <c r="H192" s="17"/>
      <c r="I192" s="17" t="str">
        <f t="shared" si="11"/>
        <v/>
      </c>
      <c r="J192" s="17" t="str">
        <f>IF(D192="","",IFERROR(VLOOKUP(D192,基础资料!$P$5:$T$204,5,FALSE),0))</f>
        <v/>
      </c>
      <c r="K192" s="17" t="str">
        <f t="shared" si="12"/>
        <v/>
      </c>
      <c r="L192" s="5" t="str">
        <f>IF(OR(A192="",C192=""),"",A192+IFERROR(VLOOKUP(C192,基础资料!$Y$5:$AA$204,3,FALSE),0))</f>
        <v/>
      </c>
      <c r="P192" t="str">
        <f t="shared" si="13"/>
        <v/>
      </c>
      <c r="Q192" s="17" t="str">
        <f t="shared" si="14"/>
        <v/>
      </c>
    </row>
    <row r="193" spans="1:17">
      <c r="A193" s="5"/>
      <c r="B193" t="str">
        <f t="shared" si="10"/>
        <v/>
      </c>
      <c r="E193" t="str">
        <f>IF(D193="","",IFERROR(VLOOKUP(D193,基础资料!$P$5:$R$204,2,FALSE),""))</f>
        <v/>
      </c>
      <c r="F193" t="str">
        <f>IF(D193="","",IFERROR(VLOOKUP(D193,基础资料!$P$5:$R$204,3,FALSE),""))</f>
        <v/>
      </c>
      <c r="G193" s="17"/>
      <c r="H193" s="17"/>
      <c r="I193" s="17" t="str">
        <f t="shared" si="11"/>
        <v/>
      </c>
      <c r="J193" s="17" t="str">
        <f>IF(D193="","",IFERROR(VLOOKUP(D193,基础资料!$P$5:$T$204,5,FALSE),0))</f>
        <v/>
      </c>
      <c r="K193" s="17" t="str">
        <f t="shared" si="12"/>
        <v/>
      </c>
      <c r="L193" s="5" t="str">
        <f>IF(OR(A193="",C193=""),"",A193+IFERROR(VLOOKUP(C193,基础资料!$Y$5:$AA$204,3,FALSE),0))</f>
        <v/>
      </c>
      <c r="P193" t="str">
        <f t="shared" si="13"/>
        <v/>
      </c>
      <c r="Q193" s="17" t="str">
        <f t="shared" si="14"/>
        <v/>
      </c>
    </row>
    <row r="194" spans="1:17">
      <c r="A194" s="5"/>
      <c r="B194" t="str">
        <f t="shared" si="10"/>
        <v/>
      </c>
      <c r="E194" t="str">
        <f>IF(D194="","",IFERROR(VLOOKUP(D194,基础资料!$P$5:$R$204,2,FALSE),""))</f>
        <v/>
      </c>
      <c r="F194" t="str">
        <f>IF(D194="","",IFERROR(VLOOKUP(D194,基础资料!$P$5:$R$204,3,FALSE),""))</f>
        <v/>
      </c>
      <c r="G194" s="17"/>
      <c r="H194" s="17"/>
      <c r="I194" s="17" t="str">
        <f t="shared" si="11"/>
        <v/>
      </c>
      <c r="J194" s="17" t="str">
        <f>IF(D194="","",IFERROR(VLOOKUP(D194,基础资料!$P$5:$T$204,5,FALSE),0))</f>
        <v/>
      </c>
      <c r="K194" s="17" t="str">
        <f t="shared" si="12"/>
        <v/>
      </c>
      <c r="L194" s="5" t="str">
        <f>IF(OR(A194="",C194=""),"",A194+IFERROR(VLOOKUP(C194,基础资料!$Y$5:$AA$204,3,FALSE),0))</f>
        <v/>
      </c>
      <c r="P194" t="str">
        <f t="shared" si="13"/>
        <v/>
      </c>
      <c r="Q194" s="17" t="str">
        <f t="shared" si="14"/>
        <v/>
      </c>
    </row>
    <row r="195" spans="1:17">
      <c r="A195" s="5"/>
      <c r="B195" t="str">
        <f t="shared" si="10"/>
        <v/>
      </c>
      <c r="E195" t="str">
        <f>IF(D195="","",IFERROR(VLOOKUP(D195,基础资料!$P$5:$R$204,2,FALSE),""))</f>
        <v/>
      </c>
      <c r="F195" t="str">
        <f>IF(D195="","",IFERROR(VLOOKUP(D195,基础资料!$P$5:$R$204,3,FALSE),""))</f>
        <v/>
      </c>
      <c r="G195" s="17"/>
      <c r="H195" s="17"/>
      <c r="I195" s="17" t="str">
        <f t="shared" si="11"/>
        <v/>
      </c>
      <c r="J195" s="17" t="str">
        <f>IF(D195="","",IFERROR(VLOOKUP(D195,基础资料!$P$5:$T$204,5,FALSE),0))</f>
        <v/>
      </c>
      <c r="K195" s="17" t="str">
        <f t="shared" si="12"/>
        <v/>
      </c>
      <c r="L195" s="5" t="str">
        <f>IF(OR(A195="",C195=""),"",A195+IFERROR(VLOOKUP(C195,基础资料!$Y$5:$AA$204,3,FALSE),0))</f>
        <v/>
      </c>
      <c r="P195" t="str">
        <f t="shared" si="13"/>
        <v/>
      </c>
      <c r="Q195" s="17" t="str">
        <f t="shared" si="14"/>
        <v/>
      </c>
    </row>
    <row r="196" spans="1:17">
      <c r="A196" s="5"/>
      <c r="B196" t="str">
        <f t="shared" ref="B196:B203" si="15">IF(A196="","",TEXT(A196,"yyyy-mm"))</f>
        <v/>
      </c>
      <c r="E196" t="str">
        <f>IF(D196="","",IFERROR(VLOOKUP(D196,基础资料!$P$5:$R$204,2,FALSE),""))</f>
        <v/>
      </c>
      <c r="F196" t="str">
        <f>IF(D196="","",IFERROR(VLOOKUP(D196,基础资料!$P$5:$R$204,3,FALSE),""))</f>
        <v/>
      </c>
      <c r="G196" s="17"/>
      <c r="H196" s="17"/>
      <c r="I196" s="17" t="str">
        <f t="shared" ref="I196:I203" si="16">IF(OR(G196="",H196=""),"",G196*H196)</f>
        <v/>
      </c>
      <c r="J196" s="17" t="str">
        <f>IF(D196="","",IFERROR(VLOOKUP(D196,基础资料!$P$5:$T$204,5,FALSE),0))</f>
        <v/>
      </c>
      <c r="K196" s="17" t="str">
        <f t="shared" ref="K196:K203" si="17">IF(OR(G196="",J196=""),"",G196*J196)</f>
        <v/>
      </c>
      <c r="L196" s="5" t="str">
        <f>IF(OR(A196="",C196=""),"",A196+IFERROR(VLOOKUP(C196,基础资料!$Y$5:$AA$204,3,FALSE),0))</f>
        <v/>
      </c>
      <c r="P196" t="str">
        <f t="shared" ref="P196:P203" si="18">IF(A196="","","可录入")</f>
        <v/>
      </c>
      <c r="Q196" s="17" t="str">
        <f t="shared" ref="Q196:Q203" si="19">IF(I196="","",I196-K196)</f>
        <v/>
      </c>
    </row>
    <row r="197" spans="1:17">
      <c r="A197" s="5"/>
      <c r="B197" t="str">
        <f t="shared" si="15"/>
        <v/>
      </c>
      <c r="E197" t="str">
        <f>IF(D197="","",IFERROR(VLOOKUP(D197,基础资料!$P$5:$R$204,2,FALSE),""))</f>
        <v/>
      </c>
      <c r="F197" t="str">
        <f>IF(D197="","",IFERROR(VLOOKUP(D197,基础资料!$P$5:$R$204,3,FALSE),""))</f>
        <v/>
      </c>
      <c r="G197" s="17"/>
      <c r="H197" s="17"/>
      <c r="I197" s="17" t="str">
        <f t="shared" si="16"/>
        <v/>
      </c>
      <c r="J197" s="17" t="str">
        <f>IF(D197="","",IFERROR(VLOOKUP(D197,基础资料!$P$5:$T$204,5,FALSE),0))</f>
        <v/>
      </c>
      <c r="K197" s="17" t="str">
        <f t="shared" si="17"/>
        <v/>
      </c>
      <c r="L197" s="5" t="str">
        <f>IF(OR(A197="",C197=""),"",A197+IFERROR(VLOOKUP(C197,基础资料!$Y$5:$AA$204,3,FALSE),0))</f>
        <v/>
      </c>
      <c r="P197" t="str">
        <f t="shared" si="18"/>
        <v/>
      </c>
      <c r="Q197" s="17" t="str">
        <f t="shared" si="19"/>
        <v/>
      </c>
    </row>
    <row r="198" spans="1:17">
      <c r="A198" s="5"/>
      <c r="B198" t="str">
        <f t="shared" si="15"/>
        <v/>
      </c>
      <c r="E198" t="str">
        <f>IF(D198="","",IFERROR(VLOOKUP(D198,基础资料!$P$5:$R$204,2,FALSE),""))</f>
        <v/>
      </c>
      <c r="F198" t="str">
        <f>IF(D198="","",IFERROR(VLOOKUP(D198,基础资料!$P$5:$R$204,3,FALSE),""))</f>
        <v/>
      </c>
      <c r="G198" s="17"/>
      <c r="H198" s="17"/>
      <c r="I198" s="17" t="str">
        <f t="shared" si="16"/>
        <v/>
      </c>
      <c r="J198" s="17" t="str">
        <f>IF(D198="","",IFERROR(VLOOKUP(D198,基础资料!$P$5:$T$204,5,FALSE),0))</f>
        <v/>
      </c>
      <c r="K198" s="17" t="str">
        <f t="shared" si="17"/>
        <v/>
      </c>
      <c r="L198" s="5" t="str">
        <f>IF(OR(A198="",C198=""),"",A198+IFERROR(VLOOKUP(C198,基础资料!$Y$5:$AA$204,3,FALSE),0))</f>
        <v/>
      </c>
      <c r="P198" t="str">
        <f t="shared" si="18"/>
        <v/>
      </c>
      <c r="Q198" s="17" t="str">
        <f t="shared" si="19"/>
        <v/>
      </c>
    </row>
    <row r="199" spans="1:17">
      <c r="A199" s="5"/>
      <c r="B199" t="str">
        <f t="shared" si="15"/>
        <v/>
      </c>
      <c r="E199" t="str">
        <f>IF(D199="","",IFERROR(VLOOKUP(D199,基础资料!$P$5:$R$204,2,FALSE),""))</f>
        <v/>
      </c>
      <c r="F199" t="str">
        <f>IF(D199="","",IFERROR(VLOOKUP(D199,基础资料!$P$5:$R$204,3,FALSE),""))</f>
        <v/>
      </c>
      <c r="G199" s="17"/>
      <c r="H199" s="17"/>
      <c r="I199" s="17" t="str">
        <f t="shared" si="16"/>
        <v/>
      </c>
      <c r="J199" s="17" t="str">
        <f>IF(D199="","",IFERROR(VLOOKUP(D199,基础资料!$P$5:$T$204,5,FALSE),0))</f>
        <v/>
      </c>
      <c r="K199" s="17" t="str">
        <f t="shared" si="17"/>
        <v/>
      </c>
      <c r="L199" s="5" t="str">
        <f>IF(OR(A199="",C199=""),"",A199+IFERROR(VLOOKUP(C199,基础资料!$Y$5:$AA$204,3,FALSE),0))</f>
        <v/>
      </c>
      <c r="P199" t="str">
        <f t="shared" si="18"/>
        <v/>
      </c>
      <c r="Q199" s="17" t="str">
        <f t="shared" si="19"/>
        <v/>
      </c>
    </row>
    <row r="200" spans="1:17">
      <c r="A200" s="5"/>
      <c r="B200" t="str">
        <f t="shared" si="15"/>
        <v/>
      </c>
      <c r="E200" t="str">
        <f>IF(D200="","",IFERROR(VLOOKUP(D200,基础资料!$P$5:$R$204,2,FALSE),""))</f>
        <v/>
      </c>
      <c r="F200" t="str">
        <f>IF(D200="","",IFERROR(VLOOKUP(D200,基础资料!$P$5:$R$204,3,FALSE),""))</f>
        <v/>
      </c>
      <c r="G200" s="17"/>
      <c r="H200" s="17"/>
      <c r="I200" s="17" t="str">
        <f t="shared" si="16"/>
        <v/>
      </c>
      <c r="J200" s="17" t="str">
        <f>IF(D200="","",IFERROR(VLOOKUP(D200,基础资料!$P$5:$T$204,5,FALSE),0))</f>
        <v/>
      </c>
      <c r="K200" s="17" t="str">
        <f t="shared" si="17"/>
        <v/>
      </c>
      <c r="L200" s="5" t="str">
        <f>IF(OR(A200="",C200=""),"",A200+IFERROR(VLOOKUP(C200,基础资料!$Y$5:$AA$204,3,FALSE),0))</f>
        <v/>
      </c>
      <c r="P200" t="str">
        <f t="shared" si="18"/>
        <v/>
      </c>
      <c r="Q200" s="17" t="str">
        <f t="shared" si="19"/>
        <v/>
      </c>
    </row>
    <row r="201" spans="1:17">
      <c r="A201" s="5"/>
      <c r="B201" t="str">
        <f t="shared" si="15"/>
        <v/>
      </c>
      <c r="E201" t="str">
        <f>IF(D201="","",IFERROR(VLOOKUP(D201,基础资料!$P$5:$R$204,2,FALSE),""))</f>
        <v/>
      </c>
      <c r="F201" t="str">
        <f>IF(D201="","",IFERROR(VLOOKUP(D201,基础资料!$P$5:$R$204,3,FALSE),""))</f>
        <v/>
      </c>
      <c r="G201" s="17"/>
      <c r="H201" s="17"/>
      <c r="I201" s="17" t="str">
        <f t="shared" si="16"/>
        <v/>
      </c>
      <c r="J201" s="17" t="str">
        <f>IF(D201="","",IFERROR(VLOOKUP(D201,基础资料!$P$5:$T$204,5,FALSE),0))</f>
        <v/>
      </c>
      <c r="K201" s="17" t="str">
        <f t="shared" si="17"/>
        <v/>
      </c>
      <c r="L201" s="5" t="str">
        <f>IF(OR(A201="",C201=""),"",A201+IFERROR(VLOOKUP(C201,基础资料!$Y$5:$AA$204,3,FALSE),0))</f>
        <v/>
      </c>
      <c r="P201" t="str">
        <f t="shared" si="18"/>
        <v/>
      </c>
      <c r="Q201" s="17" t="str">
        <f t="shared" si="19"/>
        <v/>
      </c>
    </row>
    <row r="202" spans="1:17">
      <c r="A202" s="5"/>
      <c r="B202" t="str">
        <f t="shared" si="15"/>
        <v/>
      </c>
      <c r="E202" t="str">
        <f>IF(D202="","",IFERROR(VLOOKUP(D202,基础资料!$P$5:$R$204,2,FALSE),""))</f>
        <v/>
      </c>
      <c r="F202" t="str">
        <f>IF(D202="","",IFERROR(VLOOKUP(D202,基础资料!$P$5:$R$204,3,FALSE),""))</f>
        <v/>
      </c>
      <c r="G202" s="17"/>
      <c r="H202" s="17"/>
      <c r="I202" s="17" t="str">
        <f t="shared" si="16"/>
        <v/>
      </c>
      <c r="J202" s="17" t="str">
        <f>IF(D202="","",IFERROR(VLOOKUP(D202,基础资料!$P$5:$T$204,5,FALSE),0))</f>
        <v/>
      </c>
      <c r="K202" s="17" t="str">
        <f t="shared" si="17"/>
        <v/>
      </c>
      <c r="L202" s="5" t="str">
        <f>IF(OR(A202="",C202=""),"",A202+IFERROR(VLOOKUP(C202,基础资料!$Y$5:$AA$204,3,FALSE),0))</f>
        <v/>
      </c>
      <c r="P202" t="str">
        <f t="shared" si="18"/>
        <v/>
      </c>
      <c r="Q202" s="17" t="str">
        <f t="shared" si="19"/>
        <v/>
      </c>
    </row>
    <row r="203" spans="1:17">
      <c r="A203" s="5"/>
      <c r="B203" t="str">
        <f t="shared" si="15"/>
        <v/>
      </c>
      <c r="E203" t="str">
        <f>IF(D203="","",IFERROR(VLOOKUP(D203,基础资料!$P$5:$R$204,2,FALSE),""))</f>
        <v/>
      </c>
      <c r="F203" t="str">
        <f>IF(D203="","",IFERROR(VLOOKUP(D203,基础资料!$P$5:$R$204,3,FALSE),""))</f>
        <v/>
      </c>
      <c r="G203" s="17"/>
      <c r="H203" s="17"/>
      <c r="I203" s="17" t="str">
        <f t="shared" si="16"/>
        <v/>
      </c>
      <c r="J203" s="17" t="str">
        <f>IF(D203="","",IFERROR(VLOOKUP(D203,基础资料!$P$5:$T$204,5,FALSE),0))</f>
        <v/>
      </c>
      <c r="K203" s="17" t="str">
        <f t="shared" si="17"/>
        <v/>
      </c>
      <c r="L203" s="5" t="str">
        <f>IF(OR(A203="",C203=""),"",A203+IFERROR(VLOOKUP(C203,基础资料!$Y$5:$AA$204,3,FALSE),0))</f>
        <v/>
      </c>
      <c r="P203" t="str">
        <f t="shared" si="18"/>
        <v/>
      </c>
      <c r="Q203" s="17" t="str">
        <f t="shared" si="19"/>
        <v/>
      </c>
    </row>
  </sheetData>
  <dataValidations count="4">
    <dataValidation type="list" sqref="C4:C103">
      <formula1>基础资料!$Y$5:$Y$104</formula1>
    </dataValidation>
    <dataValidation type="list" sqref="C104:C203">
      <formula1>基础资料!$Y$5:$Y$204</formula1>
    </dataValidation>
    <dataValidation type="list" sqref="D4:D103">
      <formula1>基础资料!$P$5:$P$104</formula1>
    </dataValidation>
    <dataValidation type="list" sqref="D104:D203">
      <formula1>基础资料!$P$5:$P$204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3"/>
  <sheetViews>
    <sheetView workbookViewId="0">
      <selection activeCell="A1" sqref="A1"/>
    </sheetView>
  </sheetViews>
  <sheetFormatPr defaultColWidth="9" defaultRowHeight="14.25"/>
  <cols>
    <col min="1" max="1" width="12" customWidth="1"/>
    <col min="2" max="2" width="10" customWidth="1"/>
    <col min="3" max="4" width="14" customWidth="1"/>
    <col min="5" max="5" width="10" customWidth="1"/>
    <col min="6" max="6" width="8" customWidth="1"/>
    <col min="7" max="7" width="9" customWidth="1"/>
    <col min="8" max="8" width="14" customWidth="1"/>
    <col min="9" max="11" width="12" customWidth="1"/>
    <col min="12" max="12" width="10" customWidth="1"/>
    <col min="13" max="13" width="16" customWidth="1"/>
    <col min="14" max="14" width="13" customWidth="1"/>
  </cols>
  <sheetData>
    <row r="1" ht="20.25" spans="1:14">
      <c r="A1" s="45" t="s">
        <v>439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>
      <c r="A2" s="61" t="s">
        <v>440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ht="27" spans="1:14">
      <c r="A3" s="43" t="s">
        <v>409</v>
      </c>
      <c r="B3" s="43" t="s">
        <v>410</v>
      </c>
      <c r="C3" s="43" t="s">
        <v>172</v>
      </c>
      <c r="D3" s="43" t="s">
        <v>398</v>
      </c>
      <c r="E3" s="43" t="s">
        <v>399</v>
      </c>
      <c r="F3" s="43" t="s">
        <v>37</v>
      </c>
      <c r="G3" s="43" t="s">
        <v>431</v>
      </c>
      <c r="H3" s="43" t="s">
        <v>441</v>
      </c>
      <c r="I3" s="43" t="s">
        <v>442</v>
      </c>
      <c r="J3" s="43" t="s">
        <v>436</v>
      </c>
      <c r="K3" s="43" t="s">
        <v>19</v>
      </c>
      <c r="L3" s="43" t="s">
        <v>47</v>
      </c>
      <c r="M3" s="43" t="s">
        <v>31</v>
      </c>
      <c r="N3" s="43" t="s">
        <v>420</v>
      </c>
    </row>
    <row r="4" spans="1:14">
      <c r="A4" s="60">
        <v>46174</v>
      </c>
      <c r="B4" s="11" t="str">
        <f t="shared" ref="B4:B67" si="0">IF(A4="","",TEXT(A4,"yyyy-mm"))</f>
        <v>2026-06</v>
      </c>
      <c r="C4" s="54" t="s">
        <v>75</v>
      </c>
      <c r="D4" s="54" t="s">
        <v>69</v>
      </c>
      <c r="E4" s="11" t="str">
        <f>IF(D4="","",IFERROR(VLOOKUP(D4,基础资料!$P$5:$R$204,2,FALSE),""))</f>
        <v>A-01</v>
      </c>
      <c r="F4" s="11" t="str">
        <f>IF(D4="","",IFERROR(VLOOKUP(D4,基础资料!$P$5:$R$204,3,FALSE),""))</f>
        <v>个</v>
      </c>
      <c r="G4" s="55">
        <v>30</v>
      </c>
      <c r="H4" s="55">
        <v>100</v>
      </c>
      <c r="I4" s="62">
        <f t="shared" ref="I4:I67" si="1">IF(OR(G4="",H4=""),"",G4*H4)</f>
        <v>3000</v>
      </c>
      <c r="J4" s="63">
        <f>IF(OR(A4="",C4=""),"",A4+IFERROR(VLOOKUP(C4,基础资料!$AE$5:$AG$204,3,FALSE),0))</f>
        <v>46204</v>
      </c>
      <c r="K4" s="54" t="s">
        <v>103</v>
      </c>
      <c r="L4" s="54" t="s">
        <v>76</v>
      </c>
      <c r="M4" s="54" t="s">
        <v>443</v>
      </c>
      <c r="N4" s="11" t="str">
        <f t="shared" ref="N4:N67" si="2">IF(A4="","","可录入")</f>
        <v>可录入</v>
      </c>
    </row>
    <row r="5" spans="1:14">
      <c r="A5" s="60">
        <v>46176</v>
      </c>
      <c r="B5" s="11" t="str">
        <f t="shared" si="0"/>
        <v>2026-06</v>
      </c>
      <c r="C5" s="54" t="s">
        <v>97</v>
      </c>
      <c r="D5" s="54" t="s">
        <v>92</v>
      </c>
      <c r="E5" s="11" t="str">
        <f>IF(D5="","",IFERROR(VLOOKUP(D5,基础资料!$P$5:$R$204,2,FALSE),""))</f>
        <v>B-02</v>
      </c>
      <c r="F5" s="11" t="str">
        <f>IF(D5="","",IFERROR(VLOOKUP(D5,基础资料!$P$5:$R$204,3,FALSE),""))</f>
        <v>个</v>
      </c>
      <c r="G5" s="55">
        <v>20</v>
      </c>
      <c r="H5" s="55">
        <v>125</v>
      </c>
      <c r="I5" s="62">
        <f t="shared" si="1"/>
        <v>2500</v>
      </c>
      <c r="J5" s="63">
        <f>IF(OR(A5="",C5=""),"",A5+IFERROR(VLOOKUP(C5,基础资料!$AE$5:$AG$204,3,FALSE),0))</f>
        <v>46206</v>
      </c>
      <c r="K5" s="54" t="s">
        <v>103</v>
      </c>
      <c r="L5" s="54" t="s">
        <v>76</v>
      </c>
      <c r="M5" s="54" t="s">
        <v>443</v>
      </c>
      <c r="N5" s="11" t="str">
        <f t="shared" si="2"/>
        <v>可录入</v>
      </c>
    </row>
    <row r="6" spans="1:14">
      <c r="A6" s="60">
        <v>46178</v>
      </c>
      <c r="B6" s="11" t="str">
        <f t="shared" si="0"/>
        <v>2026-06</v>
      </c>
      <c r="C6" s="54" t="s">
        <v>111</v>
      </c>
      <c r="D6" s="54" t="s">
        <v>106</v>
      </c>
      <c r="E6" s="11" t="str">
        <f>IF(D6="","",IFERROR(VLOOKUP(D6,基础资料!$P$5:$R$204,2,FALSE),""))</f>
        <v>C-03</v>
      </c>
      <c r="F6" s="11" t="str">
        <f>IF(D6="","",IFERROR(VLOOKUP(D6,基础资料!$P$5:$R$204,3,FALSE),""))</f>
        <v>个</v>
      </c>
      <c r="G6" s="55">
        <v>50</v>
      </c>
      <c r="H6" s="55">
        <v>50</v>
      </c>
      <c r="I6" s="62">
        <f t="shared" si="1"/>
        <v>2500</v>
      </c>
      <c r="J6" s="63">
        <f>IF(OR(A6="",C6=""),"",A6+IFERROR(VLOOKUP(C6,基础资料!$AE$5:$AG$204,3,FALSE),0))</f>
        <v>46223</v>
      </c>
      <c r="K6" s="54" t="s">
        <v>103</v>
      </c>
      <c r="L6" s="54" t="s">
        <v>76</v>
      </c>
      <c r="M6" s="54" t="s">
        <v>443</v>
      </c>
      <c r="N6" s="11" t="str">
        <f t="shared" si="2"/>
        <v>可录入</v>
      </c>
    </row>
    <row r="7" spans="1:14">
      <c r="A7" s="60">
        <v>46180</v>
      </c>
      <c r="B7" s="11" t="str">
        <f t="shared" si="0"/>
        <v>2026-06</v>
      </c>
      <c r="C7" s="54" t="s">
        <v>124</v>
      </c>
      <c r="D7" s="54" t="s">
        <v>119</v>
      </c>
      <c r="E7" s="11" t="str">
        <f>IF(D7="","",IFERROR(VLOOKUP(D7,基础资料!$P$5:$R$204,2,FALSE),""))</f>
        <v>D-04</v>
      </c>
      <c r="F7" s="11" t="str">
        <f>IF(D7="","",IFERROR(VLOOKUP(D7,基础资料!$P$5:$R$204,3,FALSE),""))</f>
        <v>个</v>
      </c>
      <c r="G7" s="55">
        <v>10</v>
      </c>
      <c r="H7" s="55">
        <v>200</v>
      </c>
      <c r="I7" s="62">
        <f t="shared" si="1"/>
        <v>2000</v>
      </c>
      <c r="J7" s="63">
        <f>IF(OR(A7="",C7=""),"",A7+IFERROR(VLOOKUP(C7,基础资料!$AE$5:$AG$204,3,FALSE),0))</f>
        <v>46210</v>
      </c>
      <c r="K7" s="54" t="s">
        <v>103</v>
      </c>
      <c r="L7" s="54" t="s">
        <v>76</v>
      </c>
      <c r="M7" s="54" t="s">
        <v>443</v>
      </c>
      <c r="N7" s="11" t="str">
        <f t="shared" si="2"/>
        <v>可录入</v>
      </c>
    </row>
    <row r="8" spans="1:14">
      <c r="A8" s="60">
        <v>46182</v>
      </c>
      <c r="B8" s="11" t="str">
        <f t="shared" si="0"/>
        <v>2026-06</v>
      </c>
      <c r="C8" s="54" t="s">
        <v>138</v>
      </c>
      <c r="D8" s="54" t="s">
        <v>133</v>
      </c>
      <c r="E8" s="11" t="str">
        <f>IF(D8="","",IFERROR(VLOOKUP(D8,基础资料!$P$5:$R$204,2,FALSE),""))</f>
        <v>E-05</v>
      </c>
      <c r="F8" s="11" t="str">
        <f>IF(D8="","",IFERROR(VLOOKUP(D8,基础资料!$P$5:$R$204,3,FALSE),""))</f>
        <v>个</v>
      </c>
      <c r="G8" s="55">
        <v>80</v>
      </c>
      <c r="H8" s="55">
        <v>25</v>
      </c>
      <c r="I8" s="62">
        <f t="shared" si="1"/>
        <v>2000</v>
      </c>
      <c r="J8" s="63">
        <f>IF(OR(A8="",C8=""),"",A8+IFERROR(VLOOKUP(C8,基础资料!$AE$5:$AG$204,3,FALSE),0))</f>
        <v>46242</v>
      </c>
      <c r="K8" s="54" t="s">
        <v>103</v>
      </c>
      <c r="L8" s="54" t="s">
        <v>76</v>
      </c>
      <c r="M8" s="54" t="s">
        <v>443</v>
      </c>
      <c r="N8" s="11" t="str">
        <f t="shared" si="2"/>
        <v>可录入</v>
      </c>
    </row>
    <row r="9" spans="1:14">
      <c r="A9" s="60">
        <v>46184</v>
      </c>
      <c r="B9" s="11" t="str">
        <f t="shared" si="0"/>
        <v>2026-06</v>
      </c>
      <c r="C9" s="54" t="s">
        <v>153</v>
      </c>
      <c r="D9" s="54" t="s">
        <v>148</v>
      </c>
      <c r="E9" s="11" t="str">
        <f>IF(D9="","",IFERROR(VLOOKUP(D9,基础资料!$P$5:$R$204,2,FALSE),""))</f>
        <v>F-06</v>
      </c>
      <c r="F9" s="11" t="str">
        <f>IF(D9="","",IFERROR(VLOOKUP(D9,基础资料!$P$5:$R$204,3,FALSE),""))</f>
        <v>个</v>
      </c>
      <c r="G9" s="55">
        <v>25</v>
      </c>
      <c r="H9" s="55">
        <v>80</v>
      </c>
      <c r="I9" s="62">
        <f t="shared" si="1"/>
        <v>2000</v>
      </c>
      <c r="J9" s="63">
        <f>IF(OR(A9="",C9=""),"",A9+IFERROR(VLOOKUP(C9,基础资料!$AE$5:$AG$204,3,FALSE),0))</f>
        <v>46214</v>
      </c>
      <c r="K9" s="54" t="s">
        <v>103</v>
      </c>
      <c r="L9" s="54" t="s">
        <v>76</v>
      </c>
      <c r="M9" s="54" t="s">
        <v>443</v>
      </c>
      <c r="N9" s="11" t="str">
        <f t="shared" si="2"/>
        <v>可录入</v>
      </c>
    </row>
    <row r="10" spans="1:14">
      <c r="A10" s="60">
        <v>46186</v>
      </c>
      <c r="B10" s="11" t="str">
        <f t="shared" si="0"/>
        <v>2026-06</v>
      </c>
      <c r="C10" s="54" t="s">
        <v>167</v>
      </c>
      <c r="D10" s="54" t="s">
        <v>162</v>
      </c>
      <c r="E10" s="11" t="str">
        <f>IF(D10="","",IFERROR(VLOOKUP(D10,基础资料!$P$5:$R$204,2,FALSE),""))</f>
        <v>G-07</v>
      </c>
      <c r="F10" s="11" t="str">
        <f>IF(D10="","",IFERROR(VLOOKUP(D10,基础资料!$P$5:$R$204,3,FALSE),""))</f>
        <v>个</v>
      </c>
      <c r="G10" s="55">
        <v>20</v>
      </c>
      <c r="H10" s="55">
        <v>75</v>
      </c>
      <c r="I10" s="62">
        <f t="shared" si="1"/>
        <v>1500</v>
      </c>
      <c r="J10" s="63">
        <f>IF(OR(A10="",C10=""),"",A10+IFERROR(VLOOKUP(C10,基础资料!$AE$5:$AG$204,3,FALSE),0))</f>
        <v>46231</v>
      </c>
      <c r="K10" s="54" t="s">
        <v>103</v>
      </c>
      <c r="L10" s="54" t="s">
        <v>76</v>
      </c>
      <c r="M10" s="54" t="s">
        <v>443</v>
      </c>
      <c r="N10" s="11" t="str">
        <f t="shared" si="2"/>
        <v>可录入</v>
      </c>
    </row>
    <row r="11" spans="1:14">
      <c r="A11" s="60">
        <v>46188</v>
      </c>
      <c r="B11" s="11" t="str">
        <f t="shared" si="0"/>
        <v>2026-06</v>
      </c>
      <c r="C11" s="54" t="s">
        <v>183</v>
      </c>
      <c r="D11" s="54" t="s">
        <v>178</v>
      </c>
      <c r="E11" s="11" t="str">
        <f>IF(D11="","",IFERROR(VLOOKUP(D11,基础资料!$P$5:$R$204,2,FALSE),""))</f>
        <v>H-08</v>
      </c>
      <c r="F11" s="11" t="str">
        <f>IF(D11="","",IFERROR(VLOOKUP(D11,基础资料!$P$5:$R$204,3,FALSE),""))</f>
        <v>个</v>
      </c>
      <c r="G11" s="55">
        <v>12</v>
      </c>
      <c r="H11" s="55">
        <v>150</v>
      </c>
      <c r="I11" s="62">
        <f t="shared" si="1"/>
        <v>1800</v>
      </c>
      <c r="J11" s="63">
        <f>IF(OR(A11="",C11=""),"",A11+IFERROR(VLOOKUP(C11,基础资料!$AE$5:$AG$204,3,FALSE),0))</f>
        <v>46218</v>
      </c>
      <c r="K11" s="54" t="s">
        <v>103</v>
      </c>
      <c r="L11" s="54" t="s">
        <v>76</v>
      </c>
      <c r="M11" s="54" t="s">
        <v>443</v>
      </c>
      <c r="N11" s="11" t="str">
        <f t="shared" si="2"/>
        <v>可录入</v>
      </c>
    </row>
    <row r="12" spans="1:14">
      <c r="A12" s="60">
        <v>46190</v>
      </c>
      <c r="B12" s="11" t="str">
        <f t="shared" si="0"/>
        <v>2026-06</v>
      </c>
      <c r="C12" s="54" t="s">
        <v>197</v>
      </c>
      <c r="D12" s="54" t="s">
        <v>192</v>
      </c>
      <c r="E12" s="11" t="str">
        <f>IF(D12="","",IFERROR(VLOOKUP(D12,基础资料!$P$5:$R$204,2,FALSE),""))</f>
        <v>I-09</v>
      </c>
      <c r="F12" s="11" t="str">
        <f>IF(D12="","",IFERROR(VLOOKUP(D12,基础资料!$P$5:$R$204,3,FALSE),""))</f>
        <v>个</v>
      </c>
      <c r="G12" s="55">
        <v>40</v>
      </c>
      <c r="H12" s="55">
        <v>30</v>
      </c>
      <c r="I12" s="62">
        <f t="shared" si="1"/>
        <v>1200</v>
      </c>
      <c r="J12" s="63">
        <f>IF(OR(A12="",C12=""),"",A12+IFERROR(VLOOKUP(C12,基础资料!$AE$5:$AG$204,3,FALSE),0))</f>
        <v>46220</v>
      </c>
      <c r="K12" s="54" t="s">
        <v>103</v>
      </c>
      <c r="L12" s="54" t="s">
        <v>76</v>
      </c>
      <c r="M12" s="54" t="s">
        <v>443</v>
      </c>
      <c r="N12" s="11" t="str">
        <f t="shared" si="2"/>
        <v>可录入</v>
      </c>
    </row>
    <row r="13" spans="1:14">
      <c r="A13" s="60">
        <v>46192</v>
      </c>
      <c r="B13" s="11" t="str">
        <f t="shared" si="0"/>
        <v>2026-06</v>
      </c>
      <c r="C13" s="54" t="s">
        <v>211</v>
      </c>
      <c r="D13" s="54" t="s">
        <v>206</v>
      </c>
      <c r="E13" s="11" t="str">
        <f>IF(D13="","",IFERROR(VLOOKUP(D13,基础资料!$P$5:$R$204,2,FALSE),""))</f>
        <v>J-10</v>
      </c>
      <c r="F13" s="11" t="str">
        <f>IF(D13="","",IFERROR(VLOOKUP(D13,基础资料!$P$5:$R$204,3,FALSE),""))</f>
        <v>个</v>
      </c>
      <c r="G13" s="55">
        <v>30</v>
      </c>
      <c r="H13" s="55">
        <v>60</v>
      </c>
      <c r="I13" s="62">
        <f t="shared" si="1"/>
        <v>1800</v>
      </c>
      <c r="J13" s="63">
        <f>IF(OR(A13="",C13=""),"",A13+IFERROR(VLOOKUP(C13,基础资料!$AE$5:$AG$204,3,FALSE),0))</f>
        <v>46252</v>
      </c>
      <c r="K13" s="54" t="s">
        <v>103</v>
      </c>
      <c r="L13" s="54" t="s">
        <v>76</v>
      </c>
      <c r="M13" s="54" t="s">
        <v>443</v>
      </c>
      <c r="N13" s="11" t="str">
        <f t="shared" si="2"/>
        <v>可录入</v>
      </c>
    </row>
    <row r="14" spans="1:14">
      <c r="A14" s="60"/>
      <c r="B14" s="11" t="str">
        <f t="shared" si="0"/>
        <v/>
      </c>
      <c r="C14" s="54"/>
      <c r="D14" s="54"/>
      <c r="E14" s="11" t="str">
        <f>IF(D14="","",IFERROR(VLOOKUP(D14,基础资料!$P$5:$R$204,2,FALSE),""))</f>
        <v/>
      </c>
      <c r="F14" s="11" t="str">
        <f>IF(D14="","",IFERROR(VLOOKUP(D14,基础资料!$P$5:$R$204,3,FALSE),""))</f>
        <v/>
      </c>
      <c r="G14" s="55"/>
      <c r="H14" s="55"/>
      <c r="I14" s="62" t="str">
        <f t="shared" si="1"/>
        <v/>
      </c>
      <c r="J14" s="63" t="str">
        <f>IF(OR(A14="",C14=""),"",A14+IFERROR(VLOOKUP(C14,基础资料!$AE$5:$AG$204,3,FALSE),0))</f>
        <v/>
      </c>
      <c r="K14" s="54"/>
      <c r="L14" s="54"/>
      <c r="M14" s="54"/>
      <c r="N14" s="11" t="str">
        <f t="shared" si="2"/>
        <v/>
      </c>
    </row>
    <row r="15" spans="1:14">
      <c r="A15" s="60"/>
      <c r="B15" s="11" t="str">
        <f t="shared" si="0"/>
        <v/>
      </c>
      <c r="C15" s="54"/>
      <c r="D15" s="54"/>
      <c r="E15" s="11" t="str">
        <f>IF(D15="","",IFERROR(VLOOKUP(D15,基础资料!$P$5:$R$204,2,FALSE),""))</f>
        <v/>
      </c>
      <c r="F15" s="11" t="str">
        <f>IF(D15="","",IFERROR(VLOOKUP(D15,基础资料!$P$5:$R$204,3,FALSE),""))</f>
        <v/>
      </c>
      <c r="G15" s="55"/>
      <c r="H15" s="55"/>
      <c r="I15" s="62" t="str">
        <f t="shared" si="1"/>
        <v/>
      </c>
      <c r="J15" s="63" t="str">
        <f>IF(OR(A15="",C15=""),"",A15+IFERROR(VLOOKUP(C15,基础资料!$AE$5:$AG$204,3,FALSE),0))</f>
        <v/>
      </c>
      <c r="K15" s="54"/>
      <c r="L15" s="54"/>
      <c r="M15" s="54"/>
      <c r="N15" s="11" t="str">
        <f t="shared" si="2"/>
        <v/>
      </c>
    </row>
    <row r="16" spans="1:14">
      <c r="A16" s="60"/>
      <c r="B16" s="11" t="str">
        <f t="shared" si="0"/>
        <v/>
      </c>
      <c r="C16" s="54"/>
      <c r="D16" s="54"/>
      <c r="E16" s="11" t="str">
        <f>IF(D16="","",IFERROR(VLOOKUP(D16,基础资料!$P$5:$R$204,2,FALSE),""))</f>
        <v/>
      </c>
      <c r="F16" s="11" t="str">
        <f>IF(D16="","",IFERROR(VLOOKUP(D16,基础资料!$P$5:$R$204,3,FALSE),""))</f>
        <v/>
      </c>
      <c r="G16" s="55"/>
      <c r="H16" s="55"/>
      <c r="I16" s="62" t="str">
        <f t="shared" si="1"/>
        <v/>
      </c>
      <c r="J16" s="63" t="str">
        <f>IF(OR(A16="",C16=""),"",A16+IFERROR(VLOOKUP(C16,基础资料!$AE$5:$AG$204,3,FALSE),0))</f>
        <v/>
      </c>
      <c r="K16" s="54"/>
      <c r="L16" s="54"/>
      <c r="M16" s="54"/>
      <c r="N16" s="11" t="str">
        <f t="shared" si="2"/>
        <v/>
      </c>
    </row>
    <row r="17" spans="1:14">
      <c r="A17" s="60"/>
      <c r="B17" s="11" t="str">
        <f t="shared" si="0"/>
        <v/>
      </c>
      <c r="C17" s="54"/>
      <c r="D17" s="54"/>
      <c r="E17" s="11" t="str">
        <f>IF(D17="","",IFERROR(VLOOKUP(D17,基础资料!$P$5:$R$204,2,FALSE),""))</f>
        <v/>
      </c>
      <c r="F17" s="11" t="str">
        <f>IF(D17="","",IFERROR(VLOOKUP(D17,基础资料!$P$5:$R$204,3,FALSE),""))</f>
        <v/>
      </c>
      <c r="G17" s="55"/>
      <c r="H17" s="55"/>
      <c r="I17" s="62" t="str">
        <f t="shared" si="1"/>
        <v/>
      </c>
      <c r="J17" s="63" t="str">
        <f>IF(OR(A17="",C17=""),"",A17+IFERROR(VLOOKUP(C17,基础资料!$AE$5:$AG$204,3,FALSE),0))</f>
        <v/>
      </c>
      <c r="K17" s="54"/>
      <c r="L17" s="54"/>
      <c r="M17" s="54"/>
      <c r="N17" s="11" t="str">
        <f t="shared" si="2"/>
        <v/>
      </c>
    </row>
    <row r="18" spans="1:14">
      <c r="A18" s="60"/>
      <c r="B18" s="11" t="str">
        <f t="shared" si="0"/>
        <v/>
      </c>
      <c r="C18" s="54"/>
      <c r="D18" s="54"/>
      <c r="E18" s="11" t="str">
        <f>IF(D18="","",IFERROR(VLOOKUP(D18,基础资料!$P$5:$R$204,2,FALSE),""))</f>
        <v/>
      </c>
      <c r="F18" s="11" t="str">
        <f>IF(D18="","",IFERROR(VLOOKUP(D18,基础资料!$P$5:$R$204,3,FALSE),""))</f>
        <v/>
      </c>
      <c r="G18" s="55"/>
      <c r="H18" s="55"/>
      <c r="I18" s="62" t="str">
        <f t="shared" si="1"/>
        <v/>
      </c>
      <c r="J18" s="63" t="str">
        <f>IF(OR(A18="",C18=""),"",A18+IFERROR(VLOOKUP(C18,基础资料!$AE$5:$AG$204,3,FALSE),0))</f>
        <v/>
      </c>
      <c r="K18" s="54"/>
      <c r="L18" s="54"/>
      <c r="M18" s="54"/>
      <c r="N18" s="11" t="str">
        <f t="shared" si="2"/>
        <v/>
      </c>
    </row>
    <row r="19" spans="1:14">
      <c r="A19" s="60"/>
      <c r="B19" s="11" t="str">
        <f t="shared" si="0"/>
        <v/>
      </c>
      <c r="C19" s="54"/>
      <c r="D19" s="54"/>
      <c r="E19" s="11" t="str">
        <f>IF(D19="","",IFERROR(VLOOKUP(D19,基础资料!$P$5:$R$204,2,FALSE),""))</f>
        <v/>
      </c>
      <c r="F19" s="11" t="str">
        <f>IF(D19="","",IFERROR(VLOOKUP(D19,基础资料!$P$5:$R$204,3,FALSE),""))</f>
        <v/>
      </c>
      <c r="G19" s="55"/>
      <c r="H19" s="55"/>
      <c r="I19" s="62" t="str">
        <f t="shared" si="1"/>
        <v/>
      </c>
      <c r="J19" s="63" t="str">
        <f>IF(OR(A19="",C19=""),"",A19+IFERROR(VLOOKUP(C19,基础资料!$AE$5:$AG$204,3,FALSE),0))</f>
        <v/>
      </c>
      <c r="K19" s="54"/>
      <c r="L19" s="54"/>
      <c r="M19" s="54"/>
      <c r="N19" s="11" t="str">
        <f t="shared" si="2"/>
        <v/>
      </c>
    </row>
    <row r="20" spans="1:14">
      <c r="A20" s="60"/>
      <c r="B20" s="11" t="str">
        <f t="shared" si="0"/>
        <v/>
      </c>
      <c r="C20" s="54"/>
      <c r="D20" s="54"/>
      <c r="E20" s="11" t="str">
        <f>IF(D20="","",IFERROR(VLOOKUP(D20,基础资料!$P$5:$R$204,2,FALSE),""))</f>
        <v/>
      </c>
      <c r="F20" s="11" t="str">
        <f>IF(D20="","",IFERROR(VLOOKUP(D20,基础资料!$P$5:$R$204,3,FALSE),""))</f>
        <v/>
      </c>
      <c r="G20" s="55"/>
      <c r="H20" s="55"/>
      <c r="I20" s="62" t="str">
        <f t="shared" si="1"/>
        <v/>
      </c>
      <c r="J20" s="63" t="str">
        <f>IF(OR(A20="",C20=""),"",A20+IFERROR(VLOOKUP(C20,基础资料!$AE$5:$AG$204,3,FALSE),0))</f>
        <v/>
      </c>
      <c r="K20" s="54"/>
      <c r="L20" s="54"/>
      <c r="M20" s="54"/>
      <c r="N20" s="11" t="str">
        <f t="shared" si="2"/>
        <v/>
      </c>
    </row>
    <row r="21" spans="1:14">
      <c r="A21" s="60"/>
      <c r="B21" s="11" t="str">
        <f t="shared" si="0"/>
        <v/>
      </c>
      <c r="C21" s="54"/>
      <c r="D21" s="54"/>
      <c r="E21" s="11" t="str">
        <f>IF(D21="","",IFERROR(VLOOKUP(D21,基础资料!$P$5:$R$204,2,FALSE),""))</f>
        <v/>
      </c>
      <c r="F21" s="11" t="str">
        <f>IF(D21="","",IFERROR(VLOOKUP(D21,基础资料!$P$5:$R$204,3,FALSE),""))</f>
        <v/>
      </c>
      <c r="G21" s="55"/>
      <c r="H21" s="55"/>
      <c r="I21" s="62" t="str">
        <f t="shared" si="1"/>
        <v/>
      </c>
      <c r="J21" s="63" t="str">
        <f>IF(OR(A21="",C21=""),"",A21+IFERROR(VLOOKUP(C21,基础资料!$AE$5:$AG$204,3,FALSE),0))</f>
        <v/>
      </c>
      <c r="K21" s="54"/>
      <c r="L21" s="54"/>
      <c r="M21" s="54"/>
      <c r="N21" s="11" t="str">
        <f t="shared" si="2"/>
        <v/>
      </c>
    </row>
    <row r="22" spans="1:14">
      <c r="A22" s="60"/>
      <c r="B22" s="11" t="str">
        <f t="shared" si="0"/>
        <v/>
      </c>
      <c r="C22" s="54"/>
      <c r="D22" s="54"/>
      <c r="E22" s="11" t="str">
        <f>IF(D22="","",IFERROR(VLOOKUP(D22,基础资料!$P$5:$R$204,2,FALSE),""))</f>
        <v/>
      </c>
      <c r="F22" s="11" t="str">
        <f>IF(D22="","",IFERROR(VLOOKUP(D22,基础资料!$P$5:$R$204,3,FALSE),""))</f>
        <v/>
      </c>
      <c r="G22" s="55"/>
      <c r="H22" s="55"/>
      <c r="I22" s="62" t="str">
        <f t="shared" si="1"/>
        <v/>
      </c>
      <c r="J22" s="63" t="str">
        <f>IF(OR(A22="",C22=""),"",A22+IFERROR(VLOOKUP(C22,基础资料!$AE$5:$AG$204,3,FALSE),0))</f>
        <v/>
      </c>
      <c r="K22" s="54"/>
      <c r="L22" s="54"/>
      <c r="M22" s="54"/>
      <c r="N22" s="11" t="str">
        <f t="shared" si="2"/>
        <v/>
      </c>
    </row>
    <row r="23" spans="1:14">
      <c r="A23" s="60"/>
      <c r="B23" s="11" t="str">
        <f t="shared" si="0"/>
        <v/>
      </c>
      <c r="C23" s="54"/>
      <c r="D23" s="54"/>
      <c r="E23" s="11" t="str">
        <f>IF(D23="","",IFERROR(VLOOKUP(D23,基础资料!$P$5:$R$204,2,FALSE),""))</f>
        <v/>
      </c>
      <c r="F23" s="11" t="str">
        <f>IF(D23="","",IFERROR(VLOOKUP(D23,基础资料!$P$5:$R$204,3,FALSE),""))</f>
        <v/>
      </c>
      <c r="G23" s="55"/>
      <c r="H23" s="55"/>
      <c r="I23" s="62" t="str">
        <f t="shared" si="1"/>
        <v/>
      </c>
      <c r="J23" s="63" t="str">
        <f>IF(OR(A23="",C23=""),"",A23+IFERROR(VLOOKUP(C23,基础资料!$AE$5:$AG$204,3,FALSE),0))</f>
        <v/>
      </c>
      <c r="K23" s="54"/>
      <c r="L23" s="54"/>
      <c r="M23" s="54"/>
      <c r="N23" s="11" t="str">
        <f t="shared" si="2"/>
        <v/>
      </c>
    </row>
    <row r="24" spans="1:14">
      <c r="A24" s="60"/>
      <c r="B24" s="11" t="str">
        <f t="shared" si="0"/>
        <v/>
      </c>
      <c r="C24" s="54"/>
      <c r="D24" s="54"/>
      <c r="E24" s="11" t="str">
        <f>IF(D24="","",IFERROR(VLOOKUP(D24,基础资料!$P$5:$R$204,2,FALSE),""))</f>
        <v/>
      </c>
      <c r="F24" s="11" t="str">
        <f>IF(D24="","",IFERROR(VLOOKUP(D24,基础资料!$P$5:$R$204,3,FALSE),""))</f>
        <v/>
      </c>
      <c r="G24" s="55"/>
      <c r="H24" s="55"/>
      <c r="I24" s="62" t="str">
        <f t="shared" si="1"/>
        <v/>
      </c>
      <c r="J24" s="63" t="str">
        <f>IF(OR(A24="",C24=""),"",A24+IFERROR(VLOOKUP(C24,基础资料!$AE$5:$AG$204,3,FALSE),0))</f>
        <v/>
      </c>
      <c r="K24" s="54"/>
      <c r="L24" s="54"/>
      <c r="M24" s="54"/>
      <c r="N24" s="11" t="str">
        <f t="shared" si="2"/>
        <v/>
      </c>
    </row>
    <row r="25" spans="1:14">
      <c r="A25" s="60"/>
      <c r="B25" s="11" t="str">
        <f t="shared" si="0"/>
        <v/>
      </c>
      <c r="C25" s="54"/>
      <c r="D25" s="54"/>
      <c r="E25" s="11" t="str">
        <f>IF(D25="","",IFERROR(VLOOKUP(D25,基础资料!$P$5:$R$204,2,FALSE),""))</f>
        <v/>
      </c>
      <c r="F25" s="11" t="str">
        <f>IF(D25="","",IFERROR(VLOOKUP(D25,基础资料!$P$5:$R$204,3,FALSE),""))</f>
        <v/>
      </c>
      <c r="G25" s="55"/>
      <c r="H25" s="55"/>
      <c r="I25" s="62" t="str">
        <f t="shared" si="1"/>
        <v/>
      </c>
      <c r="J25" s="63" t="str">
        <f>IF(OR(A25="",C25=""),"",A25+IFERROR(VLOOKUP(C25,基础资料!$AE$5:$AG$204,3,FALSE),0))</f>
        <v/>
      </c>
      <c r="K25" s="54"/>
      <c r="L25" s="54"/>
      <c r="M25" s="54"/>
      <c r="N25" s="11" t="str">
        <f t="shared" si="2"/>
        <v/>
      </c>
    </row>
    <row r="26" spans="1:14">
      <c r="A26" s="60"/>
      <c r="B26" s="11" t="str">
        <f t="shared" si="0"/>
        <v/>
      </c>
      <c r="C26" s="54"/>
      <c r="D26" s="54"/>
      <c r="E26" s="11" t="str">
        <f>IF(D26="","",IFERROR(VLOOKUP(D26,基础资料!$P$5:$R$204,2,FALSE),""))</f>
        <v/>
      </c>
      <c r="F26" s="11" t="str">
        <f>IF(D26="","",IFERROR(VLOOKUP(D26,基础资料!$P$5:$R$204,3,FALSE),""))</f>
        <v/>
      </c>
      <c r="G26" s="55"/>
      <c r="H26" s="55"/>
      <c r="I26" s="62" t="str">
        <f t="shared" si="1"/>
        <v/>
      </c>
      <c r="J26" s="63" t="str">
        <f>IF(OR(A26="",C26=""),"",A26+IFERROR(VLOOKUP(C26,基础资料!$AE$5:$AG$204,3,FALSE),0))</f>
        <v/>
      </c>
      <c r="K26" s="54"/>
      <c r="L26" s="54"/>
      <c r="M26" s="54"/>
      <c r="N26" s="11" t="str">
        <f t="shared" si="2"/>
        <v/>
      </c>
    </row>
    <row r="27" spans="1:14">
      <c r="A27" s="60"/>
      <c r="B27" s="11" t="str">
        <f t="shared" si="0"/>
        <v/>
      </c>
      <c r="C27" s="54"/>
      <c r="D27" s="54"/>
      <c r="E27" s="11" t="str">
        <f>IF(D27="","",IFERROR(VLOOKUP(D27,基础资料!$P$5:$R$204,2,FALSE),""))</f>
        <v/>
      </c>
      <c r="F27" s="11" t="str">
        <f>IF(D27="","",IFERROR(VLOOKUP(D27,基础资料!$P$5:$R$204,3,FALSE),""))</f>
        <v/>
      </c>
      <c r="G27" s="55"/>
      <c r="H27" s="55"/>
      <c r="I27" s="62" t="str">
        <f t="shared" si="1"/>
        <v/>
      </c>
      <c r="J27" s="63" t="str">
        <f>IF(OR(A27="",C27=""),"",A27+IFERROR(VLOOKUP(C27,基础资料!$AE$5:$AG$204,3,FALSE),0))</f>
        <v/>
      </c>
      <c r="K27" s="54"/>
      <c r="L27" s="54"/>
      <c r="M27" s="54"/>
      <c r="N27" s="11" t="str">
        <f t="shared" si="2"/>
        <v/>
      </c>
    </row>
    <row r="28" spans="1:14">
      <c r="A28" s="60"/>
      <c r="B28" s="11" t="str">
        <f t="shared" si="0"/>
        <v/>
      </c>
      <c r="C28" s="54"/>
      <c r="D28" s="54"/>
      <c r="E28" s="11" t="str">
        <f>IF(D28="","",IFERROR(VLOOKUP(D28,基础资料!$P$5:$R$204,2,FALSE),""))</f>
        <v/>
      </c>
      <c r="F28" s="11" t="str">
        <f>IF(D28="","",IFERROR(VLOOKUP(D28,基础资料!$P$5:$R$204,3,FALSE),""))</f>
        <v/>
      </c>
      <c r="G28" s="55"/>
      <c r="H28" s="55"/>
      <c r="I28" s="62" t="str">
        <f t="shared" si="1"/>
        <v/>
      </c>
      <c r="J28" s="63" t="str">
        <f>IF(OR(A28="",C28=""),"",A28+IFERROR(VLOOKUP(C28,基础资料!$AE$5:$AG$204,3,FALSE),0))</f>
        <v/>
      </c>
      <c r="K28" s="54"/>
      <c r="L28" s="54"/>
      <c r="M28" s="54"/>
      <c r="N28" s="11" t="str">
        <f t="shared" si="2"/>
        <v/>
      </c>
    </row>
    <row r="29" spans="1:14">
      <c r="A29" s="60"/>
      <c r="B29" s="11" t="str">
        <f t="shared" si="0"/>
        <v/>
      </c>
      <c r="C29" s="54"/>
      <c r="D29" s="54"/>
      <c r="E29" s="11" t="str">
        <f>IF(D29="","",IFERROR(VLOOKUP(D29,基础资料!$P$5:$R$204,2,FALSE),""))</f>
        <v/>
      </c>
      <c r="F29" s="11" t="str">
        <f>IF(D29="","",IFERROR(VLOOKUP(D29,基础资料!$P$5:$R$204,3,FALSE),""))</f>
        <v/>
      </c>
      <c r="G29" s="55"/>
      <c r="H29" s="55"/>
      <c r="I29" s="62" t="str">
        <f t="shared" si="1"/>
        <v/>
      </c>
      <c r="J29" s="63" t="str">
        <f>IF(OR(A29="",C29=""),"",A29+IFERROR(VLOOKUP(C29,基础资料!$AE$5:$AG$204,3,FALSE),0))</f>
        <v/>
      </c>
      <c r="K29" s="54"/>
      <c r="L29" s="54"/>
      <c r="M29" s="54"/>
      <c r="N29" s="11" t="str">
        <f t="shared" si="2"/>
        <v/>
      </c>
    </row>
    <row r="30" spans="1:14">
      <c r="A30" s="60"/>
      <c r="B30" s="11" t="str">
        <f t="shared" si="0"/>
        <v/>
      </c>
      <c r="C30" s="54"/>
      <c r="D30" s="54"/>
      <c r="E30" s="11" t="str">
        <f>IF(D30="","",IFERROR(VLOOKUP(D30,基础资料!$P$5:$R$204,2,FALSE),""))</f>
        <v/>
      </c>
      <c r="F30" s="11" t="str">
        <f>IF(D30="","",IFERROR(VLOOKUP(D30,基础资料!$P$5:$R$204,3,FALSE),""))</f>
        <v/>
      </c>
      <c r="G30" s="55"/>
      <c r="H30" s="55"/>
      <c r="I30" s="62" t="str">
        <f t="shared" si="1"/>
        <v/>
      </c>
      <c r="J30" s="63" t="str">
        <f>IF(OR(A30="",C30=""),"",A30+IFERROR(VLOOKUP(C30,基础资料!$AE$5:$AG$204,3,FALSE),0))</f>
        <v/>
      </c>
      <c r="K30" s="54"/>
      <c r="L30" s="54"/>
      <c r="M30" s="54"/>
      <c r="N30" s="11" t="str">
        <f t="shared" si="2"/>
        <v/>
      </c>
    </row>
    <row r="31" spans="1:14">
      <c r="A31" s="60"/>
      <c r="B31" s="11" t="str">
        <f t="shared" si="0"/>
        <v/>
      </c>
      <c r="C31" s="54"/>
      <c r="D31" s="54"/>
      <c r="E31" s="11" t="str">
        <f>IF(D31="","",IFERROR(VLOOKUP(D31,基础资料!$P$5:$R$204,2,FALSE),""))</f>
        <v/>
      </c>
      <c r="F31" s="11" t="str">
        <f>IF(D31="","",IFERROR(VLOOKUP(D31,基础资料!$P$5:$R$204,3,FALSE),""))</f>
        <v/>
      </c>
      <c r="G31" s="55"/>
      <c r="H31" s="55"/>
      <c r="I31" s="62" t="str">
        <f t="shared" si="1"/>
        <v/>
      </c>
      <c r="J31" s="63" t="str">
        <f>IF(OR(A31="",C31=""),"",A31+IFERROR(VLOOKUP(C31,基础资料!$AE$5:$AG$204,3,FALSE),0))</f>
        <v/>
      </c>
      <c r="K31" s="54"/>
      <c r="L31" s="54"/>
      <c r="M31" s="54"/>
      <c r="N31" s="11" t="str">
        <f t="shared" si="2"/>
        <v/>
      </c>
    </row>
    <row r="32" spans="1:14">
      <c r="A32" s="60"/>
      <c r="B32" s="11" t="str">
        <f t="shared" si="0"/>
        <v/>
      </c>
      <c r="C32" s="54"/>
      <c r="D32" s="54"/>
      <c r="E32" s="11" t="str">
        <f>IF(D32="","",IFERROR(VLOOKUP(D32,基础资料!$P$5:$R$204,2,FALSE),""))</f>
        <v/>
      </c>
      <c r="F32" s="11" t="str">
        <f>IF(D32="","",IFERROR(VLOOKUP(D32,基础资料!$P$5:$R$204,3,FALSE),""))</f>
        <v/>
      </c>
      <c r="G32" s="55"/>
      <c r="H32" s="55"/>
      <c r="I32" s="62" t="str">
        <f t="shared" si="1"/>
        <v/>
      </c>
      <c r="J32" s="63" t="str">
        <f>IF(OR(A32="",C32=""),"",A32+IFERROR(VLOOKUP(C32,基础资料!$AE$5:$AG$204,3,FALSE),0))</f>
        <v/>
      </c>
      <c r="K32" s="54"/>
      <c r="L32" s="54"/>
      <c r="M32" s="54"/>
      <c r="N32" s="11" t="str">
        <f t="shared" si="2"/>
        <v/>
      </c>
    </row>
    <row r="33" spans="1:14">
      <c r="A33" s="60"/>
      <c r="B33" s="11" t="str">
        <f t="shared" si="0"/>
        <v/>
      </c>
      <c r="C33" s="54"/>
      <c r="D33" s="54"/>
      <c r="E33" s="11" t="str">
        <f>IF(D33="","",IFERROR(VLOOKUP(D33,基础资料!$P$5:$R$204,2,FALSE),""))</f>
        <v/>
      </c>
      <c r="F33" s="11" t="str">
        <f>IF(D33="","",IFERROR(VLOOKUP(D33,基础资料!$P$5:$R$204,3,FALSE),""))</f>
        <v/>
      </c>
      <c r="G33" s="55"/>
      <c r="H33" s="55"/>
      <c r="I33" s="62" t="str">
        <f t="shared" si="1"/>
        <v/>
      </c>
      <c r="J33" s="63" t="str">
        <f>IF(OR(A33="",C33=""),"",A33+IFERROR(VLOOKUP(C33,基础资料!$AE$5:$AG$204,3,FALSE),0))</f>
        <v/>
      </c>
      <c r="K33" s="54"/>
      <c r="L33" s="54"/>
      <c r="M33" s="54"/>
      <c r="N33" s="11" t="str">
        <f t="shared" si="2"/>
        <v/>
      </c>
    </row>
    <row r="34" spans="1:14">
      <c r="A34" s="60"/>
      <c r="B34" s="11" t="str">
        <f t="shared" si="0"/>
        <v/>
      </c>
      <c r="C34" s="54"/>
      <c r="D34" s="54"/>
      <c r="E34" s="11" t="str">
        <f>IF(D34="","",IFERROR(VLOOKUP(D34,基础资料!$P$5:$R$204,2,FALSE),""))</f>
        <v/>
      </c>
      <c r="F34" s="11" t="str">
        <f>IF(D34="","",IFERROR(VLOOKUP(D34,基础资料!$P$5:$R$204,3,FALSE),""))</f>
        <v/>
      </c>
      <c r="G34" s="55"/>
      <c r="H34" s="55"/>
      <c r="I34" s="62" t="str">
        <f t="shared" si="1"/>
        <v/>
      </c>
      <c r="J34" s="63" t="str">
        <f>IF(OR(A34="",C34=""),"",A34+IFERROR(VLOOKUP(C34,基础资料!$AE$5:$AG$204,3,FALSE),0))</f>
        <v/>
      </c>
      <c r="K34" s="54"/>
      <c r="L34" s="54"/>
      <c r="M34" s="54"/>
      <c r="N34" s="11" t="str">
        <f t="shared" si="2"/>
        <v/>
      </c>
    </row>
    <row r="35" spans="1:14">
      <c r="A35" s="60"/>
      <c r="B35" s="11" t="str">
        <f t="shared" si="0"/>
        <v/>
      </c>
      <c r="C35" s="54"/>
      <c r="D35" s="54"/>
      <c r="E35" s="11" t="str">
        <f>IF(D35="","",IFERROR(VLOOKUP(D35,基础资料!$P$5:$R$204,2,FALSE),""))</f>
        <v/>
      </c>
      <c r="F35" s="11" t="str">
        <f>IF(D35="","",IFERROR(VLOOKUP(D35,基础资料!$P$5:$R$204,3,FALSE),""))</f>
        <v/>
      </c>
      <c r="G35" s="55"/>
      <c r="H35" s="55"/>
      <c r="I35" s="62" t="str">
        <f t="shared" si="1"/>
        <v/>
      </c>
      <c r="J35" s="63" t="str">
        <f>IF(OR(A35="",C35=""),"",A35+IFERROR(VLOOKUP(C35,基础资料!$AE$5:$AG$204,3,FALSE),0))</f>
        <v/>
      </c>
      <c r="K35" s="54"/>
      <c r="L35" s="54"/>
      <c r="M35" s="54"/>
      <c r="N35" s="11" t="str">
        <f t="shared" si="2"/>
        <v/>
      </c>
    </row>
    <row r="36" spans="1:14">
      <c r="A36" s="60"/>
      <c r="B36" s="11" t="str">
        <f t="shared" si="0"/>
        <v/>
      </c>
      <c r="C36" s="54"/>
      <c r="D36" s="54"/>
      <c r="E36" s="11" t="str">
        <f>IF(D36="","",IFERROR(VLOOKUP(D36,基础资料!$P$5:$R$204,2,FALSE),""))</f>
        <v/>
      </c>
      <c r="F36" s="11" t="str">
        <f>IF(D36="","",IFERROR(VLOOKUP(D36,基础资料!$P$5:$R$204,3,FALSE),""))</f>
        <v/>
      </c>
      <c r="G36" s="55"/>
      <c r="H36" s="55"/>
      <c r="I36" s="62" t="str">
        <f t="shared" si="1"/>
        <v/>
      </c>
      <c r="J36" s="63" t="str">
        <f>IF(OR(A36="",C36=""),"",A36+IFERROR(VLOOKUP(C36,基础资料!$AE$5:$AG$204,3,FALSE),0))</f>
        <v/>
      </c>
      <c r="K36" s="54"/>
      <c r="L36" s="54"/>
      <c r="M36" s="54"/>
      <c r="N36" s="11" t="str">
        <f t="shared" si="2"/>
        <v/>
      </c>
    </row>
    <row r="37" spans="1:14">
      <c r="A37" s="60"/>
      <c r="B37" s="11" t="str">
        <f t="shared" si="0"/>
        <v/>
      </c>
      <c r="C37" s="54"/>
      <c r="D37" s="54"/>
      <c r="E37" s="11" t="str">
        <f>IF(D37="","",IFERROR(VLOOKUP(D37,基础资料!$P$5:$R$204,2,FALSE),""))</f>
        <v/>
      </c>
      <c r="F37" s="11" t="str">
        <f>IF(D37="","",IFERROR(VLOOKUP(D37,基础资料!$P$5:$R$204,3,FALSE),""))</f>
        <v/>
      </c>
      <c r="G37" s="55"/>
      <c r="H37" s="55"/>
      <c r="I37" s="62" t="str">
        <f t="shared" si="1"/>
        <v/>
      </c>
      <c r="J37" s="63" t="str">
        <f>IF(OR(A37="",C37=""),"",A37+IFERROR(VLOOKUP(C37,基础资料!$AE$5:$AG$204,3,FALSE),0))</f>
        <v/>
      </c>
      <c r="K37" s="54"/>
      <c r="L37" s="54"/>
      <c r="M37" s="54"/>
      <c r="N37" s="11" t="str">
        <f t="shared" si="2"/>
        <v/>
      </c>
    </row>
    <row r="38" spans="1:14">
      <c r="A38" s="60"/>
      <c r="B38" s="11" t="str">
        <f t="shared" si="0"/>
        <v/>
      </c>
      <c r="C38" s="54"/>
      <c r="D38" s="54"/>
      <c r="E38" s="11" t="str">
        <f>IF(D38="","",IFERROR(VLOOKUP(D38,基础资料!$P$5:$R$204,2,FALSE),""))</f>
        <v/>
      </c>
      <c r="F38" s="11" t="str">
        <f>IF(D38="","",IFERROR(VLOOKUP(D38,基础资料!$P$5:$R$204,3,FALSE),""))</f>
        <v/>
      </c>
      <c r="G38" s="55"/>
      <c r="H38" s="55"/>
      <c r="I38" s="62" t="str">
        <f t="shared" si="1"/>
        <v/>
      </c>
      <c r="J38" s="63" t="str">
        <f>IF(OR(A38="",C38=""),"",A38+IFERROR(VLOOKUP(C38,基础资料!$AE$5:$AG$204,3,FALSE),0))</f>
        <v/>
      </c>
      <c r="K38" s="54"/>
      <c r="L38" s="54"/>
      <c r="M38" s="54"/>
      <c r="N38" s="11" t="str">
        <f t="shared" si="2"/>
        <v/>
      </c>
    </row>
    <row r="39" spans="1:14">
      <c r="A39" s="60"/>
      <c r="B39" s="11" t="str">
        <f t="shared" si="0"/>
        <v/>
      </c>
      <c r="C39" s="54"/>
      <c r="D39" s="54"/>
      <c r="E39" s="11" t="str">
        <f>IF(D39="","",IFERROR(VLOOKUP(D39,基础资料!$P$5:$R$204,2,FALSE),""))</f>
        <v/>
      </c>
      <c r="F39" s="11" t="str">
        <f>IF(D39="","",IFERROR(VLOOKUP(D39,基础资料!$P$5:$R$204,3,FALSE),""))</f>
        <v/>
      </c>
      <c r="G39" s="55"/>
      <c r="H39" s="55"/>
      <c r="I39" s="62" t="str">
        <f t="shared" si="1"/>
        <v/>
      </c>
      <c r="J39" s="63" t="str">
        <f>IF(OR(A39="",C39=""),"",A39+IFERROR(VLOOKUP(C39,基础资料!$AE$5:$AG$204,3,FALSE),0))</f>
        <v/>
      </c>
      <c r="K39" s="54"/>
      <c r="L39" s="54"/>
      <c r="M39" s="54"/>
      <c r="N39" s="11" t="str">
        <f t="shared" si="2"/>
        <v/>
      </c>
    </row>
    <row r="40" spans="1:14">
      <c r="A40" s="60"/>
      <c r="B40" s="11" t="str">
        <f t="shared" si="0"/>
        <v/>
      </c>
      <c r="C40" s="54"/>
      <c r="D40" s="54"/>
      <c r="E40" s="11" t="str">
        <f>IF(D40="","",IFERROR(VLOOKUP(D40,基础资料!$P$5:$R$204,2,FALSE),""))</f>
        <v/>
      </c>
      <c r="F40" s="11" t="str">
        <f>IF(D40="","",IFERROR(VLOOKUP(D40,基础资料!$P$5:$R$204,3,FALSE),""))</f>
        <v/>
      </c>
      <c r="G40" s="55"/>
      <c r="H40" s="55"/>
      <c r="I40" s="62" t="str">
        <f t="shared" si="1"/>
        <v/>
      </c>
      <c r="J40" s="63" t="str">
        <f>IF(OR(A40="",C40=""),"",A40+IFERROR(VLOOKUP(C40,基础资料!$AE$5:$AG$204,3,FALSE),0))</f>
        <v/>
      </c>
      <c r="K40" s="54"/>
      <c r="L40" s="54"/>
      <c r="M40" s="54"/>
      <c r="N40" s="11" t="str">
        <f t="shared" si="2"/>
        <v/>
      </c>
    </row>
    <row r="41" spans="1:14">
      <c r="A41" s="60"/>
      <c r="B41" s="11" t="str">
        <f t="shared" si="0"/>
        <v/>
      </c>
      <c r="C41" s="54"/>
      <c r="D41" s="54"/>
      <c r="E41" s="11" t="str">
        <f>IF(D41="","",IFERROR(VLOOKUP(D41,基础资料!$P$5:$R$204,2,FALSE),""))</f>
        <v/>
      </c>
      <c r="F41" s="11" t="str">
        <f>IF(D41="","",IFERROR(VLOOKUP(D41,基础资料!$P$5:$R$204,3,FALSE),""))</f>
        <v/>
      </c>
      <c r="G41" s="55"/>
      <c r="H41" s="55"/>
      <c r="I41" s="62" t="str">
        <f t="shared" si="1"/>
        <v/>
      </c>
      <c r="J41" s="63" t="str">
        <f>IF(OR(A41="",C41=""),"",A41+IFERROR(VLOOKUP(C41,基础资料!$AE$5:$AG$204,3,FALSE),0))</f>
        <v/>
      </c>
      <c r="K41" s="54"/>
      <c r="L41" s="54"/>
      <c r="M41" s="54"/>
      <c r="N41" s="11" t="str">
        <f t="shared" si="2"/>
        <v/>
      </c>
    </row>
    <row r="42" spans="1:14">
      <c r="A42" s="60"/>
      <c r="B42" s="11" t="str">
        <f t="shared" si="0"/>
        <v/>
      </c>
      <c r="C42" s="54"/>
      <c r="D42" s="54"/>
      <c r="E42" s="11" t="str">
        <f>IF(D42="","",IFERROR(VLOOKUP(D42,基础资料!$P$5:$R$204,2,FALSE),""))</f>
        <v/>
      </c>
      <c r="F42" s="11" t="str">
        <f>IF(D42="","",IFERROR(VLOOKUP(D42,基础资料!$P$5:$R$204,3,FALSE),""))</f>
        <v/>
      </c>
      <c r="G42" s="55"/>
      <c r="H42" s="55"/>
      <c r="I42" s="62" t="str">
        <f t="shared" si="1"/>
        <v/>
      </c>
      <c r="J42" s="63" t="str">
        <f>IF(OR(A42="",C42=""),"",A42+IFERROR(VLOOKUP(C42,基础资料!$AE$5:$AG$204,3,FALSE),0))</f>
        <v/>
      </c>
      <c r="K42" s="54"/>
      <c r="L42" s="54"/>
      <c r="M42" s="54"/>
      <c r="N42" s="11" t="str">
        <f t="shared" si="2"/>
        <v/>
      </c>
    </row>
    <row r="43" spans="1:14">
      <c r="A43" s="60"/>
      <c r="B43" s="11" t="str">
        <f t="shared" si="0"/>
        <v/>
      </c>
      <c r="C43" s="54"/>
      <c r="D43" s="54"/>
      <c r="E43" s="11" t="str">
        <f>IF(D43="","",IFERROR(VLOOKUP(D43,基础资料!$P$5:$R$204,2,FALSE),""))</f>
        <v/>
      </c>
      <c r="F43" s="11" t="str">
        <f>IF(D43="","",IFERROR(VLOOKUP(D43,基础资料!$P$5:$R$204,3,FALSE),""))</f>
        <v/>
      </c>
      <c r="G43" s="55"/>
      <c r="H43" s="55"/>
      <c r="I43" s="62" t="str">
        <f t="shared" si="1"/>
        <v/>
      </c>
      <c r="J43" s="63" t="str">
        <f>IF(OR(A43="",C43=""),"",A43+IFERROR(VLOOKUP(C43,基础资料!$AE$5:$AG$204,3,FALSE),0))</f>
        <v/>
      </c>
      <c r="K43" s="54"/>
      <c r="L43" s="54"/>
      <c r="M43" s="54"/>
      <c r="N43" s="11" t="str">
        <f t="shared" si="2"/>
        <v/>
      </c>
    </row>
    <row r="44" spans="1:14">
      <c r="A44" s="60"/>
      <c r="B44" s="11" t="str">
        <f t="shared" si="0"/>
        <v/>
      </c>
      <c r="C44" s="54"/>
      <c r="D44" s="54"/>
      <c r="E44" s="11" t="str">
        <f>IF(D44="","",IFERROR(VLOOKUP(D44,基础资料!$P$5:$R$204,2,FALSE),""))</f>
        <v/>
      </c>
      <c r="F44" s="11" t="str">
        <f>IF(D44="","",IFERROR(VLOOKUP(D44,基础资料!$P$5:$R$204,3,FALSE),""))</f>
        <v/>
      </c>
      <c r="G44" s="55"/>
      <c r="H44" s="55"/>
      <c r="I44" s="62" t="str">
        <f t="shared" si="1"/>
        <v/>
      </c>
      <c r="J44" s="63" t="str">
        <f>IF(OR(A44="",C44=""),"",A44+IFERROR(VLOOKUP(C44,基础资料!$AE$5:$AG$204,3,FALSE),0))</f>
        <v/>
      </c>
      <c r="K44" s="54"/>
      <c r="L44" s="54"/>
      <c r="M44" s="54"/>
      <c r="N44" s="11" t="str">
        <f t="shared" si="2"/>
        <v/>
      </c>
    </row>
    <row r="45" spans="1:14">
      <c r="A45" s="60"/>
      <c r="B45" s="11" t="str">
        <f t="shared" si="0"/>
        <v/>
      </c>
      <c r="C45" s="54"/>
      <c r="D45" s="54"/>
      <c r="E45" s="11" t="str">
        <f>IF(D45="","",IFERROR(VLOOKUP(D45,基础资料!$P$5:$R$204,2,FALSE),""))</f>
        <v/>
      </c>
      <c r="F45" s="11" t="str">
        <f>IF(D45="","",IFERROR(VLOOKUP(D45,基础资料!$P$5:$R$204,3,FALSE),""))</f>
        <v/>
      </c>
      <c r="G45" s="55"/>
      <c r="H45" s="55"/>
      <c r="I45" s="62" t="str">
        <f t="shared" si="1"/>
        <v/>
      </c>
      <c r="J45" s="63" t="str">
        <f>IF(OR(A45="",C45=""),"",A45+IFERROR(VLOOKUP(C45,基础资料!$AE$5:$AG$204,3,FALSE),0))</f>
        <v/>
      </c>
      <c r="K45" s="54"/>
      <c r="L45" s="54"/>
      <c r="M45" s="54"/>
      <c r="N45" s="11" t="str">
        <f t="shared" si="2"/>
        <v/>
      </c>
    </row>
    <row r="46" spans="1:14">
      <c r="A46" s="60"/>
      <c r="B46" s="11" t="str">
        <f t="shared" si="0"/>
        <v/>
      </c>
      <c r="C46" s="54"/>
      <c r="D46" s="54"/>
      <c r="E46" s="11" t="str">
        <f>IF(D46="","",IFERROR(VLOOKUP(D46,基础资料!$P$5:$R$204,2,FALSE),""))</f>
        <v/>
      </c>
      <c r="F46" s="11" t="str">
        <f>IF(D46="","",IFERROR(VLOOKUP(D46,基础资料!$P$5:$R$204,3,FALSE),""))</f>
        <v/>
      </c>
      <c r="G46" s="55"/>
      <c r="H46" s="55"/>
      <c r="I46" s="62" t="str">
        <f t="shared" si="1"/>
        <v/>
      </c>
      <c r="J46" s="63" t="str">
        <f>IF(OR(A46="",C46=""),"",A46+IFERROR(VLOOKUP(C46,基础资料!$AE$5:$AG$204,3,FALSE),0))</f>
        <v/>
      </c>
      <c r="K46" s="54"/>
      <c r="L46" s="54"/>
      <c r="M46" s="54"/>
      <c r="N46" s="11" t="str">
        <f t="shared" si="2"/>
        <v/>
      </c>
    </row>
    <row r="47" spans="1:14">
      <c r="A47" s="60"/>
      <c r="B47" s="11" t="str">
        <f t="shared" si="0"/>
        <v/>
      </c>
      <c r="C47" s="54"/>
      <c r="D47" s="54"/>
      <c r="E47" s="11" t="str">
        <f>IF(D47="","",IFERROR(VLOOKUP(D47,基础资料!$P$5:$R$204,2,FALSE),""))</f>
        <v/>
      </c>
      <c r="F47" s="11" t="str">
        <f>IF(D47="","",IFERROR(VLOOKUP(D47,基础资料!$P$5:$R$204,3,FALSE),""))</f>
        <v/>
      </c>
      <c r="G47" s="55"/>
      <c r="H47" s="55"/>
      <c r="I47" s="62" t="str">
        <f t="shared" si="1"/>
        <v/>
      </c>
      <c r="J47" s="63" t="str">
        <f>IF(OR(A47="",C47=""),"",A47+IFERROR(VLOOKUP(C47,基础资料!$AE$5:$AG$204,3,FALSE),0))</f>
        <v/>
      </c>
      <c r="K47" s="54"/>
      <c r="L47" s="54"/>
      <c r="M47" s="54"/>
      <c r="N47" s="11" t="str">
        <f t="shared" si="2"/>
        <v/>
      </c>
    </row>
    <row r="48" spans="1:14">
      <c r="A48" s="60"/>
      <c r="B48" s="11" t="str">
        <f t="shared" si="0"/>
        <v/>
      </c>
      <c r="C48" s="54"/>
      <c r="D48" s="54"/>
      <c r="E48" s="11" t="str">
        <f>IF(D48="","",IFERROR(VLOOKUP(D48,基础资料!$P$5:$R$204,2,FALSE),""))</f>
        <v/>
      </c>
      <c r="F48" s="11" t="str">
        <f>IF(D48="","",IFERROR(VLOOKUP(D48,基础资料!$P$5:$R$204,3,FALSE),""))</f>
        <v/>
      </c>
      <c r="G48" s="55"/>
      <c r="H48" s="55"/>
      <c r="I48" s="62" t="str">
        <f t="shared" si="1"/>
        <v/>
      </c>
      <c r="J48" s="63" t="str">
        <f>IF(OR(A48="",C48=""),"",A48+IFERROR(VLOOKUP(C48,基础资料!$AE$5:$AG$204,3,FALSE),0))</f>
        <v/>
      </c>
      <c r="K48" s="54"/>
      <c r="L48" s="54"/>
      <c r="M48" s="54"/>
      <c r="N48" s="11" t="str">
        <f t="shared" si="2"/>
        <v/>
      </c>
    </row>
    <row r="49" spans="1:14">
      <c r="A49" s="60"/>
      <c r="B49" s="11" t="str">
        <f t="shared" si="0"/>
        <v/>
      </c>
      <c r="C49" s="54"/>
      <c r="D49" s="54"/>
      <c r="E49" s="11" t="str">
        <f>IF(D49="","",IFERROR(VLOOKUP(D49,基础资料!$P$5:$R$204,2,FALSE),""))</f>
        <v/>
      </c>
      <c r="F49" s="11" t="str">
        <f>IF(D49="","",IFERROR(VLOOKUP(D49,基础资料!$P$5:$R$204,3,FALSE),""))</f>
        <v/>
      </c>
      <c r="G49" s="55"/>
      <c r="H49" s="55"/>
      <c r="I49" s="62" t="str">
        <f t="shared" si="1"/>
        <v/>
      </c>
      <c r="J49" s="63" t="str">
        <f>IF(OR(A49="",C49=""),"",A49+IFERROR(VLOOKUP(C49,基础资料!$AE$5:$AG$204,3,FALSE),0))</f>
        <v/>
      </c>
      <c r="K49" s="54"/>
      <c r="L49" s="54"/>
      <c r="M49" s="54"/>
      <c r="N49" s="11" t="str">
        <f t="shared" si="2"/>
        <v/>
      </c>
    </row>
    <row r="50" spans="1:14">
      <c r="A50" s="60"/>
      <c r="B50" s="11" t="str">
        <f t="shared" si="0"/>
        <v/>
      </c>
      <c r="C50" s="54"/>
      <c r="D50" s="54"/>
      <c r="E50" s="11" t="str">
        <f>IF(D50="","",IFERROR(VLOOKUP(D50,基础资料!$P$5:$R$204,2,FALSE),""))</f>
        <v/>
      </c>
      <c r="F50" s="11" t="str">
        <f>IF(D50="","",IFERROR(VLOOKUP(D50,基础资料!$P$5:$R$204,3,FALSE),""))</f>
        <v/>
      </c>
      <c r="G50" s="55"/>
      <c r="H50" s="55"/>
      <c r="I50" s="62" t="str">
        <f t="shared" si="1"/>
        <v/>
      </c>
      <c r="J50" s="63" t="str">
        <f>IF(OR(A50="",C50=""),"",A50+IFERROR(VLOOKUP(C50,基础资料!$AE$5:$AG$204,3,FALSE),0))</f>
        <v/>
      </c>
      <c r="K50" s="54"/>
      <c r="L50" s="54"/>
      <c r="M50" s="54"/>
      <c r="N50" s="11" t="str">
        <f t="shared" si="2"/>
        <v/>
      </c>
    </row>
    <row r="51" spans="1:14">
      <c r="A51" s="60"/>
      <c r="B51" s="11" t="str">
        <f t="shared" si="0"/>
        <v/>
      </c>
      <c r="C51" s="54"/>
      <c r="D51" s="54"/>
      <c r="E51" s="11" t="str">
        <f>IF(D51="","",IFERROR(VLOOKUP(D51,基础资料!$P$5:$R$204,2,FALSE),""))</f>
        <v/>
      </c>
      <c r="F51" s="11" t="str">
        <f>IF(D51="","",IFERROR(VLOOKUP(D51,基础资料!$P$5:$R$204,3,FALSE),""))</f>
        <v/>
      </c>
      <c r="G51" s="55"/>
      <c r="H51" s="55"/>
      <c r="I51" s="62" t="str">
        <f t="shared" si="1"/>
        <v/>
      </c>
      <c r="J51" s="63" t="str">
        <f>IF(OR(A51="",C51=""),"",A51+IFERROR(VLOOKUP(C51,基础资料!$AE$5:$AG$204,3,FALSE),0))</f>
        <v/>
      </c>
      <c r="K51" s="54"/>
      <c r="L51" s="54"/>
      <c r="M51" s="54"/>
      <c r="N51" s="11" t="str">
        <f t="shared" si="2"/>
        <v/>
      </c>
    </row>
    <row r="52" spans="1:14">
      <c r="A52" s="60"/>
      <c r="B52" s="11" t="str">
        <f t="shared" si="0"/>
        <v/>
      </c>
      <c r="C52" s="54"/>
      <c r="D52" s="54"/>
      <c r="E52" s="11" t="str">
        <f>IF(D52="","",IFERROR(VLOOKUP(D52,基础资料!$P$5:$R$204,2,FALSE),""))</f>
        <v/>
      </c>
      <c r="F52" s="11" t="str">
        <f>IF(D52="","",IFERROR(VLOOKUP(D52,基础资料!$P$5:$R$204,3,FALSE),""))</f>
        <v/>
      </c>
      <c r="G52" s="55"/>
      <c r="H52" s="55"/>
      <c r="I52" s="62" t="str">
        <f t="shared" si="1"/>
        <v/>
      </c>
      <c r="J52" s="63" t="str">
        <f>IF(OR(A52="",C52=""),"",A52+IFERROR(VLOOKUP(C52,基础资料!$AE$5:$AG$204,3,FALSE),0))</f>
        <v/>
      </c>
      <c r="K52" s="54"/>
      <c r="L52" s="54"/>
      <c r="M52" s="54"/>
      <c r="N52" s="11" t="str">
        <f t="shared" si="2"/>
        <v/>
      </c>
    </row>
    <row r="53" spans="1:14">
      <c r="A53" s="60"/>
      <c r="B53" s="11" t="str">
        <f t="shared" si="0"/>
        <v/>
      </c>
      <c r="C53" s="54"/>
      <c r="D53" s="54"/>
      <c r="E53" s="11" t="str">
        <f>IF(D53="","",IFERROR(VLOOKUP(D53,基础资料!$P$5:$R$204,2,FALSE),""))</f>
        <v/>
      </c>
      <c r="F53" s="11" t="str">
        <f>IF(D53="","",IFERROR(VLOOKUP(D53,基础资料!$P$5:$R$204,3,FALSE),""))</f>
        <v/>
      </c>
      <c r="G53" s="55"/>
      <c r="H53" s="55"/>
      <c r="I53" s="62" t="str">
        <f t="shared" si="1"/>
        <v/>
      </c>
      <c r="J53" s="63" t="str">
        <f>IF(OR(A53="",C53=""),"",A53+IFERROR(VLOOKUP(C53,基础资料!$AE$5:$AG$204,3,FALSE),0))</f>
        <v/>
      </c>
      <c r="K53" s="54"/>
      <c r="L53" s="54"/>
      <c r="M53" s="54"/>
      <c r="N53" s="11" t="str">
        <f t="shared" si="2"/>
        <v/>
      </c>
    </row>
    <row r="54" spans="1:14">
      <c r="A54" s="60"/>
      <c r="B54" s="11" t="str">
        <f t="shared" si="0"/>
        <v/>
      </c>
      <c r="C54" s="54"/>
      <c r="D54" s="54"/>
      <c r="E54" s="11" t="str">
        <f>IF(D54="","",IFERROR(VLOOKUP(D54,基础资料!$P$5:$R$204,2,FALSE),""))</f>
        <v/>
      </c>
      <c r="F54" s="11" t="str">
        <f>IF(D54="","",IFERROR(VLOOKUP(D54,基础资料!$P$5:$R$204,3,FALSE),""))</f>
        <v/>
      </c>
      <c r="G54" s="55"/>
      <c r="H54" s="55"/>
      <c r="I54" s="62" t="str">
        <f t="shared" si="1"/>
        <v/>
      </c>
      <c r="J54" s="63" t="str">
        <f>IF(OR(A54="",C54=""),"",A54+IFERROR(VLOOKUP(C54,基础资料!$AE$5:$AG$204,3,FALSE),0))</f>
        <v/>
      </c>
      <c r="K54" s="54"/>
      <c r="L54" s="54"/>
      <c r="M54" s="54"/>
      <c r="N54" s="11" t="str">
        <f t="shared" si="2"/>
        <v/>
      </c>
    </row>
    <row r="55" spans="1:14">
      <c r="A55" s="60"/>
      <c r="B55" s="11" t="str">
        <f t="shared" si="0"/>
        <v/>
      </c>
      <c r="C55" s="54"/>
      <c r="D55" s="54"/>
      <c r="E55" s="11" t="str">
        <f>IF(D55="","",IFERROR(VLOOKUP(D55,基础资料!$P$5:$R$204,2,FALSE),""))</f>
        <v/>
      </c>
      <c r="F55" s="11" t="str">
        <f>IF(D55="","",IFERROR(VLOOKUP(D55,基础资料!$P$5:$R$204,3,FALSE),""))</f>
        <v/>
      </c>
      <c r="G55" s="55"/>
      <c r="H55" s="55"/>
      <c r="I55" s="62" t="str">
        <f t="shared" si="1"/>
        <v/>
      </c>
      <c r="J55" s="63" t="str">
        <f>IF(OR(A55="",C55=""),"",A55+IFERROR(VLOOKUP(C55,基础资料!$AE$5:$AG$204,3,FALSE),0))</f>
        <v/>
      </c>
      <c r="K55" s="54"/>
      <c r="L55" s="54"/>
      <c r="M55" s="54"/>
      <c r="N55" s="11" t="str">
        <f t="shared" si="2"/>
        <v/>
      </c>
    </row>
    <row r="56" spans="1:14">
      <c r="A56" s="60"/>
      <c r="B56" s="11" t="str">
        <f t="shared" si="0"/>
        <v/>
      </c>
      <c r="C56" s="54"/>
      <c r="D56" s="54"/>
      <c r="E56" s="11" t="str">
        <f>IF(D56="","",IFERROR(VLOOKUP(D56,基础资料!$P$5:$R$204,2,FALSE),""))</f>
        <v/>
      </c>
      <c r="F56" s="11" t="str">
        <f>IF(D56="","",IFERROR(VLOOKUP(D56,基础资料!$P$5:$R$204,3,FALSE),""))</f>
        <v/>
      </c>
      <c r="G56" s="55"/>
      <c r="H56" s="55"/>
      <c r="I56" s="62" t="str">
        <f t="shared" si="1"/>
        <v/>
      </c>
      <c r="J56" s="63" t="str">
        <f>IF(OR(A56="",C56=""),"",A56+IFERROR(VLOOKUP(C56,基础资料!$AE$5:$AG$204,3,FALSE),0))</f>
        <v/>
      </c>
      <c r="K56" s="54"/>
      <c r="L56" s="54"/>
      <c r="M56" s="54"/>
      <c r="N56" s="11" t="str">
        <f t="shared" si="2"/>
        <v/>
      </c>
    </row>
    <row r="57" spans="1:14">
      <c r="A57" s="60"/>
      <c r="B57" s="11" t="str">
        <f t="shared" si="0"/>
        <v/>
      </c>
      <c r="C57" s="54"/>
      <c r="D57" s="54"/>
      <c r="E57" s="11" t="str">
        <f>IF(D57="","",IFERROR(VLOOKUP(D57,基础资料!$P$5:$R$204,2,FALSE),""))</f>
        <v/>
      </c>
      <c r="F57" s="11" t="str">
        <f>IF(D57="","",IFERROR(VLOOKUP(D57,基础资料!$P$5:$R$204,3,FALSE),""))</f>
        <v/>
      </c>
      <c r="G57" s="55"/>
      <c r="H57" s="55"/>
      <c r="I57" s="62" t="str">
        <f t="shared" si="1"/>
        <v/>
      </c>
      <c r="J57" s="63" t="str">
        <f>IF(OR(A57="",C57=""),"",A57+IFERROR(VLOOKUP(C57,基础资料!$AE$5:$AG$204,3,FALSE),0))</f>
        <v/>
      </c>
      <c r="K57" s="54"/>
      <c r="L57" s="54"/>
      <c r="M57" s="54"/>
      <c r="N57" s="11" t="str">
        <f t="shared" si="2"/>
        <v/>
      </c>
    </row>
    <row r="58" spans="1:14">
      <c r="A58" s="60"/>
      <c r="B58" s="11" t="str">
        <f t="shared" si="0"/>
        <v/>
      </c>
      <c r="C58" s="54"/>
      <c r="D58" s="54"/>
      <c r="E58" s="11" t="str">
        <f>IF(D58="","",IFERROR(VLOOKUP(D58,基础资料!$P$5:$R$204,2,FALSE),""))</f>
        <v/>
      </c>
      <c r="F58" s="11" t="str">
        <f>IF(D58="","",IFERROR(VLOOKUP(D58,基础资料!$P$5:$R$204,3,FALSE),""))</f>
        <v/>
      </c>
      <c r="G58" s="55"/>
      <c r="H58" s="55"/>
      <c r="I58" s="62" t="str">
        <f t="shared" si="1"/>
        <v/>
      </c>
      <c r="J58" s="63" t="str">
        <f>IF(OR(A58="",C58=""),"",A58+IFERROR(VLOOKUP(C58,基础资料!$AE$5:$AG$204,3,FALSE),0))</f>
        <v/>
      </c>
      <c r="K58" s="54"/>
      <c r="L58" s="54"/>
      <c r="M58" s="54"/>
      <c r="N58" s="11" t="str">
        <f t="shared" si="2"/>
        <v/>
      </c>
    </row>
    <row r="59" spans="1:14">
      <c r="A59" s="60"/>
      <c r="B59" s="11" t="str">
        <f t="shared" si="0"/>
        <v/>
      </c>
      <c r="C59" s="54"/>
      <c r="D59" s="54"/>
      <c r="E59" s="11" t="str">
        <f>IF(D59="","",IFERROR(VLOOKUP(D59,基础资料!$P$5:$R$204,2,FALSE),""))</f>
        <v/>
      </c>
      <c r="F59" s="11" t="str">
        <f>IF(D59="","",IFERROR(VLOOKUP(D59,基础资料!$P$5:$R$204,3,FALSE),""))</f>
        <v/>
      </c>
      <c r="G59" s="55"/>
      <c r="H59" s="55"/>
      <c r="I59" s="62" t="str">
        <f t="shared" si="1"/>
        <v/>
      </c>
      <c r="J59" s="63" t="str">
        <f>IF(OR(A59="",C59=""),"",A59+IFERROR(VLOOKUP(C59,基础资料!$AE$5:$AG$204,3,FALSE),0))</f>
        <v/>
      </c>
      <c r="K59" s="54"/>
      <c r="L59" s="54"/>
      <c r="M59" s="54"/>
      <c r="N59" s="11" t="str">
        <f t="shared" si="2"/>
        <v/>
      </c>
    </row>
    <row r="60" spans="1:14">
      <c r="A60" s="60"/>
      <c r="B60" s="11" t="str">
        <f t="shared" si="0"/>
        <v/>
      </c>
      <c r="C60" s="54"/>
      <c r="D60" s="54"/>
      <c r="E60" s="11" t="str">
        <f>IF(D60="","",IFERROR(VLOOKUP(D60,基础资料!$P$5:$R$204,2,FALSE),""))</f>
        <v/>
      </c>
      <c r="F60" s="11" t="str">
        <f>IF(D60="","",IFERROR(VLOOKUP(D60,基础资料!$P$5:$R$204,3,FALSE),""))</f>
        <v/>
      </c>
      <c r="G60" s="55"/>
      <c r="H60" s="55"/>
      <c r="I60" s="62" t="str">
        <f t="shared" si="1"/>
        <v/>
      </c>
      <c r="J60" s="63" t="str">
        <f>IF(OR(A60="",C60=""),"",A60+IFERROR(VLOOKUP(C60,基础资料!$AE$5:$AG$204,3,FALSE),0))</f>
        <v/>
      </c>
      <c r="K60" s="54"/>
      <c r="L60" s="54"/>
      <c r="M60" s="54"/>
      <c r="N60" s="11" t="str">
        <f t="shared" si="2"/>
        <v/>
      </c>
    </row>
    <row r="61" spans="1:14">
      <c r="A61" s="60"/>
      <c r="B61" s="11" t="str">
        <f t="shared" si="0"/>
        <v/>
      </c>
      <c r="C61" s="54"/>
      <c r="D61" s="54"/>
      <c r="E61" s="11" t="str">
        <f>IF(D61="","",IFERROR(VLOOKUP(D61,基础资料!$P$5:$R$204,2,FALSE),""))</f>
        <v/>
      </c>
      <c r="F61" s="11" t="str">
        <f>IF(D61="","",IFERROR(VLOOKUP(D61,基础资料!$P$5:$R$204,3,FALSE),""))</f>
        <v/>
      </c>
      <c r="G61" s="55"/>
      <c r="H61" s="55"/>
      <c r="I61" s="62" t="str">
        <f t="shared" si="1"/>
        <v/>
      </c>
      <c r="J61" s="63" t="str">
        <f>IF(OR(A61="",C61=""),"",A61+IFERROR(VLOOKUP(C61,基础资料!$AE$5:$AG$204,3,FALSE),0))</f>
        <v/>
      </c>
      <c r="K61" s="54"/>
      <c r="L61" s="54"/>
      <c r="M61" s="54"/>
      <c r="N61" s="11" t="str">
        <f t="shared" si="2"/>
        <v/>
      </c>
    </row>
    <row r="62" spans="1:14">
      <c r="A62" s="60"/>
      <c r="B62" s="11" t="str">
        <f t="shared" si="0"/>
        <v/>
      </c>
      <c r="C62" s="54"/>
      <c r="D62" s="54"/>
      <c r="E62" s="11" t="str">
        <f>IF(D62="","",IFERROR(VLOOKUP(D62,基础资料!$P$5:$R$204,2,FALSE),""))</f>
        <v/>
      </c>
      <c r="F62" s="11" t="str">
        <f>IF(D62="","",IFERROR(VLOOKUP(D62,基础资料!$P$5:$R$204,3,FALSE),""))</f>
        <v/>
      </c>
      <c r="G62" s="55"/>
      <c r="H62" s="55"/>
      <c r="I62" s="62" t="str">
        <f t="shared" si="1"/>
        <v/>
      </c>
      <c r="J62" s="63" t="str">
        <f>IF(OR(A62="",C62=""),"",A62+IFERROR(VLOOKUP(C62,基础资料!$AE$5:$AG$204,3,FALSE),0))</f>
        <v/>
      </c>
      <c r="K62" s="54"/>
      <c r="L62" s="54"/>
      <c r="M62" s="54"/>
      <c r="N62" s="11" t="str">
        <f t="shared" si="2"/>
        <v/>
      </c>
    </row>
    <row r="63" spans="1:14">
      <c r="A63" s="60"/>
      <c r="B63" s="11" t="str">
        <f t="shared" si="0"/>
        <v/>
      </c>
      <c r="C63" s="54"/>
      <c r="D63" s="54"/>
      <c r="E63" s="11" t="str">
        <f>IF(D63="","",IFERROR(VLOOKUP(D63,基础资料!$P$5:$R$204,2,FALSE),""))</f>
        <v/>
      </c>
      <c r="F63" s="11" t="str">
        <f>IF(D63="","",IFERROR(VLOOKUP(D63,基础资料!$P$5:$R$204,3,FALSE),""))</f>
        <v/>
      </c>
      <c r="G63" s="55"/>
      <c r="H63" s="55"/>
      <c r="I63" s="62" t="str">
        <f t="shared" si="1"/>
        <v/>
      </c>
      <c r="J63" s="63" t="str">
        <f>IF(OR(A63="",C63=""),"",A63+IFERROR(VLOOKUP(C63,基础资料!$AE$5:$AG$204,3,FALSE),0))</f>
        <v/>
      </c>
      <c r="K63" s="54"/>
      <c r="L63" s="54"/>
      <c r="M63" s="54"/>
      <c r="N63" s="11" t="str">
        <f t="shared" si="2"/>
        <v/>
      </c>
    </row>
    <row r="64" spans="1:14">
      <c r="A64" s="60"/>
      <c r="B64" s="11" t="str">
        <f t="shared" si="0"/>
        <v/>
      </c>
      <c r="C64" s="54"/>
      <c r="D64" s="54"/>
      <c r="E64" s="11" t="str">
        <f>IF(D64="","",IFERROR(VLOOKUP(D64,基础资料!$P$5:$R$204,2,FALSE),""))</f>
        <v/>
      </c>
      <c r="F64" s="11" t="str">
        <f>IF(D64="","",IFERROR(VLOOKUP(D64,基础资料!$P$5:$R$204,3,FALSE),""))</f>
        <v/>
      </c>
      <c r="G64" s="55"/>
      <c r="H64" s="55"/>
      <c r="I64" s="62" t="str">
        <f t="shared" si="1"/>
        <v/>
      </c>
      <c r="J64" s="63" t="str">
        <f>IF(OR(A64="",C64=""),"",A64+IFERROR(VLOOKUP(C64,基础资料!$AE$5:$AG$204,3,FALSE),0))</f>
        <v/>
      </c>
      <c r="K64" s="54"/>
      <c r="L64" s="54"/>
      <c r="M64" s="54"/>
      <c r="N64" s="11" t="str">
        <f t="shared" si="2"/>
        <v/>
      </c>
    </row>
    <row r="65" spans="1:14">
      <c r="A65" s="60"/>
      <c r="B65" s="11" t="str">
        <f t="shared" si="0"/>
        <v/>
      </c>
      <c r="C65" s="54"/>
      <c r="D65" s="54"/>
      <c r="E65" s="11" t="str">
        <f>IF(D65="","",IFERROR(VLOOKUP(D65,基础资料!$P$5:$R$204,2,FALSE),""))</f>
        <v/>
      </c>
      <c r="F65" s="11" t="str">
        <f>IF(D65="","",IFERROR(VLOOKUP(D65,基础资料!$P$5:$R$204,3,FALSE),""))</f>
        <v/>
      </c>
      <c r="G65" s="55"/>
      <c r="H65" s="55"/>
      <c r="I65" s="62" t="str">
        <f t="shared" si="1"/>
        <v/>
      </c>
      <c r="J65" s="63" t="str">
        <f>IF(OR(A65="",C65=""),"",A65+IFERROR(VLOOKUP(C65,基础资料!$AE$5:$AG$204,3,FALSE),0))</f>
        <v/>
      </c>
      <c r="K65" s="54"/>
      <c r="L65" s="54"/>
      <c r="M65" s="54"/>
      <c r="N65" s="11" t="str">
        <f t="shared" si="2"/>
        <v/>
      </c>
    </row>
    <row r="66" spans="1:14">
      <c r="A66" s="60"/>
      <c r="B66" s="11" t="str">
        <f t="shared" si="0"/>
        <v/>
      </c>
      <c r="C66" s="54"/>
      <c r="D66" s="54"/>
      <c r="E66" s="11" t="str">
        <f>IF(D66="","",IFERROR(VLOOKUP(D66,基础资料!$P$5:$R$204,2,FALSE),""))</f>
        <v/>
      </c>
      <c r="F66" s="11" t="str">
        <f>IF(D66="","",IFERROR(VLOOKUP(D66,基础资料!$P$5:$R$204,3,FALSE),""))</f>
        <v/>
      </c>
      <c r="G66" s="55"/>
      <c r="H66" s="55"/>
      <c r="I66" s="62" t="str">
        <f t="shared" si="1"/>
        <v/>
      </c>
      <c r="J66" s="63" t="str">
        <f>IF(OR(A66="",C66=""),"",A66+IFERROR(VLOOKUP(C66,基础资料!$AE$5:$AG$204,3,FALSE),0))</f>
        <v/>
      </c>
      <c r="K66" s="54"/>
      <c r="L66" s="54"/>
      <c r="M66" s="54"/>
      <c r="N66" s="11" t="str">
        <f t="shared" si="2"/>
        <v/>
      </c>
    </row>
    <row r="67" spans="1:14">
      <c r="A67" s="60"/>
      <c r="B67" s="11" t="str">
        <f t="shared" si="0"/>
        <v/>
      </c>
      <c r="C67" s="54"/>
      <c r="D67" s="54"/>
      <c r="E67" s="11" t="str">
        <f>IF(D67="","",IFERROR(VLOOKUP(D67,基础资料!$P$5:$R$204,2,FALSE),""))</f>
        <v/>
      </c>
      <c r="F67" s="11" t="str">
        <f>IF(D67="","",IFERROR(VLOOKUP(D67,基础资料!$P$5:$R$204,3,FALSE),""))</f>
        <v/>
      </c>
      <c r="G67" s="55"/>
      <c r="H67" s="55"/>
      <c r="I67" s="62" t="str">
        <f t="shared" si="1"/>
        <v/>
      </c>
      <c r="J67" s="63" t="str">
        <f>IF(OR(A67="",C67=""),"",A67+IFERROR(VLOOKUP(C67,基础资料!$AE$5:$AG$204,3,FALSE),0))</f>
        <v/>
      </c>
      <c r="K67" s="54"/>
      <c r="L67" s="54"/>
      <c r="M67" s="54"/>
      <c r="N67" s="11" t="str">
        <f t="shared" si="2"/>
        <v/>
      </c>
    </row>
    <row r="68" spans="1:14">
      <c r="A68" s="60"/>
      <c r="B68" s="11" t="str">
        <f t="shared" ref="B68:B131" si="3">IF(A68="","",TEXT(A68,"yyyy-mm"))</f>
        <v/>
      </c>
      <c r="C68" s="54"/>
      <c r="D68" s="54"/>
      <c r="E68" s="11" t="str">
        <f>IF(D68="","",IFERROR(VLOOKUP(D68,基础资料!$P$5:$R$204,2,FALSE),""))</f>
        <v/>
      </c>
      <c r="F68" s="11" t="str">
        <f>IF(D68="","",IFERROR(VLOOKUP(D68,基础资料!$P$5:$R$204,3,FALSE),""))</f>
        <v/>
      </c>
      <c r="G68" s="55"/>
      <c r="H68" s="55"/>
      <c r="I68" s="62" t="str">
        <f t="shared" ref="I68:I131" si="4">IF(OR(G68="",H68=""),"",G68*H68)</f>
        <v/>
      </c>
      <c r="J68" s="63" t="str">
        <f>IF(OR(A68="",C68=""),"",A68+IFERROR(VLOOKUP(C68,基础资料!$AE$5:$AG$204,3,FALSE),0))</f>
        <v/>
      </c>
      <c r="K68" s="54"/>
      <c r="L68" s="54"/>
      <c r="M68" s="54"/>
      <c r="N68" s="11" t="str">
        <f t="shared" ref="N68:N131" si="5">IF(A68="","","可录入")</f>
        <v/>
      </c>
    </row>
    <row r="69" spans="1:14">
      <c r="A69" s="60"/>
      <c r="B69" s="11" t="str">
        <f t="shared" si="3"/>
        <v/>
      </c>
      <c r="C69" s="54"/>
      <c r="D69" s="54"/>
      <c r="E69" s="11" t="str">
        <f>IF(D69="","",IFERROR(VLOOKUP(D69,基础资料!$P$5:$R$204,2,FALSE),""))</f>
        <v/>
      </c>
      <c r="F69" s="11" t="str">
        <f>IF(D69="","",IFERROR(VLOOKUP(D69,基础资料!$P$5:$R$204,3,FALSE),""))</f>
        <v/>
      </c>
      <c r="G69" s="55"/>
      <c r="H69" s="55"/>
      <c r="I69" s="62" t="str">
        <f t="shared" si="4"/>
        <v/>
      </c>
      <c r="J69" s="63" t="str">
        <f>IF(OR(A69="",C69=""),"",A69+IFERROR(VLOOKUP(C69,基础资料!$AE$5:$AG$204,3,FALSE),0))</f>
        <v/>
      </c>
      <c r="K69" s="54"/>
      <c r="L69" s="54"/>
      <c r="M69" s="54"/>
      <c r="N69" s="11" t="str">
        <f t="shared" si="5"/>
        <v/>
      </c>
    </row>
    <row r="70" spans="1:14">
      <c r="A70" s="60"/>
      <c r="B70" s="11" t="str">
        <f t="shared" si="3"/>
        <v/>
      </c>
      <c r="C70" s="54"/>
      <c r="D70" s="54"/>
      <c r="E70" s="11" t="str">
        <f>IF(D70="","",IFERROR(VLOOKUP(D70,基础资料!$P$5:$R$204,2,FALSE),""))</f>
        <v/>
      </c>
      <c r="F70" s="11" t="str">
        <f>IF(D70="","",IFERROR(VLOOKUP(D70,基础资料!$P$5:$R$204,3,FALSE),""))</f>
        <v/>
      </c>
      <c r="G70" s="55"/>
      <c r="H70" s="55"/>
      <c r="I70" s="62" t="str">
        <f t="shared" si="4"/>
        <v/>
      </c>
      <c r="J70" s="63" t="str">
        <f>IF(OR(A70="",C70=""),"",A70+IFERROR(VLOOKUP(C70,基础资料!$AE$5:$AG$204,3,FALSE),0))</f>
        <v/>
      </c>
      <c r="K70" s="54"/>
      <c r="L70" s="54"/>
      <c r="M70" s="54"/>
      <c r="N70" s="11" t="str">
        <f t="shared" si="5"/>
        <v/>
      </c>
    </row>
    <row r="71" spans="1:14">
      <c r="A71" s="60"/>
      <c r="B71" s="11" t="str">
        <f t="shared" si="3"/>
        <v/>
      </c>
      <c r="C71" s="54"/>
      <c r="D71" s="54"/>
      <c r="E71" s="11" t="str">
        <f>IF(D71="","",IFERROR(VLOOKUP(D71,基础资料!$P$5:$R$204,2,FALSE),""))</f>
        <v/>
      </c>
      <c r="F71" s="11" t="str">
        <f>IF(D71="","",IFERROR(VLOOKUP(D71,基础资料!$P$5:$R$204,3,FALSE),""))</f>
        <v/>
      </c>
      <c r="G71" s="55"/>
      <c r="H71" s="55"/>
      <c r="I71" s="62" t="str">
        <f t="shared" si="4"/>
        <v/>
      </c>
      <c r="J71" s="63" t="str">
        <f>IF(OR(A71="",C71=""),"",A71+IFERROR(VLOOKUP(C71,基础资料!$AE$5:$AG$204,3,FALSE),0))</f>
        <v/>
      </c>
      <c r="K71" s="54"/>
      <c r="L71" s="54"/>
      <c r="M71" s="54"/>
      <c r="N71" s="11" t="str">
        <f t="shared" si="5"/>
        <v/>
      </c>
    </row>
    <row r="72" spans="1:14">
      <c r="A72" s="60"/>
      <c r="B72" s="11" t="str">
        <f t="shared" si="3"/>
        <v/>
      </c>
      <c r="C72" s="54"/>
      <c r="D72" s="54"/>
      <c r="E72" s="11" t="str">
        <f>IF(D72="","",IFERROR(VLOOKUP(D72,基础资料!$P$5:$R$204,2,FALSE),""))</f>
        <v/>
      </c>
      <c r="F72" s="11" t="str">
        <f>IF(D72="","",IFERROR(VLOOKUP(D72,基础资料!$P$5:$R$204,3,FALSE),""))</f>
        <v/>
      </c>
      <c r="G72" s="55"/>
      <c r="H72" s="55"/>
      <c r="I72" s="62" t="str">
        <f t="shared" si="4"/>
        <v/>
      </c>
      <c r="J72" s="63" t="str">
        <f>IF(OR(A72="",C72=""),"",A72+IFERROR(VLOOKUP(C72,基础资料!$AE$5:$AG$204,3,FALSE),0))</f>
        <v/>
      </c>
      <c r="K72" s="54"/>
      <c r="L72" s="54"/>
      <c r="M72" s="54"/>
      <c r="N72" s="11" t="str">
        <f t="shared" si="5"/>
        <v/>
      </c>
    </row>
    <row r="73" spans="1:14">
      <c r="A73" s="60"/>
      <c r="B73" s="11" t="str">
        <f t="shared" si="3"/>
        <v/>
      </c>
      <c r="C73" s="54"/>
      <c r="D73" s="54"/>
      <c r="E73" s="11" t="str">
        <f>IF(D73="","",IFERROR(VLOOKUP(D73,基础资料!$P$5:$R$204,2,FALSE),""))</f>
        <v/>
      </c>
      <c r="F73" s="11" t="str">
        <f>IF(D73="","",IFERROR(VLOOKUP(D73,基础资料!$P$5:$R$204,3,FALSE),""))</f>
        <v/>
      </c>
      <c r="G73" s="55"/>
      <c r="H73" s="55"/>
      <c r="I73" s="62" t="str">
        <f t="shared" si="4"/>
        <v/>
      </c>
      <c r="J73" s="63" t="str">
        <f>IF(OR(A73="",C73=""),"",A73+IFERROR(VLOOKUP(C73,基础资料!$AE$5:$AG$204,3,FALSE),0))</f>
        <v/>
      </c>
      <c r="K73" s="54"/>
      <c r="L73" s="54"/>
      <c r="M73" s="54"/>
      <c r="N73" s="11" t="str">
        <f t="shared" si="5"/>
        <v/>
      </c>
    </row>
    <row r="74" spans="1:14">
      <c r="A74" s="60"/>
      <c r="B74" s="11" t="str">
        <f t="shared" si="3"/>
        <v/>
      </c>
      <c r="C74" s="54"/>
      <c r="D74" s="54"/>
      <c r="E74" s="11" t="str">
        <f>IF(D74="","",IFERROR(VLOOKUP(D74,基础资料!$P$5:$R$204,2,FALSE),""))</f>
        <v/>
      </c>
      <c r="F74" s="11" t="str">
        <f>IF(D74="","",IFERROR(VLOOKUP(D74,基础资料!$P$5:$R$204,3,FALSE),""))</f>
        <v/>
      </c>
      <c r="G74" s="55"/>
      <c r="H74" s="55"/>
      <c r="I74" s="62" t="str">
        <f t="shared" si="4"/>
        <v/>
      </c>
      <c r="J74" s="63" t="str">
        <f>IF(OR(A74="",C74=""),"",A74+IFERROR(VLOOKUP(C74,基础资料!$AE$5:$AG$204,3,FALSE),0))</f>
        <v/>
      </c>
      <c r="K74" s="54"/>
      <c r="L74" s="54"/>
      <c r="M74" s="54"/>
      <c r="N74" s="11" t="str">
        <f t="shared" si="5"/>
        <v/>
      </c>
    </row>
    <row r="75" spans="1:14">
      <c r="A75" s="60"/>
      <c r="B75" s="11" t="str">
        <f t="shared" si="3"/>
        <v/>
      </c>
      <c r="C75" s="54"/>
      <c r="D75" s="54"/>
      <c r="E75" s="11" t="str">
        <f>IF(D75="","",IFERROR(VLOOKUP(D75,基础资料!$P$5:$R$204,2,FALSE),""))</f>
        <v/>
      </c>
      <c r="F75" s="11" t="str">
        <f>IF(D75="","",IFERROR(VLOOKUP(D75,基础资料!$P$5:$R$204,3,FALSE),""))</f>
        <v/>
      </c>
      <c r="G75" s="55"/>
      <c r="H75" s="55"/>
      <c r="I75" s="62" t="str">
        <f t="shared" si="4"/>
        <v/>
      </c>
      <c r="J75" s="63" t="str">
        <f>IF(OR(A75="",C75=""),"",A75+IFERROR(VLOOKUP(C75,基础资料!$AE$5:$AG$204,3,FALSE),0))</f>
        <v/>
      </c>
      <c r="K75" s="54"/>
      <c r="L75" s="54"/>
      <c r="M75" s="54"/>
      <c r="N75" s="11" t="str">
        <f t="shared" si="5"/>
        <v/>
      </c>
    </row>
    <row r="76" spans="1:14">
      <c r="A76" s="60"/>
      <c r="B76" s="11" t="str">
        <f t="shared" si="3"/>
        <v/>
      </c>
      <c r="C76" s="54"/>
      <c r="D76" s="54"/>
      <c r="E76" s="11" t="str">
        <f>IF(D76="","",IFERROR(VLOOKUP(D76,基础资料!$P$5:$R$204,2,FALSE),""))</f>
        <v/>
      </c>
      <c r="F76" s="11" t="str">
        <f>IF(D76="","",IFERROR(VLOOKUP(D76,基础资料!$P$5:$R$204,3,FALSE),""))</f>
        <v/>
      </c>
      <c r="G76" s="55"/>
      <c r="H76" s="55"/>
      <c r="I76" s="62" t="str">
        <f t="shared" si="4"/>
        <v/>
      </c>
      <c r="J76" s="63" t="str">
        <f>IF(OR(A76="",C76=""),"",A76+IFERROR(VLOOKUP(C76,基础资料!$AE$5:$AG$204,3,FALSE),0))</f>
        <v/>
      </c>
      <c r="K76" s="54"/>
      <c r="L76" s="54"/>
      <c r="M76" s="54"/>
      <c r="N76" s="11" t="str">
        <f t="shared" si="5"/>
        <v/>
      </c>
    </row>
    <row r="77" spans="1:14">
      <c r="A77" s="60"/>
      <c r="B77" s="11" t="str">
        <f t="shared" si="3"/>
        <v/>
      </c>
      <c r="C77" s="54"/>
      <c r="D77" s="54"/>
      <c r="E77" s="11" t="str">
        <f>IF(D77="","",IFERROR(VLOOKUP(D77,基础资料!$P$5:$R$204,2,FALSE),""))</f>
        <v/>
      </c>
      <c r="F77" s="11" t="str">
        <f>IF(D77="","",IFERROR(VLOOKUP(D77,基础资料!$P$5:$R$204,3,FALSE),""))</f>
        <v/>
      </c>
      <c r="G77" s="55"/>
      <c r="H77" s="55"/>
      <c r="I77" s="62" t="str">
        <f t="shared" si="4"/>
        <v/>
      </c>
      <c r="J77" s="63" t="str">
        <f>IF(OR(A77="",C77=""),"",A77+IFERROR(VLOOKUP(C77,基础资料!$AE$5:$AG$204,3,FALSE),0))</f>
        <v/>
      </c>
      <c r="K77" s="54"/>
      <c r="L77" s="54"/>
      <c r="M77" s="54"/>
      <c r="N77" s="11" t="str">
        <f t="shared" si="5"/>
        <v/>
      </c>
    </row>
    <row r="78" spans="1:14">
      <c r="A78" s="60"/>
      <c r="B78" s="11" t="str">
        <f t="shared" si="3"/>
        <v/>
      </c>
      <c r="C78" s="54"/>
      <c r="D78" s="54"/>
      <c r="E78" s="11" t="str">
        <f>IF(D78="","",IFERROR(VLOOKUP(D78,基础资料!$P$5:$R$204,2,FALSE),""))</f>
        <v/>
      </c>
      <c r="F78" s="11" t="str">
        <f>IF(D78="","",IFERROR(VLOOKUP(D78,基础资料!$P$5:$R$204,3,FALSE),""))</f>
        <v/>
      </c>
      <c r="G78" s="55"/>
      <c r="H78" s="55"/>
      <c r="I78" s="62" t="str">
        <f t="shared" si="4"/>
        <v/>
      </c>
      <c r="J78" s="63" t="str">
        <f>IF(OR(A78="",C78=""),"",A78+IFERROR(VLOOKUP(C78,基础资料!$AE$5:$AG$204,3,FALSE),0))</f>
        <v/>
      </c>
      <c r="K78" s="54"/>
      <c r="L78" s="54"/>
      <c r="M78" s="54"/>
      <c r="N78" s="11" t="str">
        <f t="shared" si="5"/>
        <v/>
      </c>
    </row>
    <row r="79" spans="1:14">
      <c r="A79" s="60"/>
      <c r="B79" s="11" t="str">
        <f t="shared" si="3"/>
        <v/>
      </c>
      <c r="C79" s="54"/>
      <c r="D79" s="54"/>
      <c r="E79" s="11" t="str">
        <f>IF(D79="","",IFERROR(VLOOKUP(D79,基础资料!$P$5:$R$204,2,FALSE),""))</f>
        <v/>
      </c>
      <c r="F79" s="11" t="str">
        <f>IF(D79="","",IFERROR(VLOOKUP(D79,基础资料!$P$5:$R$204,3,FALSE),""))</f>
        <v/>
      </c>
      <c r="G79" s="55"/>
      <c r="H79" s="55"/>
      <c r="I79" s="62" t="str">
        <f t="shared" si="4"/>
        <v/>
      </c>
      <c r="J79" s="63" t="str">
        <f>IF(OR(A79="",C79=""),"",A79+IFERROR(VLOOKUP(C79,基础资料!$AE$5:$AG$204,3,FALSE),0))</f>
        <v/>
      </c>
      <c r="K79" s="54"/>
      <c r="L79" s="54"/>
      <c r="M79" s="54"/>
      <c r="N79" s="11" t="str">
        <f t="shared" si="5"/>
        <v/>
      </c>
    </row>
    <row r="80" spans="1:14">
      <c r="A80" s="60"/>
      <c r="B80" s="11" t="str">
        <f t="shared" si="3"/>
        <v/>
      </c>
      <c r="C80" s="54"/>
      <c r="D80" s="54"/>
      <c r="E80" s="11" t="str">
        <f>IF(D80="","",IFERROR(VLOOKUP(D80,基础资料!$P$5:$R$204,2,FALSE),""))</f>
        <v/>
      </c>
      <c r="F80" s="11" t="str">
        <f>IF(D80="","",IFERROR(VLOOKUP(D80,基础资料!$P$5:$R$204,3,FALSE),""))</f>
        <v/>
      </c>
      <c r="G80" s="55"/>
      <c r="H80" s="55"/>
      <c r="I80" s="62" t="str">
        <f t="shared" si="4"/>
        <v/>
      </c>
      <c r="J80" s="63" t="str">
        <f>IF(OR(A80="",C80=""),"",A80+IFERROR(VLOOKUP(C80,基础资料!$AE$5:$AG$204,3,FALSE),0))</f>
        <v/>
      </c>
      <c r="K80" s="54"/>
      <c r="L80" s="54"/>
      <c r="M80" s="54"/>
      <c r="N80" s="11" t="str">
        <f t="shared" si="5"/>
        <v/>
      </c>
    </row>
    <row r="81" spans="1:14">
      <c r="A81" s="60"/>
      <c r="B81" s="11" t="str">
        <f t="shared" si="3"/>
        <v/>
      </c>
      <c r="C81" s="54"/>
      <c r="D81" s="54"/>
      <c r="E81" s="11" t="str">
        <f>IF(D81="","",IFERROR(VLOOKUP(D81,基础资料!$P$5:$R$204,2,FALSE),""))</f>
        <v/>
      </c>
      <c r="F81" s="11" t="str">
        <f>IF(D81="","",IFERROR(VLOOKUP(D81,基础资料!$P$5:$R$204,3,FALSE),""))</f>
        <v/>
      </c>
      <c r="G81" s="55"/>
      <c r="H81" s="55"/>
      <c r="I81" s="62" t="str">
        <f t="shared" si="4"/>
        <v/>
      </c>
      <c r="J81" s="63" t="str">
        <f>IF(OR(A81="",C81=""),"",A81+IFERROR(VLOOKUP(C81,基础资料!$AE$5:$AG$204,3,FALSE),0))</f>
        <v/>
      </c>
      <c r="K81" s="54"/>
      <c r="L81" s="54"/>
      <c r="M81" s="54"/>
      <c r="N81" s="11" t="str">
        <f t="shared" si="5"/>
        <v/>
      </c>
    </row>
    <row r="82" spans="1:14">
      <c r="A82" s="60"/>
      <c r="B82" s="11" t="str">
        <f t="shared" si="3"/>
        <v/>
      </c>
      <c r="C82" s="54"/>
      <c r="D82" s="54"/>
      <c r="E82" s="11" t="str">
        <f>IF(D82="","",IFERROR(VLOOKUP(D82,基础资料!$P$5:$R$204,2,FALSE),""))</f>
        <v/>
      </c>
      <c r="F82" s="11" t="str">
        <f>IF(D82="","",IFERROR(VLOOKUP(D82,基础资料!$P$5:$R$204,3,FALSE),""))</f>
        <v/>
      </c>
      <c r="G82" s="55"/>
      <c r="H82" s="55"/>
      <c r="I82" s="62" t="str">
        <f t="shared" si="4"/>
        <v/>
      </c>
      <c r="J82" s="63" t="str">
        <f>IF(OR(A82="",C82=""),"",A82+IFERROR(VLOOKUP(C82,基础资料!$AE$5:$AG$204,3,FALSE),0))</f>
        <v/>
      </c>
      <c r="K82" s="54"/>
      <c r="L82" s="54"/>
      <c r="M82" s="54"/>
      <c r="N82" s="11" t="str">
        <f t="shared" si="5"/>
        <v/>
      </c>
    </row>
    <row r="83" spans="1:14">
      <c r="A83" s="60"/>
      <c r="B83" s="11" t="str">
        <f t="shared" si="3"/>
        <v/>
      </c>
      <c r="C83" s="54"/>
      <c r="D83" s="54"/>
      <c r="E83" s="11" t="str">
        <f>IF(D83="","",IFERROR(VLOOKUP(D83,基础资料!$P$5:$R$204,2,FALSE),""))</f>
        <v/>
      </c>
      <c r="F83" s="11" t="str">
        <f>IF(D83="","",IFERROR(VLOOKUP(D83,基础资料!$P$5:$R$204,3,FALSE),""))</f>
        <v/>
      </c>
      <c r="G83" s="55"/>
      <c r="H83" s="55"/>
      <c r="I83" s="62" t="str">
        <f t="shared" si="4"/>
        <v/>
      </c>
      <c r="J83" s="63" t="str">
        <f>IF(OR(A83="",C83=""),"",A83+IFERROR(VLOOKUP(C83,基础资料!$AE$5:$AG$204,3,FALSE),0))</f>
        <v/>
      </c>
      <c r="K83" s="54"/>
      <c r="L83" s="54"/>
      <c r="M83" s="54"/>
      <c r="N83" s="11" t="str">
        <f t="shared" si="5"/>
        <v/>
      </c>
    </row>
    <row r="84" spans="1:14">
      <c r="A84" s="60"/>
      <c r="B84" s="11" t="str">
        <f t="shared" si="3"/>
        <v/>
      </c>
      <c r="C84" s="54"/>
      <c r="D84" s="54"/>
      <c r="E84" s="11" t="str">
        <f>IF(D84="","",IFERROR(VLOOKUP(D84,基础资料!$P$5:$R$204,2,FALSE),""))</f>
        <v/>
      </c>
      <c r="F84" s="11" t="str">
        <f>IF(D84="","",IFERROR(VLOOKUP(D84,基础资料!$P$5:$R$204,3,FALSE),""))</f>
        <v/>
      </c>
      <c r="G84" s="55"/>
      <c r="H84" s="55"/>
      <c r="I84" s="62" t="str">
        <f t="shared" si="4"/>
        <v/>
      </c>
      <c r="J84" s="63" t="str">
        <f>IF(OR(A84="",C84=""),"",A84+IFERROR(VLOOKUP(C84,基础资料!$AE$5:$AG$204,3,FALSE),0))</f>
        <v/>
      </c>
      <c r="K84" s="54"/>
      <c r="L84" s="54"/>
      <c r="M84" s="54"/>
      <c r="N84" s="11" t="str">
        <f t="shared" si="5"/>
        <v/>
      </c>
    </row>
    <row r="85" spans="1:14">
      <c r="A85" s="60"/>
      <c r="B85" s="11" t="str">
        <f t="shared" si="3"/>
        <v/>
      </c>
      <c r="C85" s="54"/>
      <c r="D85" s="54"/>
      <c r="E85" s="11" t="str">
        <f>IF(D85="","",IFERROR(VLOOKUP(D85,基础资料!$P$5:$R$204,2,FALSE),""))</f>
        <v/>
      </c>
      <c r="F85" s="11" t="str">
        <f>IF(D85="","",IFERROR(VLOOKUP(D85,基础资料!$P$5:$R$204,3,FALSE),""))</f>
        <v/>
      </c>
      <c r="G85" s="55"/>
      <c r="H85" s="55"/>
      <c r="I85" s="62" t="str">
        <f t="shared" si="4"/>
        <v/>
      </c>
      <c r="J85" s="63" t="str">
        <f>IF(OR(A85="",C85=""),"",A85+IFERROR(VLOOKUP(C85,基础资料!$AE$5:$AG$204,3,FALSE),0))</f>
        <v/>
      </c>
      <c r="K85" s="54"/>
      <c r="L85" s="54"/>
      <c r="M85" s="54"/>
      <c r="N85" s="11" t="str">
        <f t="shared" si="5"/>
        <v/>
      </c>
    </row>
    <row r="86" spans="1:14">
      <c r="A86" s="60"/>
      <c r="B86" s="11" t="str">
        <f t="shared" si="3"/>
        <v/>
      </c>
      <c r="C86" s="54"/>
      <c r="D86" s="54"/>
      <c r="E86" s="11" t="str">
        <f>IF(D86="","",IFERROR(VLOOKUP(D86,基础资料!$P$5:$R$204,2,FALSE),""))</f>
        <v/>
      </c>
      <c r="F86" s="11" t="str">
        <f>IF(D86="","",IFERROR(VLOOKUP(D86,基础资料!$P$5:$R$204,3,FALSE),""))</f>
        <v/>
      </c>
      <c r="G86" s="55"/>
      <c r="H86" s="55"/>
      <c r="I86" s="62" t="str">
        <f t="shared" si="4"/>
        <v/>
      </c>
      <c r="J86" s="63" t="str">
        <f>IF(OR(A86="",C86=""),"",A86+IFERROR(VLOOKUP(C86,基础资料!$AE$5:$AG$204,3,FALSE),0))</f>
        <v/>
      </c>
      <c r="K86" s="54"/>
      <c r="L86" s="54"/>
      <c r="M86" s="54"/>
      <c r="N86" s="11" t="str">
        <f t="shared" si="5"/>
        <v/>
      </c>
    </row>
    <row r="87" spans="1:14">
      <c r="A87" s="60"/>
      <c r="B87" s="11" t="str">
        <f t="shared" si="3"/>
        <v/>
      </c>
      <c r="C87" s="54"/>
      <c r="D87" s="54"/>
      <c r="E87" s="11" t="str">
        <f>IF(D87="","",IFERROR(VLOOKUP(D87,基础资料!$P$5:$R$204,2,FALSE),""))</f>
        <v/>
      </c>
      <c r="F87" s="11" t="str">
        <f>IF(D87="","",IFERROR(VLOOKUP(D87,基础资料!$P$5:$R$204,3,FALSE),""))</f>
        <v/>
      </c>
      <c r="G87" s="55"/>
      <c r="H87" s="55"/>
      <c r="I87" s="62" t="str">
        <f t="shared" si="4"/>
        <v/>
      </c>
      <c r="J87" s="63" t="str">
        <f>IF(OR(A87="",C87=""),"",A87+IFERROR(VLOOKUP(C87,基础资料!$AE$5:$AG$204,3,FALSE),0))</f>
        <v/>
      </c>
      <c r="K87" s="54"/>
      <c r="L87" s="54"/>
      <c r="M87" s="54"/>
      <c r="N87" s="11" t="str">
        <f t="shared" si="5"/>
        <v/>
      </c>
    </row>
    <row r="88" spans="1:14">
      <c r="A88" s="60"/>
      <c r="B88" s="11" t="str">
        <f t="shared" si="3"/>
        <v/>
      </c>
      <c r="C88" s="54"/>
      <c r="D88" s="54"/>
      <c r="E88" s="11" t="str">
        <f>IF(D88="","",IFERROR(VLOOKUP(D88,基础资料!$P$5:$R$204,2,FALSE),""))</f>
        <v/>
      </c>
      <c r="F88" s="11" t="str">
        <f>IF(D88="","",IFERROR(VLOOKUP(D88,基础资料!$P$5:$R$204,3,FALSE),""))</f>
        <v/>
      </c>
      <c r="G88" s="55"/>
      <c r="H88" s="55"/>
      <c r="I88" s="62" t="str">
        <f t="shared" si="4"/>
        <v/>
      </c>
      <c r="J88" s="63" t="str">
        <f>IF(OR(A88="",C88=""),"",A88+IFERROR(VLOOKUP(C88,基础资料!$AE$5:$AG$204,3,FALSE),0))</f>
        <v/>
      </c>
      <c r="K88" s="54"/>
      <c r="L88" s="54"/>
      <c r="M88" s="54"/>
      <c r="N88" s="11" t="str">
        <f t="shared" si="5"/>
        <v/>
      </c>
    </row>
    <row r="89" spans="1:14">
      <c r="A89" s="60"/>
      <c r="B89" s="11" t="str">
        <f t="shared" si="3"/>
        <v/>
      </c>
      <c r="C89" s="54"/>
      <c r="D89" s="54"/>
      <c r="E89" s="11" t="str">
        <f>IF(D89="","",IFERROR(VLOOKUP(D89,基础资料!$P$5:$R$204,2,FALSE),""))</f>
        <v/>
      </c>
      <c r="F89" s="11" t="str">
        <f>IF(D89="","",IFERROR(VLOOKUP(D89,基础资料!$P$5:$R$204,3,FALSE),""))</f>
        <v/>
      </c>
      <c r="G89" s="55"/>
      <c r="H89" s="55"/>
      <c r="I89" s="62" t="str">
        <f t="shared" si="4"/>
        <v/>
      </c>
      <c r="J89" s="63" t="str">
        <f>IF(OR(A89="",C89=""),"",A89+IFERROR(VLOOKUP(C89,基础资料!$AE$5:$AG$204,3,FALSE),0))</f>
        <v/>
      </c>
      <c r="K89" s="54"/>
      <c r="L89" s="54"/>
      <c r="M89" s="54"/>
      <c r="N89" s="11" t="str">
        <f t="shared" si="5"/>
        <v/>
      </c>
    </row>
    <row r="90" spans="1:14">
      <c r="A90" s="60"/>
      <c r="B90" s="11" t="str">
        <f t="shared" si="3"/>
        <v/>
      </c>
      <c r="C90" s="54"/>
      <c r="D90" s="54"/>
      <c r="E90" s="11" t="str">
        <f>IF(D90="","",IFERROR(VLOOKUP(D90,基础资料!$P$5:$R$204,2,FALSE),""))</f>
        <v/>
      </c>
      <c r="F90" s="11" t="str">
        <f>IF(D90="","",IFERROR(VLOOKUP(D90,基础资料!$P$5:$R$204,3,FALSE),""))</f>
        <v/>
      </c>
      <c r="G90" s="55"/>
      <c r="H90" s="55"/>
      <c r="I90" s="62" t="str">
        <f t="shared" si="4"/>
        <v/>
      </c>
      <c r="J90" s="63" t="str">
        <f>IF(OR(A90="",C90=""),"",A90+IFERROR(VLOOKUP(C90,基础资料!$AE$5:$AG$204,3,FALSE),0))</f>
        <v/>
      </c>
      <c r="K90" s="54"/>
      <c r="L90" s="54"/>
      <c r="M90" s="54"/>
      <c r="N90" s="11" t="str">
        <f t="shared" si="5"/>
        <v/>
      </c>
    </row>
    <row r="91" spans="1:14">
      <c r="A91" s="60"/>
      <c r="B91" s="11" t="str">
        <f t="shared" si="3"/>
        <v/>
      </c>
      <c r="C91" s="54"/>
      <c r="D91" s="54"/>
      <c r="E91" s="11" t="str">
        <f>IF(D91="","",IFERROR(VLOOKUP(D91,基础资料!$P$5:$R$204,2,FALSE),""))</f>
        <v/>
      </c>
      <c r="F91" s="11" t="str">
        <f>IF(D91="","",IFERROR(VLOOKUP(D91,基础资料!$P$5:$R$204,3,FALSE),""))</f>
        <v/>
      </c>
      <c r="G91" s="55"/>
      <c r="H91" s="55"/>
      <c r="I91" s="62" t="str">
        <f t="shared" si="4"/>
        <v/>
      </c>
      <c r="J91" s="63" t="str">
        <f>IF(OR(A91="",C91=""),"",A91+IFERROR(VLOOKUP(C91,基础资料!$AE$5:$AG$204,3,FALSE),0))</f>
        <v/>
      </c>
      <c r="K91" s="54"/>
      <c r="L91" s="54"/>
      <c r="M91" s="54"/>
      <c r="N91" s="11" t="str">
        <f t="shared" si="5"/>
        <v/>
      </c>
    </row>
    <row r="92" spans="1:14">
      <c r="A92" s="60"/>
      <c r="B92" s="11" t="str">
        <f t="shared" si="3"/>
        <v/>
      </c>
      <c r="C92" s="54"/>
      <c r="D92" s="54"/>
      <c r="E92" s="11" t="str">
        <f>IF(D92="","",IFERROR(VLOOKUP(D92,基础资料!$P$5:$R$204,2,FALSE),""))</f>
        <v/>
      </c>
      <c r="F92" s="11" t="str">
        <f>IF(D92="","",IFERROR(VLOOKUP(D92,基础资料!$P$5:$R$204,3,FALSE),""))</f>
        <v/>
      </c>
      <c r="G92" s="55"/>
      <c r="H92" s="55"/>
      <c r="I92" s="62" t="str">
        <f t="shared" si="4"/>
        <v/>
      </c>
      <c r="J92" s="63" t="str">
        <f>IF(OR(A92="",C92=""),"",A92+IFERROR(VLOOKUP(C92,基础资料!$AE$5:$AG$204,3,FALSE),0))</f>
        <v/>
      </c>
      <c r="K92" s="54"/>
      <c r="L92" s="54"/>
      <c r="M92" s="54"/>
      <c r="N92" s="11" t="str">
        <f t="shared" si="5"/>
        <v/>
      </c>
    </row>
    <row r="93" spans="1:14">
      <c r="A93" s="60"/>
      <c r="B93" s="11" t="str">
        <f t="shared" si="3"/>
        <v/>
      </c>
      <c r="C93" s="54"/>
      <c r="D93" s="54"/>
      <c r="E93" s="11" t="str">
        <f>IF(D93="","",IFERROR(VLOOKUP(D93,基础资料!$P$5:$R$204,2,FALSE),""))</f>
        <v/>
      </c>
      <c r="F93" s="11" t="str">
        <f>IF(D93="","",IFERROR(VLOOKUP(D93,基础资料!$P$5:$R$204,3,FALSE),""))</f>
        <v/>
      </c>
      <c r="G93" s="55"/>
      <c r="H93" s="55"/>
      <c r="I93" s="62" t="str">
        <f t="shared" si="4"/>
        <v/>
      </c>
      <c r="J93" s="63" t="str">
        <f>IF(OR(A93="",C93=""),"",A93+IFERROR(VLOOKUP(C93,基础资料!$AE$5:$AG$204,3,FALSE),0))</f>
        <v/>
      </c>
      <c r="K93" s="54"/>
      <c r="L93" s="54"/>
      <c r="M93" s="54"/>
      <c r="N93" s="11" t="str">
        <f t="shared" si="5"/>
        <v/>
      </c>
    </row>
    <row r="94" spans="1:14">
      <c r="A94" s="60"/>
      <c r="B94" s="11" t="str">
        <f t="shared" si="3"/>
        <v/>
      </c>
      <c r="C94" s="54"/>
      <c r="D94" s="54"/>
      <c r="E94" s="11" t="str">
        <f>IF(D94="","",IFERROR(VLOOKUP(D94,基础资料!$P$5:$R$204,2,FALSE),""))</f>
        <v/>
      </c>
      <c r="F94" s="11" t="str">
        <f>IF(D94="","",IFERROR(VLOOKUP(D94,基础资料!$P$5:$R$204,3,FALSE),""))</f>
        <v/>
      </c>
      <c r="G94" s="55"/>
      <c r="H94" s="55"/>
      <c r="I94" s="62" t="str">
        <f t="shared" si="4"/>
        <v/>
      </c>
      <c r="J94" s="63" t="str">
        <f>IF(OR(A94="",C94=""),"",A94+IFERROR(VLOOKUP(C94,基础资料!$AE$5:$AG$204,3,FALSE),0))</f>
        <v/>
      </c>
      <c r="K94" s="54"/>
      <c r="L94" s="54"/>
      <c r="M94" s="54"/>
      <c r="N94" s="11" t="str">
        <f t="shared" si="5"/>
        <v/>
      </c>
    </row>
    <row r="95" spans="1:14">
      <c r="A95" s="60"/>
      <c r="B95" s="11" t="str">
        <f t="shared" si="3"/>
        <v/>
      </c>
      <c r="C95" s="54"/>
      <c r="D95" s="54"/>
      <c r="E95" s="11" t="str">
        <f>IF(D95="","",IFERROR(VLOOKUP(D95,基础资料!$P$5:$R$204,2,FALSE),""))</f>
        <v/>
      </c>
      <c r="F95" s="11" t="str">
        <f>IF(D95="","",IFERROR(VLOOKUP(D95,基础资料!$P$5:$R$204,3,FALSE),""))</f>
        <v/>
      </c>
      <c r="G95" s="55"/>
      <c r="H95" s="55"/>
      <c r="I95" s="62" t="str">
        <f t="shared" si="4"/>
        <v/>
      </c>
      <c r="J95" s="63" t="str">
        <f>IF(OR(A95="",C95=""),"",A95+IFERROR(VLOOKUP(C95,基础资料!$AE$5:$AG$204,3,FALSE),0))</f>
        <v/>
      </c>
      <c r="K95" s="54"/>
      <c r="L95" s="54"/>
      <c r="M95" s="54"/>
      <c r="N95" s="11" t="str">
        <f t="shared" si="5"/>
        <v/>
      </c>
    </row>
    <row r="96" spans="1:14">
      <c r="A96" s="60"/>
      <c r="B96" s="11" t="str">
        <f t="shared" si="3"/>
        <v/>
      </c>
      <c r="C96" s="54"/>
      <c r="D96" s="54"/>
      <c r="E96" s="11" t="str">
        <f>IF(D96="","",IFERROR(VLOOKUP(D96,基础资料!$P$5:$R$204,2,FALSE),""))</f>
        <v/>
      </c>
      <c r="F96" s="11" t="str">
        <f>IF(D96="","",IFERROR(VLOOKUP(D96,基础资料!$P$5:$R$204,3,FALSE),""))</f>
        <v/>
      </c>
      <c r="G96" s="55"/>
      <c r="H96" s="55"/>
      <c r="I96" s="62" t="str">
        <f t="shared" si="4"/>
        <v/>
      </c>
      <c r="J96" s="63" t="str">
        <f>IF(OR(A96="",C96=""),"",A96+IFERROR(VLOOKUP(C96,基础资料!$AE$5:$AG$204,3,FALSE),0))</f>
        <v/>
      </c>
      <c r="K96" s="54"/>
      <c r="L96" s="54"/>
      <c r="M96" s="54"/>
      <c r="N96" s="11" t="str">
        <f t="shared" si="5"/>
        <v/>
      </c>
    </row>
    <row r="97" spans="1:14">
      <c r="A97" s="60"/>
      <c r="B97" s="11" t="str">
        <f t="shared" si="3"/>
        <v/>
      </c>
      <c r="C97" s="54"/>
      <c r="D97" s="54"/>
      <c r="E97" s="11" t="str">
        <f>IF(D97="","",IFERROR(VLOOKUP(D97,基础资料!$P$5:$R$204,2,FALSE),""))</f>
        <v/>
      </c>
      <c r="F97" s="11" t="str">
        <f>IF(D97="","",IFERROR(VLOOKUP(D97,基础资料!$P$5:$R$204,3,FALSE),""))</f>
        <v/>
      </c>
      <c r="G97" s="55"/>
      <c r="H97" s="55"/>
      <c r="I97" s="62" t="str">
        <f t="shared" si="4"/>
        <v/>
      </c>
      <c r="J97" s="63" t="str">
        <f>IF(OR(A97="",C97=""),"",A97+IFERROR(VLOOKUP(C97,基础资料!$AE$5:$AG$204,3,FALSE),0))</f>
        <v/>
      </c>
      <c r="K97" s="54"/>
      <c r="L97" s="54"/>
      <c r="M97" s="54"/>
      <c r="N97" s="11" t="str">
        <f t="shared" si="5"/>
        <v/>
      </c>
    </row>
    <row r="98" spans="1:14">
      <c r="A98" s="60"/>
      <c r="B98" s="11" t="str">
        <f t="shared" si="3"/>
        <v/>
      </c>
      <c r="C98" s="54"/>
      <c r="D98" s="54"/>
      <c r="E98" s="11" t="str">
        <f>IF(D98="","",IFERROR(VLOOKUP(D98,基础资料!$P$5:$R$204,2,FALSE),""))</f>
        <v/>
      </c>
      <c r="F98" s="11" t="str">
        <f>IF(D98="","",IFERROR(VLOOKUP(D98,基础资料!$P$5:$R$204,3,FALSE),""))</f>
        <v/>
      </c>
      <c r="G98" s="55"/>
      <c r="H98" s="55"/>
      <c r="I98" s="62" t="str">
        <f t="shared" si="4"/>
        <v/>
      </c>
      <c r="J98" s="63" t="str">
        <f>IF(OR(A98="",C98=""),"",A98+IFERROR(VLOOKUP(C98,基础资料!$AE$5:$AG$204,3,FALSE),0))</f>
        <v/>
      </c>
      <c r="K98" s="54"/>
      <c r="L98" s="54"/>
      <c r="M98" s="54"/>
      <c r="N98" s="11" t="str">
        <f t="shared" si="5"/>
        <v/>
      </c>
    </row>
    <row r="99" spans="1:14">
      <c r="A99" s="60"/>
      <c r="B99" s="11" t="str">
        <f t="shared" si="3"/>
        <v/>
      </c>
      <c r="C99" s="54"/>
      <c r="D99" s="54"/>
      <c r="E99" s="11" t="str">
        <f>IF(D99="","",IFERROR(VLOOKUP(D99,基础资料!$P$5:$R$204,2,FALSE),""))</f>
        <v/>
      </c>
      <c r="F99" s="11" t="str">
        <f>IF(D99="","",IFERROR(VLOOKUP(D99,基础资料!$P$5:$R$204,3,FALSE),""))</f>
        <v/>
      </c>
      <c r="G99" s="55"/>
      <c r="H99" s="55"/>
      <c r="I99" s="62" t="str">
        <f t="shared" si="4"/>
        <v/>
      </c>
      <c r="J99" s="63" t="str">
        <f>IF(OR(A99="",C99=""),"",A99+IFERROR(VLOOKUP(C99,基础资料!$AE$5:$AG$204,3,FALSE),0))</f>
        <v/>
      </c>
      <c r="K99" s="54"/>
      <c r="L99" s="54"/>
      <c r="M99" s="54"/>
      <c r="N99" s="11" t="str">
        <f t="shared" si="5"/>
        <v/>
      </c>
    </row>
    <row r="100" spans="1:14">
      <c r="A100" s="60"/>
      <c r="B100" s="11" t="str">
        <f t="shared" si="3"/>
        <v/>
      </c>
      <c r="C100" s="54"/>
      <c r="D100" s="54"/>
      <c r="E100" s="11" t="str">
        <f>IF(D100="","",IFERROR(VLOOKUP(D100,基础资料!$P$5:$R$204,2,FALSE),""))</f>
        <v/>
      </c>
      <c r="F100" s="11" t="str">
        <f>IF(D100="","",IFERROR(VLOOKUP(D100,基础资料!$P$5:$R$204,3,FALSE),""))</f>
        <v/>
      </c>
      <c r="G100" s="55"/>
      <c r="H100" s="55"/>
      <c r="I100" s="62" t="str">
        <f t="shared" si="4"/>
        <v/>
      </c>
      <c r="J100" s="63" t="str">
        <f>IF(OR(A100="",C100=""),"",A100+IFERROR(VLOOKUP(C100,基础资料!$AE$5:$AG$204,3,FALSE),0))</f>
        <v/>
      </c>
      <c r="K100" s="54"/>
      <c r="L100" s="54"/>
      <c r="M100" s="54"/>
      <c r="N100" s="11" t="str">
        <f t="shared" si="5"/>
        <v/>
      </c>
    </row>
    <row r="101" spans="1:14">
      <c r="A101" s="60"/>
      <c r="B101" s="11" t="str">
        <f t="shared" si="3"/>
        <v/>
      </c>
      <c r="C101" s="54"/>
      <c r="D101" s="54"/>
      <c r="E101" s="11" t="str">
        <f>IF(D101="","",IFERROR(VLOOKUP(D101,基础资料!$P$5:$R$204,2,FALSE),""))</f>
        <v/>
      </c>
      <c r="F101" s="11" t="str">
        <f>IF(D101="","",IFERROR(VLOOKUP(D101,基础资料!$P$5:$R$204,3,FALSE),""))</f>
        <v/>
      </c>
      <c r="G101" s="55"/>
      <c r="H101" s="55"/>
      <c r="I101" s="62" t="str">
        <f t="shared" si="4"/>
        <v/>
      </c>
      <c r="J101" s="63" t="str">
        <f>IF(OR(A101="",C101=""),"",A101+IFERROR(VLOOKUP(C101,基础资料!$AE$5:$AG$204,3,FALSE),0))</f>
        <v/>
      </c>
      <c r="K101" s="54"/>
      <c r="L101" s="54"/>
      <c r="M101" s="54"/>
      <c r="N101" s="11" t="str">
        <f t="shared" si="5"/>
        <v/>
      </c>
    </row>
    <row r="102" spans="1:14">
      <c r="A102" s="60"/>
      <c r="B102" s="11" t="str">
        <f t="shared" si="3"/>
        <v/>
      </c>
      <c r="C102" s="54"/>
      <c r="D102" s="54"/>
      <c r="E102" s="11" t="str">
        <f>IF(D102="","",IFERROR(VLOOKUP(D102,基础资料!$P$5:$R$204,2,FALSE),""))</f>
        <v/>
      </c>
      <c r="F102" s="11" t="str">
        <f>IF(D102="","",IFERROR(VLOOKUP(D102,基础资料!$P$5:$R$204,3,FALSE),""))</f>
        <v/>
      </c>
      <c r="G102" s="55"/>
      <c r="H102" s="55"/>
      <c r="I102" s="62" t="str">
        <f t="shared" si="4"/>
        <v/>
      </c>
      <c r="J102" s="63" t="str">
        <f>IF(OR(A102="",C102=""),"",A102+IFERROR(VLOOKUP(C102,基础资料!$AE$5:$AG$204,3,FALSE),0))</f>
        <v/>
      </c>
      <c r="K102" s="54"/>
      <c r="L102" s="54"/>
      <c r="M102" s="54"/>
      <c r="N102" s="11" t="str">
        <f t="shared" si="5"/>
        <v/>
      </c>
    </row>
    <row r="103" spans="1:14">
      <c r="A103" s="60"/>
      <c r="B103" s="11" t="str">
        <f t="shared" si="3"/>
        <v/>
      </c>
      <c r="C103" s="54"/>
      <c r="D103" s="54"/>
      <c r="E103" s="11" t="str">
        <f>IF(D103="","",IFERROR(VLOOKUP(D103,基础资料!$P$5:$R$204,2,FALSE),""))</f>
        <v/>
      </c>
      <c r="F103" s="11" t="str">
        <f>IF(D103="","",IFERROR(VLOOKUP(D103,基础资料!$P$5:$R$204,3,FALSE),""))</f>
        <v/>
      </c>
      <c r="G103" s="55"/>
      <c r="H103" s="55"/>
      <c r="I103" s="62" t="str">
        <f t="shared" si="4"/>
        <v/>
      </c>
      <c r="J103" s="63" t="str">
        <f>IF(OR(A103="",C103=""),"",A103+IFERROR(VLOOKUP(C103,基础资料!$AE$5:$AG$204,3,FALSE),0))</f>
        <v/>
      </c>
      <c r="K103" s="54"/>
      <c r="L103" s="54"/>
      <c r="M103" s="54"/>
      <c r="N103" s="11" t="str">
        <f t="shared" si="5"/>
        <v/>
      </c>
    </row>
    <row r="104" spans="1:14">
      <c r="A104" s="5"/>
      <c r="B104" t="str">
        <f t="shared" si="3"/>
        <v/>
      </c>
      <c r="E104" t="str">
        <f>IF(D104="","",IFERROR(VLOOKUP(D104,基础资料!$P$5:$R$204,2,FALSE),""))</f>
        <v/>
      </c>
      <c r="F104" t="str">
        <f>IF(D104="","",IFERROR(VLOOKUP(D104,基础资料!$P$5:$R$204,3,FALSE),""))</f>
        <v/>
      </c>
      <c r="G104" s="17"/>
      <c r="H104" s="17"/>
      <c r="I104" s="17" t="str">
        <f t="shared" si="4"/>
        <v/>
      </c>
      <c r="J104" s="5" t="str">
        <f>IF(OR(A104="",C104=""),"",A104+IFERROR(VLOOKUP(C104,基础资料!$AE$5:$AG$204,3,FALSE),0))</f>
        <v/>
      </c>
      <c r="N104" t="str">
        <f t="shared" si="5"/>
        <v/>
      </c>
    </row>
    <row r="105" spans="1:14">
      <c r="A105" s="5"/>
      <c r="B105" t="str">
        <f t="shared" si="3"/>
        <v/>
      </c>
      <c r="E105" t="str">
        <f>IF(D105="","",IFERROR(VLOOKUP(D105,基础资料!$P$5:$R$204,2,FALSE),""))</f>
        <v/>
      </c>
      <c r="F105" t="str">
        <f>IF(D105="","",IFERROR(VLOOKUP(D105,基础资料!$P$5:$R$204,3,FALSE),""))</f>
        <v/>
      </c>
      <c r="G105" s="17"/>
      <c r="H105" s="17"/>
      <c r="I105" s="17" t="str">
        <f t="shared" si="4"/>
        <v/>
      </c>
      <c r="J105" s="5" t="str">
        <f>IF(OR(A105="",C105=""),"",A105+IFERROR(VLOOKUP(C105,基础资料!$AE$5:$AG$204,3,FALSE),0))</f>
        <v/>
      </c>
      <c r="N105" t="str">
        <f t="shared" si="5"/>
        <v/>
      </c>
    </row>
    <row r="106" spans="1:14">
      <c r="A106" s="5"/>
      <c r="B106" t="str">
        <f t="shared" si="3"/>
        <v/>
      </c>
      <c r="E106" t="str">
        <f>IF(D106="","",IFERROR(VLOOKUP(D106,基础资料!$P$5:$R$204,2,FALSE),""))</f>
        <v/>
      </c>
      <c r="F106" t="str">
        <f>IF(D106="","",IFERROR(VLOOKUP(D106,基础资料!$P$5:$R$204,3,FALSE),""))</f>
        <v/>
      </c>
      <c r="G106" s="17"/>
      <c r="H106" s="17"/>
      <c r="I106" s="17" t="str">
        <f t="shared" si="4"/>
        <v/>
      </c>
      <c r="J106" s="5" t="str">
        <f>IF(OR(A106="",C106=""),"",A106+IFERROR(VLOOKUP(C106,基础资料!$AE$5:$AG$204,3,FALSE),0))</f>
        <v/>
      </c>
      <c r="N106" t="str">
        <f t="shared" si="5"/>
        <v/>
      </c>
    </row>
    <row r="107" spans="1:14">
      <c r="A107" s="5"/>
      <c r="B107" t="str">
        <f t="shared" si="3"/>
        <v/>
      </c>
      <c r="E107" t="str">
        <f>IF(D107="","",IFERROR(VLOOKUP(D107,基础资料!$P$5:$R$204,2,FALSE),""))</f>
        <v/>
      </c>
      <c r="F107" t="str">
        <f>IF(D107="","",IFERROR(VLOOKUP(D107,基础资料!$P$5:$R$204,3,FALSE),""))</f>
        <v/>
      </c>
      <c r="G107" s="17"/>
      <c r="H107" s="17"/>
      <c r="I107" s="17" t="str">
        <f t="shared" si="4"/>
        <v/>
      </c>
      <c r="J107" s="5" t="str">
        <f>IF(OR(A107="",C107=""),"",A107+IFERROR(VLOOKUP(C107,基础资料!$AE$5:$AG$204,3,FALSE),0))</f>
        <v/>
      </c>
      <c r="N107" t="str">
        <f t="shared" si="5"/>
        <v/>
      </c>
    </row>
    <row r="108" spans="1:14">
      <c r="A108" s="5"/>
      <c r="B108" t="str">
        <f t="shared" si="3"/>
        <v/>
      </c>
      <c r="E108" t="str">
        <f>IF(D108="","",IFERROR(VLOOKUP(D108,基础资料!$P$5:$R$204,2,FALSE),""))</f>
        <v/>
      </c>
      <c r="F108" t="str">
        <f>IF(D108="","",IFERROR(VLOOKUP(D108,基础资料!$P$5:$R$204,3,FALSE),""))</f>
        <v/>
      </c>
      <c r="G108" s="17"/>
      <c r="H108" s="17"/>
      <c r="I108" s="17" t="str">
        <f t="shared" si="4"/>
        <v/>
      </c>
      <c r="J108" s="5" t="str">
        <f>IF(OR(A108="",C108=""),"",A108+IFERROR(VLOOKUP(C108,基础资料!$AE$5:$AG$204,3,FALSE),0))</f>
        <v/>
      </c>
      <c r="N108" t="str">
        <f t="shared" si="5"/>
        <v/>
      </c>
    </row>
    <row r="109" spans="1:14">
      <c r="A109" s="5"/>
      <c r="B109" t="str">
        <f t="shared" si="3"/>
        <v/>
      </c>
      <c r="E109" t="str">
        <f>IF(D109="","",IFERROR(VLOOKUP(D109,基础资料!$P$5:$R$204,2,FALSE),""))</f>
        <v/>
      </c>
      <c r="F109" t="str">
        <f>IF(D109="","",IFERROR(VLOOKUP(D109,基础资料!$P$5:$R$204,3,FALSE),""))</f>
        <v/>
      </c>
      <c r="G109" s="17"/>
      <c r="H109" s="17"/>
      <c r="I109" s="17" t="str">
        <f t="shared" si="4"/>
        <v/>
      </c>
      <c r="J109" s="5" t="str">
        <f>IF(OR(A109="",C109=""),"",A109+IFERROR(VLOOKUP(C109,基础资料!$AE$5:$AG$204,3,FALSE),0))</f>
        <v/>
      </c>
      <c r="N109" t="str">
        <f t="shared" si="5"/>
        <v/>
      </c>
    </row>
    <row r="110" spans="1:14">
      <c r="A110" s="5"/>
      <c r="B110" t="str">
        <f t="shared" si="3"/>
        <v/>
      </c>
      <c r="E110" t="str">
        <f>IF(D110="","",IFERROR(VLOOKUP(D110,基础资料!$P$5:$R$204,2,FALSE),""))</f>
        <v/>
      </c>
      <c r="F110" t="str">
        <f>IF(D110="","",IFERROR(VLOOKUP(D110,基础资料!$P$5:$R$204,3,FALSE),""))</f>
        <v/>
      </c>
      <c r="G110" s="17"/>
      <c r="H110" s="17"/>
      <c r="I110" s="17" t="str">
        <f t="shared" si="4"/>
        <v/>
      </c>
      <c r="J110" s="5" t="str">
        <f>IF(OR(A110="",C110=""),"",A110+IFERROR(VLOOKUP(C110,基础资料!$AE$5:$AG$204,3,FALSE),0))</f>
        <v/>
      </c>
      <c r="N110" t="str">
        <f t="shared" si="5"/>
        <v/>
      </c>
    </row>
    <row r="111" spans="1:14">
      <c r="A111" s="5"/>
      <c r="B111" t="str">
        <f t="shared" si="3"/>
        <v/>
      </c>
      <c r="E111" t="str">
        <f>IF(D111="","",IFERROR(VLOOKUP(D111,基础资料!$P$5:$R$204,2,FALSE),""))</f>
        <v/>
      </c>
      <c r="F111" t="str">
        <f>IF(D111="","",IFERROR(VLOOKUP(D111,基础资料!$P$5:$R$204,3,FALSE),""))</f>
        <v/>
      </c>
      <c r="G111" s="17"/>
      <c r="H111" s="17"/>
      <c r="I111" s="17" t="str">
        <f t="shared" si="4"/>
        <v/>
      </c>
      <c r="J111" s="5" t="str">
        <f>IF(OR(A111="",C111=""),"",A111+IFERROR(VLOOKUP(C111,基础资料!$AE$5:$AG$204,3,FALSE),0))</f>
        <v/>
      </c>
      <c r="N111" t="str">
        <f t="shared" si="5"/>
        <v/>
      </c>
    </row>
    <row r="112" spans="1:14">
      <c r="A112" s="5"/>
      <c r="B112" t="str">
        <f t="shared" si="3"/>
        <v/>
      </c>
      <c r="E112" t="str">
        <f>IF(D112="","",IFERROR(VLOOKUP(D112,基础资料!$P$5:$R$204,2,FALSE),""))</f>
        <v/>
      </c>
      <c r="F112" t="str">
        <f>IF(D112="","",IFERROR(VLOOKUP(D112,基础资料!$P$5:$R$204,3,FALSE),""))</f>
        <v/>
      </c>
      <c r="G112" s="17"/>
      <c r="H112" s="17"/>
      <c r="I112" s="17" t="str">
        <f t="shared" si="4"/>
        <v/>
      </c>
      <c r="J112" s="5" t="str">
        <f>IF(OR(A112="",C112=""),"",A112+IFERROR(VLOOKUP(C112,基础资料!$AE$5:$AG$204,3,FALSE),0))</f>
        <v/>
      </c>
      <c r="N112" t="str">
        <f t="shared" si="5"/>
        <v/>
      </c>
    </row>
    <row r="113" spans="1:14">
      <c r="A113" s="5"/>
      <c r="B113" t="str">
        <f t="shared" si="3"/>
        <v/>
      </c>
      <c r="E113" t="str">
        <f>IF(D113="","",IFERROR(VLOOKUP(D113,基础资料!$P$5:$R$204,2,FALSE),""))</f>
        <v/>
      </c>
      <c r="F113" t="str">
        <f>IF(D113="","",IFERROR(VLOOKUP(D113,基础资料!$P$5:$R$204,3,FALSE),""))</f>
        <v/>
      </c>
      <c r="G113" s="17"/>
      <c r="H113" s="17"/>
      <c r="I113" s="17" t="str">
        <f t="shared" si="4"/>
        <v/>
      </c>
      <c r="J113" s="5" t="str">
        <f>IF(OR(A113="",C113=""),"",A113+IFERROR(VLOOKUP(C113,基础资料!$AE$5:$AG$204,3,FALSE),0))</f>
        <v/>
      </c>
      <c r="N113" t="str">
        <f t="shared" si="5"/>
        <v/>
      </c>
    </row>
    <row r="114" spans="1:14">
      <c r="A114" s="5"/>
      <c r="B114" t="str">
        <f t="shared" si="3"/>
        <v/>
      </c>
      <c r="E114" t="str">
        <f>IF(D114="","",IFERROR(VLOOKUP(D114,基础资料!$P$5:$R$204,2,FALSE),""))</f>
        <v/>
      </c>
      <c r="F114" t="str">
        <f>IF(D114="","",IFERROR(VLOOKUP(D114,基础资料!$P$5:$R$204,3,FALSE),""))</f>
        <v/>
      </c>
      <c r="G114" s="17"/>
      <c r="H114" s="17"/>
      <c r="I114" s="17" t="str">
        <f t="shared" si="4"/>
        <v/>
      </c>
      <c r="J114" s="5" t="str">
        <f>IF(OR(A114="",C114=""),"",A114+IFERROR(VLOOKUP(C114,基础资料!$AE$5:$AG$204,3,FALSE),0))</f>
        <v/>
      </c>
      <c r="N114" t="str">
        <f t="shared" si="5"/>
        <v/>
      </c>
    </row>
    <row r="115" spans="1:14">
      <c r="A115" s="5"/>
      <c r="B115" t="str">
        <f t="shared" si="3"/>
        <v/>
      </c>
      <c r="E115" t="str">
        <f>IF(D115="","",IFERROR(VLOOKUP(D115,基础资料!$P$5:$R$204,2,FALSE),""))</f>
        <v/>
      </c>
      <c r="F115" t="str">
        <f>IF(D115="","",IFERROR(VLOOKUP(D115,基础资料!$P$5:$R$204,3,FALSE),""))</f>
        <v/>
      </c>
      <c r="G115" s="17"/>
      <c r="H115" s="17"/>
      <c r="I115" s="17" t="str">
        <f t="shared" si="4"/>
        <v/>
      </c>
      <c r="J115" s="5" t="str">
        <f>IF(OR(A115="",C115=""),"",A115+IFERROR(VLOOKUP(C115,基础资料!$AE$5:$AG$204,3,FALSE),0))</f>
        <v/>
      </c>
      <c r="N115" t="str">
        <f t="shared" si="5"/>
        <v/>
      </c>
    </row>
    <row r="116" spans="1:14">
      <c r="A116" s="5"/>
      <c r="B116" t="str">
        <f t="shared" si="3"/>
        <v/>
      </c>
      <c r="E116" t="str">
        <f>IF(D116="","",IFERROR(VLOOKUP(D116,基础资料!$P$5:$R$204,2,FALSE),""))</f>
        <v/>
      </c>
      <c r="F116" t="str">
        <f>IF(D116="","",IFERROR(VLOOKUP(D116,基础资料!$P$5:$R$204,3,FALSE),""))</f>
        <v/>
      </c>
      <c r="G116" s="17"/>
      <c r="H116" s="17"/>
      <c r="I116" s="17" t="str">
        <f t="shared" si="4"/>
        <v/>
      </c>
      <c r="J116" s="5" t="str">
        <f>IF(OR(A116="",C116=""),"",A116+IFERROR(VLOOKUP(C116,基础资料!$AE$5:$AG$204,3,FALSE),0))</f>
        <v/>
      </c>
      <c r="N116" t="str">
        <f t="shared" si="5"/>
        <v/>
      </c>
    </row>
    <row r="117" spans="1:14">
      <c r="A117" s="5"/>
      <c r="B117" t="str">
        <f t="shared" si="3"/>
        <v/>
      </c>
      <c r="E117" t="str">
        <f>IF(D117="","",IFERROR(VLOOKUP(D117,基础资料!$P$5:$R$204,2,FALSE),""))</f>
        <v/>
      </c>
      <c r="F117" t="str">
        <f>IF(D117="","",IFERROR(VLOOKUP(D117,基础资料!$P$5:$R$204,3,FALSE),""))</f>
        <v/>
      </c>
      <c r="G117" s="17"/>
      <c r="H117" s="17"/>
      <c r="I117" s="17" t="str">
        <f t="shared" si="4"/>
        <v/>
      </c>
      <c r="J117" s="5" t="str">
        <f>IF(OR(A117="",C117=""),"",A117+IFERROR(VLOOKUP(C117,基础资料!$AE$5:$AG$204,3,FALSE),0))</f>
        <v/>
      </c>
      <c r="N117" t="str">
        <f t="shared" si="5"/>
        <v/>
      </c>
    </row>
    <row r="118" spans="1:14">
      <c r="A118" s="5"/>
      <c r="B118" t="str">
        <f t="shared" si="3"/>
        <v/>
      </c>
      <c r="E118" t="str">
        <f>IF(D118="","",IFERROR(VLOOKUP(D118,基础资料!$P$5:$R$204,2,FALSE),""))</f>
        <v/>
      </c>
      <c r="F118" t="str">
        <f>IF(D118="","",IFERROR(VLOOKUP(D118,基础资料!$P$5:$R$204,3,FALSE),""))</f>
        <v/>
      </c>
      <c r="G118" s="17"/>
      <c r="H118" s="17"/>
      <c r="I118" s="17" t="str">
        <f t="shared" si="4"/>
        <v/>
      </c>
      <c r="J118" s="5" t="str">
        <f>IF(OR(A118="",C118=""),"",A118+IFERROR(VLOOKUP(C118,基础资料!$AE$5:$AG$204,3,FALSE),0))</f>
        <v/>
      </c>
      <c r="N118" t="str">
        <f t="shared" si="5"/>
        <v/>
      </c>
    </row>
    <row r="119" spans="1:14">
      <c r="A119" s="5"/>
      <c r="B119" t="str">
        <f t="shared" si="3"/>
        <v/>
      </c>
      <c r="E119" t="str">
        <f>IF(D119="","",IFERROR(VLOOKUP(D119,基础资料!$P$5:$R$204,2,FALSE),""))</f>
        <v/>
      </c>
      <c r="F119" t="str">
        <f>IF(D119="","",IFERROR(VLOOKUP(D119,基础资料!$P$5:$R$204,3,FALSE),""))</f>
        <v/>
      </c>
      <c r="G119" s="17"/>
      <c r="H119" s="17"/>
      <c r="I119" s="17" t="str">
        <f t="shared" si="4"/>
        <v/>
      </c>
      <c r="J119" s="5" t="str">
        <f>IF(OR(A119="",C119=""),"",A119+IFERROR(VLOOKUP(C119,基础资料!$AE$5:$AG$204,3,FALSE),0))</f>
        <v/>
      </c>
      <c r="N119" t="str">
        <f t="shared" si="5"/>
        <v/>
      </c>
    </row>
    <row r="120" spans="1:14">
      <c r="A120" s="5"/>
      <c r="B120" t="str">
        <f t="shared" si="3"/>
        <v/>
      </c>
      <c r="E120" t="str">
        <f>IF(D120="","",IFERROR(VLOOKUP(D120,基础资料!$P$5:$R$204,2,FALSE),""))</f>
        <v/>
      </c>
      <c r="F120" t="str">
        <f>IF(D120="","",IFERROR(VLOOKUP(D120,基础资料!$P$5:$R$204,3,FALSE),""))</f>
        <v/>
      </c>
      <c r="G120" s="17"/>
      <c r="H120" s="17"/>
      <c r="I120" s="17" t="str">
        <f t="shared" si="4"/>
        <v/>
      </c>
      <c r="J120" s="5" t="str">
        <f>IF(OR(A120="",C120=""),"",A120+IFERROR(VLOOKUP(C120,基础资料!$AE$5:$AG$204,3,FALSE),0))</f>
        <v/>
      </c>
      <c r="N120" t="str">
        <f t="shared" si="5"/>
        <v/>
      </c>
    </row>
    <row r="121" spans="1:14">
      <c r="A121" s="5"/>
      <c r="B121" t="str">
        <f t="shared" si="3"/>
        <v/>
      </c>
      <c r="E121" t="str">
        <f>IF(D121="","",IFERROR(VLOOKUP(D121,基础资料!$P$5:$R$204,2,FALSE),""))</f>
        <v/>
      </c>
      <c r="F121" t="str">
        <f>IF(D121="","",IFERROR(VLOOKUP(D121,基础资料!$P$5:$R$204,3,FALSE),""))</f>
        <v/>
      </c>
      <c r="G121" s="17"/>
      <c r="H121" s="17"/>
      <c r="I121" s="17" t="str">
        <f t="shared" si="4"/>
        <v/>
      </c>
      <c r="J121" s="5" t="str">
        <f>IF(OR(A121="",C121=""),"",A121+IFERROR(VLOOKUP(C121,基础资料!$AE$5:$AG$204,3,FALSE),0))</f>
        <v/>
      </c>
      <c r="N121" t="str">
        <f t="shared" si="5"/>
        <v/>
      </c>
    </row>
    <row r="122" spans="1:14">
      <c r="A122" s="5"/>
      <c r="B122" t="str">
        <f t="shared" si="3"/>
        <v/>
      </c>
      <c r="E122" t="str">
        <f>IF(D122="","",IFERROR(VLOOKUP(D122,基础资料!$P$5:$R$204,2,FALSE),""))</f>
        <v/>
      </c>
      <c r="F122" t="str">
        <f>IF(D122="","",IFERROR(VLOOKUP(D122,基础资料!$P$5:$R$204,3,FALSE),""))</f>
        <v/>
      </c>
      <c r="G122" s="17"/>
      <c r="H122" s="17"/>
      <c r="I122" s="17" t="str">
        <f t="shared" si="4"/>
        <v/>
      </c>
      <c r="J122" s="5" t="str">
        <f>IF(OR(A122="",C122=""),"",A122+IFERROR(VLOOKUP(C122,基础资料!$AE$5:$AG$204,3,FALSE),0))</f>
        <v/>
      </c>
      <c r="N122" t="str">
        <f t="shared" si="5"/>
        <v/>
      </c>
    </row>
    <row r="123" spans="1:14">
      <c r="A123" s="5"/>
      <c r="B123" t="str">
        <f t="shared" si="3"/>
        <v/>
      </c>
      <c r="E123" t="str">
        <f>IF(D123="","",IFERROR(VLOOKUP(D123,基础资料!$P$5:$R$204,2,FALSE),""))</f>
        <v/>
      </c>
      <c r="F123" t="str">
        <f>IF(D123="","",IFERROR(VLOOKUP(D123,基础资料!$P$5:$R$204,3,FALSE),""))</f>
        <v/>
      </c>
      <c r="G123" s="17"/>
      <c r="H123" s="17"/>
      <c r="I123" s="17" t="str">
        <f t="shared" si="4"/>
        <v/>
      </c>
      <c r="J123" s="5" t="str">
        <f>IF(OR(A123="",C123=""),"",A123+IFERROR(VLOOKUP(C123,基础资料!$AE$5:$AG$204,3,FALSE),0))</f>
        <v/>
      </c>
      <c r="N123" t="str">
        <f t="shared" si="5"/>
        <v/>
      </c>
    </row>
    <row r="124" spans="1:14">
      <c r="A124" s="5"/>
      <c r="B124" t="str">
        <f t="shared" si="3"/>
        <v/>
      </c>
      <c r="E124" t="str">
        <f>IF(D124="","",IFERROR(VLOOKUP(D124,基础资料!$P$5:$R$204,2,FALSE),""))</f>
        <v/>
      </c>
      <c r="F124" t="str">
        <f>IF(D124="","",IFERROR(VLOOKUP(D124,基础资料!$P$5:$R$204,3,FALSE),""))</f>
        <v/>
      </c>
      <c r="G124" s="17"/>
      <c r="H124" s="17"/>
      <c r="I124" s="17" t="str">
        <f t="shared" si="4"/>
        <v/>
      </c>
      <c r="J124" s="5" t="str">
        <f>IF(OR(A124="",C124=""),"",A124+IFERROR(VLOOKUP(C124,基础资料!$AE$5:$AG$204,3,FALSE),0))</f>
        <v/>
      </c>
      <c r="N124" t="str">
        <f t="shared" si="5"/>
        <v/>
      </c>
    </row>
    <row r="125" spans="1:14">
      <c r="A125" s="5"/>
      <c r="B125" t="str">
        <f t="shared" si="3"/>
        <v/>
      </c>
      <c r="E125" t="str">
        <f>IF(D125="","",IFERROR(VLOOKUP(D125,基础资料!$P$5:$R$204,2,FALSE),""))</f>
        <v/>
      </c>
      <c r="F125" t="str">
        <f>IF(D125="","",IFERROR(VLOOKUP(D125,基础资料!$P$5:$R$204,3,FALSE),""))</f>
        <v/>
      </c>
      <c r="G125" s="17"/>
      <c r="H125" s="17"/>
      <c r="I125" s="17" t="str">
        <f t="shared" si="4"/>
        <v/>
      </c>
      <c r="J125" s="5" t="str">
        <f>IF(OR(A125="",C125=""),"",A125+IFERROR(VLOOKUP(C125,基础资料!$AE$5:$AG$204,3,FALSE),0))</f>
        <v/>
      </c>
      <c r="N125" t="str">
        <f t="shared" si="5"/>
        <v/>
      </c>
    </row>
    <row r="126" spans="1:14">
      <c r="A126" s="5"/>
      <c r="B126" t="str">
        <f t="shared" si="3"/>
        <v/>
      </c>
      <c r="E126" t="str">
        <f>IF(D126="","",IFERROR(VLOOKUP(D126,基础资料!$P$5:$R$204,2,FALSE),""))</f>
        <v/>
      </c>
      <c r="F126" t="str">
        <f>IF(D126="","",IFERROR(VLOOKUP(D126,基础资料!$P$5:$R$204,3,FALSE),""))</f>
        <v/>
      </c>
      <c r="G126" s="17"/>
      <c r="H126" s="17"/>
      <c r="I126" s="17" t="str">
        <f t="shared" si="4"/>
        <v/>
      </c>
      <c r="J126" s="5" t="str">
        <f>IF(OR(A126="",C126=""),"",A126+IFERROR(VLOOKUP(C126,基础资料!$AE$5:$AG$204,3,FALSE),0))</f>
        <v/>
      </c>
      <c r="N126" t="str">
        <f t="shared" si="5"/>
        <v/>
      </c>
    </row>
    <row r="127" spans="1:14">
      <c r="A127" s="5"/>
      <c r="B127" t="str">
        <f t="shared" si="3"/>
        <v/>
      </c>
      <c r="E127" t="str">
        <f>IF(D127="","",IFERROR(VLOOKUP(D127,基础资料!$P$5:$R$204,2,FALSE),""))</f>
        <v/>
      </c>
      <c r="F127" t="str">
        <f>IF(D127="","",IFERROR(VLOOKUP(D127,基础资料!$P$5:$R$204,3,FALSE),""))</f>
        <v/>
      </c>
      <c r="G127" s="17"/>
      <c r="H127" s="17"/>
      <c r="I127" s="17" t="str">
        <f t="shared" si="4"/>
        <v/>
      </c>
      <c r="J127" s="5" t="str">
        <f>IF(OR(A127="",C127=""),"",A127+IFERROR(VLOOKUP(C127,基础资料!$AE$5:$AG$204,3,FALSE),0))</f>
        <v/>
      </c>
      <c r="N127" t="str">
        <f t="shared" si="5"/>
        <v/>
      </c>
    </row>
    <row r="128" spans="1:14">
      <c r="A128" s="5"/>
      <c r="B128" t="str">
        <f t="shared" si="3"/>
        <v/>
      </c>
      <c r="E128" t="str">
        <f>IF(D128="","",IFERROR(VLOOKUP(D128,基础资料!$P$5:$R$204,2,FALSE),""))</f>
        <v/>
      </c>
      <c r="F128" t="str">
        <f>IF(D128="","",IFERROR(VLOOKUP(D128,基础资料!$P$5:$R$204,3,FALSE),""))</f>
        <v/>
      </c>
      <c r="G128" s="17"/>
      <c r="H128" s="17"/>
      <c r="I128" s="17" t="str">
        <f t="shared" si="4"/>
        <v/>
      </c>
      <c r="J128" s="5" t="str">
        <f>IF(OR(A128="",C128=""),"",A128+IFERROR(VLOOKUP(C128,基础资料!$AE$5:$AG$204,3,FALSE),0))</f>
        <v/>
      </c>
      <c r="N128" t="str">
        <f t="shared" si="5"/>
        <v/>
      </c>
    </row>
    <row r="129" spans="1:14">
      <c r="A129" s="5"/>
      <c r="B129" t="str">
        <f t="shared" si="3"/>
        <v/>
      </c>
      <c r="E129" t="str">
        <f>IF(D129="","",IFERROR(VLOOKUP(D129,基础资料!$P$5:$R$204,2,FALSE),""))</f>
        <v/>
      </c>
      <c r="F129" t="str">
        <f>IF(D129="","",IFERROR(VLOOKUP(D129,基础资料!$P$5:$R$204,3,FALSE),""))</f>
        <v/>
      </c>
      <c r="G129" s="17"/>
      <c r="H129" s="17"/>
      <c r="I129" s="17" t="str">
        <f t="shared" si="4"/>
        <v/>
      </c>
      <c r="J129" s="5" t="str">
        <f>IF(OR(A129="",C129=""),"",A129+IFERROR(VLOOKUP(C129,基础资料!$AE$5:$AG$204,3,FALSE),0))</f>
        <v/>
      </c>
      <c r="N129" t="str">
        <f t="shared" si="5"/>
        <v/>
      </c>
    </row>
    <row r="130" spans="1:14">
      <c r="A130" s="5"/>
      <c r="B130" t="str">
        <f t="shared" si="3"/>
        <v/>
      </c>
      <c r="E130" t="str">
        <f>IF(D130="","",IFERROR(VLOOKUP(D130,基础资料!$P$5:$R$204,2,FALSE),""))</f>
        <v/>
      </c>
      <c r="F130" t="str">
        <f>IF(D130="","",IFERROR(VLOOKUP(D130,基础资料!$P$5:$R$204,3,FALSE),""))</f>
        <v/>
      </c>
      <c r="G130" s="17"/>
      <c r="H130" s="17"/>
      <c r="I130" s="17" t="str">
        <f t="shared" si="4"/>
        <v/>
      </c>
      <c r="J130" s="5" t="str">
        <f>IF(OR(A130="",C130=""),"",A130+IFERROR(VLOOKUP(C130,基础资料!$AE$5:$AG$204,3,FALSE),0))</f>
        <v/>
      </c>
      <c r="N130" t="str">
        <f t="shared" si="5"/>
        <v/>
      </c>
    </row>
    <row r="131" spans="1:14">
      <c r="A131" s="5"/>
      <c r="B131" t="str">
        <f t="shared" si="3"/>
        <v/>
      </c>
      <c r="E131" t="str">
        <f>IF(D131="","",IFERROR(VLOOKUP(D131,基础资料!$P$5:$R$204,2,FALSE),""))</f>
        <v/>
      </c>
      <c r="F131" t="str">
        <f>IF(D131="","",IFERROR(VLOOKUP(D131,基础资料!$P$5:$R$204,3,FALSE),""))</f>
        <v/>
      </c>
      <c r="G131" s="17"/>
      <c r="H131" s="17"/>
      <c r="I131" s="17" t="str">
        <f t="shared" si="4"/>
        <v/>
      </c>
      <c r="J131" s="5" t="str">
        <f>IF(OR(A131="",C131=""),"",A131+IFERROR(VLOOKUP(C131,基础资料!$AE$5:$AG$204,3,FALSE),0))</f>
        <v/>
      </c>
      <c r="N131" t="str">
        <f t="shared" si="5"/>
        <v/>
      </c>
    </row>
    <row r="132" spans="1:14">
      <c r="A132" s="5"/>
      <c r="B132" t="str">
        <f t="shared" ref="B132:B195" si="6">IF(A132="","",TEXT(A132,"yyyy-mm"))</f>
        <v/>
      </c>
      <c r="E132" t="str">
        <f>IF(D132="","",IFERROR(VLOOKUP(D132,基础资料!$P$5:$R$204,2,FALSE),""))</f>
        <v/>
      </c>
      <c r="F132" t="str">
        <f>IF(D132="","",IFERROR(VLOOKUP(D132,基础资料!$P$5:$R$204,3,FALSE),""))</f>
        <v/>
      </c>
      <c r="G132" s="17"/>
      <c r="H132" s="17"/>
      <c r="I132" s="17" t="str">
        <f t="shared" ref="I132:I195" si="7">IF(OR(G132="",H132=""),"",G132*H132)</f>
        <v/>
      </c>
      <c r="J132" s="5" t="str">
        <f>IF(OR(A132="",C132=""),"",A132+IFERROR(VLOOKUP(C132,基础资料!$AE$5:$AG$204,3,FALSE),0))</f>
        <v/>
      </c>
      <c r="N132" t="str">
        <f t="shared" ref="N132:N195" si="8">IF(A132="","","可录入")</f>
        <v/>
      </c>
    </row>
    <row r="133" spans="1:14">
      <c r="A133" s="5"/>
      <c r="B133" t="str">
        <f t="shared" si="6"/>
        <v/>
      </c>
      <c r="E133" t="str">
        <f>IF(D133="","",IFERROR(VLOOKUP(D133,基础资料!$P$5:$R$204,2,FALSE),""))</f>
        <v/>
      </c>
      <c r="F133" t="str">
        <f>IF(D133="","",IFERROR(VLOOKUP(D133,基础资料!$P$5:$R$204,3,FALSE),""))</f>
        <v/>
      </c>
      <c r="G133" s="17"/>
      <c r="H133" s="17"/>
      <c r="I133" s="17" t="str">
        <f t="shared" si="7"/>
        <v/>
      </c>
      <c r="J133" s="5" t="str">
        <f>IF(OR(A133="",C133=""),"",A133+IFERROR(VLOOKUP(C133,基础资料!$AE$5:$AG$204,3,FALSE),0))</f>
        <v/>
      </c>
      <c r="N133" t="str">
        <f t="shared" si="8"/>
        <v/>
      </c>
    </row>
    <row r="134" spans="1:14">
      <c r="A134" s="5"/>
      <c r="B134" t="str">
        <f t="shared" si="6"/>
        <v/>
      </c>
      <c r="E134" t="str">
        <f>IF(D134="","",IFERROR(VLOOKUP(D134,基础资料!$P$5:$R$204,2,FALSE),""))</f>
        <v/>
      </c>
      <c r="F134" t="str">
        <f>IF(D134="","",IFERROR(VLOOKUP(D134,基础资料!$P$5:$R$204,3,FALSE),""))</f>
        <v/>
      </c>
      <c r="G134" s="17"/>
      <c r="H134" s="17"/>
      <c r="I134" s="17" t="str">
        <f t="shared" si="7"/>
        <v/>
      </c>
      <c r="J134" s="5" t="str">
        <f>IF(OR(A134="",C134=""),"",A134+IFERROR(VLOOKUP(C134,基础资料!$AE$5:$AG$204,3,FALSE),0))</f>
        <v/>
      </c>
      <c r="N134" t="str">
        <f t="shared" si="8"/>
        <v/>
      </c>
    </row>
    <row r="135" spans="1:14">
      <c r="A135" s="5"/>
      <c r="B135" t="str">
        <f t="shared" si="6"/>
        <v/>
      </c>
      <c r="E135" t="str">
        <f>IF(D135="","",IFERROR(VLOOKUP(D135,基础资料!$P$5:$R$204,2,FALSE),""))</f>
        <v/>
      </c>
      <c r="F135" t="str">
        <f>IF(D135="","",IFERROR(VLOOKUP(D135,基础资料!$P$5:$R$204,3,FALSE),""))</f>
        <v/>
      </c>
      <c r="G135" s="17"/>
      <c r="H135" s="17"/>
      <c r="I135" s="17" t="str">
        <f t="shared" si="7"/>
        <v/>
      </c>
      <c r="J135" s="5" t="str">
        <f>IF(OR(A135="",C135=""),"",A135+IFERROR(VLOOKUP(C135,基础资料!$AE$5:$AG$204,3,FALSE),0))</f>
        <v/>
      </c>
      <c r="N135" t="str">
        <f t="shared" si="8"/>
        <v/>
      </c>
    </row>
    <row r="136" spans="1:14">
      <c r="A136" s="5"/>
      <c r="B136" t="str">
        <f t="shared" si="6"/>
        <v/>
      </c>
      <c r="E136" t="str">
        <f>IF(D136="","",IFERROR(VLOOKUP(D136,基础资料!$P$5:$R$204,2,FALSE),""))</f>
        <v/>
      </c>
      <c r="F136" t="str">
        <f>IF(D136="","",IFERROR(VLOOKUP(D136,基础资料!$P$5:$R$204,3,FALSE),""))</f>
        <v/>
      </c>
      <c r="G136" s="17"/>
      <c r="H136" s="17"/>
      <c r="I136" s="17" t="str">
        <f t="shared" si="7"/>
        <v/>
      </c>
      <c r="J136" s="5" t="str">
        <f>IF(OR(A136="",C136=""),"",A136+IFERROR(VLOOKUP(C136,基础资料!$AE$5:$AG$204,3,FALSE),0))</f>
        <v/>
      </c>
      <c r="N136" t="str">
        <f t="shared" si="8"/>
        <v/>
      </c>
    </row>
    <row r="137" spans="1:14">
      <c r="A137" s="5"/>
      <c r="B137" t="str">
        <f t="shared" si="6"/>
        <v/>
      </c>
      <c r="E137" t="str">
        <f>IF(D137="","",IFERROR(VLOOKUP(D137,基础资料!$P$5:$R$204,2,FALSE),""))</f>
        <v/>
      </c>
      <c r="F137" t="str">
        <f>IF(D137="","",IFERROR(VLOOKUP(D137,基础资料!$P$5:$R$204,3,FALSE),""))</f>
        <v/>
      </c>
      <c r="G137" s="17"/>
      <c r="H137" s="17"/>
      <c r="I137" s="17" t="str">
        <f t="shared" si="7"/>
        <v/>
      </c>
      <c r="J137" s="5" t="str">
        <f>IF(OR(A137="",C137=""),"",A137+IFERROR(VLOOKUP(C137,基础资料!$AE$5:$AG$204,3,FALSE),0))</f>
        <v/>
      </c>
      <c r="N137" t="str">
        <f t="shared" si="8"/>
        <v/>
      </c>
    </row>
    <row r="138" spans="1:14">
      <c r="A138" s="5"/>
      <c r="B138" t="str">
        <f t="shared" si="6"/>
        <v/>
      </c>
      <c r="E138" t="str">
        <f>IF(D138="","",IFERROR(VLOOKUP(D138,基础资料!$P$5:$R$204,2,FALSE),""))</f>
        <v/>
      </c>
      <c r="F138" t="str">
        <f>IF(D138="","",IFERROR(VLOOKUP(D138,基础资料!$P$5:$R$204,3,FALSE),""))</f>
        <v/>
      </c>
      <c r="G138" s="17"/>
      <c r="H138" s="17"/>
      <c r="I138" s="17" t="str">
        <f t="shared" si="7"/>
        <v/>
      </c>
      <c r="J138" s="5" t="str">
        <f>IF(OR(A138="",C138=""),"",A138+IFERROR(VLOOKUP(C138,基础资料!$AE$5:$AG$204,3,FALSE),0))</f>
        <v/>
      </c>
      <c r="N138" t="str">
        <f t="shared" si="8"/>
        <v/>
      </c>
    </row>
    <row r="139" spans="1:14">
      <c r="A139" s="5"/>
      <c r="B139" t="str">
        <f t="shared" si="6"/>
        <v/>
      </c>
      <c r="E139" t="str">
        <f>IF(D139="","",IFERROR(VLOOKUP(D139,基础资料!$P$5:$R$204,2,FALSE),""))</f>
        <v/>
      </c>
      <c r="F139" t="str">
        <f>IF(D139="","",IFERROR(VLOOKUP(D139,基础资料!$P$5:$R$204,3,FALSE),""))</f>
        <v/>
      </c>
      <c r="G139" s="17"/>
      <c r="H139" s="17"/>
      <c r="I139" s="17" t="str">
        <f t="shared" si="7"/>
        <v/>
      </c>
      <c r="J139" s="5" t="str">
        <f>IF(OR(A139="",C139=""),"",A139+IFERROR(VLOOKUP(C139,基础资料!$AE$5:$AG$204,3,FALSE),0))</f>
        <v/>
      </c>
      <c r="N139" t="str">
        <f t="shared" si="8"/>
        <v/>
      </c>
    </row>
    <row r="140" spans="1:14">
      <c r="A140" s="5"/>
      <c r="B140" t="str">
        <f t="shared" si="6"/>
        <v/>
      </c>
      <c r="E140" t="str">
        <f>IF(D140="","",IFERROR(VLOOKUP(D140,基础资料!$P$5:$R$204,2,FALSE),""))</f>
        <v/>
      </c>
      <c r="F140" t="str">
        <f>IF(D140="","",IFERROR(VLOOKUP(D140,基础资料!$P$5:$R$204,3,FALSE),""))</f>
        <v/>
      </c>
      <c r="G140" s="17"/>
      <c r="H140" s="17"/>
      <c r="I140" s="17" t="str">
        <f t="shared" si="7"/>
        <v/>
      </c>
      <c r="J140" s="5" t="str">
        <f>IF(OR(A140="",C140=""),"",A140+IFERROR(VLOOKUP(C140,基础资料!$AE$5:$AG$204,3,FALSE),0))</f>
        <v/>
      </c>
      <c r="N140" t="str">
        <f t="shared" si="8"/>
        <v/>
      </c>
    </row>
    <row r="141" spans="1:14">
      <c r="A141" s="5"/>
      <c r="B141" t="str">
        <f t="shared" si="6"/>
        <v/>
      </c>
      <c r="E141" t="str">
        <f>IF(D141="","",IFERROR(VLOOKUP(D141,基础资料!$P$5:$R$204,2,FALSE),""))</f>
        <v/>
      </c>
      <c r="F141" t="str">
        <f>IF(D141="","",IFERROR(VLOOKUP(D141,基础资料!$P$5:$R$204,3,FALSE),""))</f>
        <v/>
      </c>
      <c r="G141" s="17"/>
      <c r="H141" s="17"/>
      <c r="I141" s="17" t="str">
        <f t="shared" si="7"/>
        <v/>
      </c>
      <c r="J141" s="5" t="str">
        <f>IF(OR(A141="",C141=""),"",A141+IFERROR(VLOOKUP(C141,基础资料!$AE$5:$AG$204,3,FALSE),0))</f>
        <v/>
      </c>
      <c r="N141" t="str">
        <f t="shared" si="8"/>
        <v/>
      </c>
    </row>
    <row r="142" spans="1:14">
      <c r="A142" s="5"/>
      <c r="B142" t="str">
        <f t="shared" si="6"/>
        <v/>
      </c>
      <c r="E142" t="str">
        <f>IF(D142="","",IFERROR(VLOOKUP(D142,基础资料!$P$5:$R$204,2,FALSE),""))</f>
        <v/>
      </c>
      <c r="F142" t="str">
        <f>IF(D142="","",IFERROR(VLOOKUP(D142,基础资料!$P$5:$R$204,3,FALSE),""))</f>
        <v/>
      </c>
      <c r="G142" s="17"/>
      <c r="H142" s="17"/>
      <c r="I142" s="17" t="str">
        <f t="shared" si="7"/>
        <v/>
      </c>
      <c r="J142" s="5" t="str">
        <f>IF(OR(A142="",C142=""),"",A142+IFERROR(VLOOKUP(C142,基础资料!$AE$5:$AG$204,3,FALSE),0))</f>
        <v/>
      </c>
      <c r="N142" t="str">
        <f t="shared" si="8"/>
        <v/>
      </c>
    </row>
    <row r="143" spans="1:14">
      <c r="A143" s="5"/>
      <c r="B143" t="str">
        <f t="shared" si="6"/>
        <v/>
      </c>
      <c r="E143" t="str">
        <f>IF(D143="","",IFERROR(VLOOKUP(D143,基础资料!$P$5:$R$204,2,FALSE),""))</f>
        <v/>
      </c>
      <c r="F143" t="str">
        <f>IF(D143="","",IFERROR(VLOOKUP(D143,基础资料!$P$5:$R$204,3,FALSE),""))</f>
        <v/>
      </c>
      <c r="G143" s="17"/>
      <c r="H143" s="17"/>
      <c r="I143" s="17" t="str">
        <f t="shared" si="7"/>
        <v/>
      </c>
      <c r="J143" s="5" t="str">
        <f>IF(OR(A143="",C143=""),"",A143+IFERROR(VLOOKUP(C143,基础资料!$AE$5:$AG$204,3,FALSE),0))</f>
        <v/>
      </c>
      <c r="N143" t="str">
        <f t="shared" si="8"/>
        <v/>
      </c>
    </row>
    <row r="144" spans="1:14">
      <c r="A144" s="5"/>
      <c r="B144" t="str">
        <f t="shared" si="6"/>
        <v/>
      </c>
      <c r="E144" t="str">
        <f>IF(D144="","",IFERROR(VLOOKUP(D144,基础资料!$P$5:$R$204,2,FALSE),""))</f>
        <v/>
      </c>
      <c r="F144" t="str">
        <f>IF(D144="","",IFERROR(VLOOKUP(D144,基础资料!$P$5:$R$204,3,FALSE),""))</f>
        <v/>
      </c>
      <c r="G144" s="17"/>
      <c r="H144" s="17"/>
      <c r="I144" s="17" t="str">
        <f t="shared" si="7"/>
        <v/>
      </c>
      <c r="J144" s="5" t="str">
        <f>IF(OR(A144="",C144=""),"",A144+IFERROR(VLOOKUP(C144,基础资料!$AE$5:$AG$204,3,FALSE),0))</f>
        <v/>
      </c>
      <c r="N144" t="str">
        <f t="shared" si="8"/>
        <v/>
      </c>
    </row>
    <row r="145" spans="1:14">
      <c r="A145" s="5"/>
      <c r="B145" t="str">
        <f t="shared" si="6"/>
        <v/>
      </c>
      <c r="E145" t="str">
        <f>IF(D145="","",IFERROR(VLOOKUP(D145,基础资料!$P$5:$R$204,2,FALSE),""))</f>
        <v/>
      </c>
      <c r="F145" t="str">
        <f>IF(D145="","",IFERROR(VLOOKUP(D145,基础资料!$P$5:$R$204,3,FALSE),""))</f>
        <v/>
      </c>
      <c r="G145" s="17"/>
      <c r="H145" s="17"/>
      <c r="I145" s="17" t="str">
        <f t="shared" si="7"/>
        <v/>
      </c>
      <c r="J145" s="5" t="str">
        <f>IF(OR(A145="",C145=""),"",A145+IFERROR(VLOOKUP(C145,基础资料!$AE$5:$AG$204,3,FALSE),0))</f>
        <v/>
      </c>
      <c r="N145" t="str">
        <f t="shared" si="8"/>
        <v/>
      </c>
    </row>
    <row r="146" spans="1:14">
      <c r="A146" s="5"/>
      <c r="B146" t="str">
        <f t="shared" si="6"/>
        <v/>
      </c>
      <c r="E146" t="str">
        <f>IF(D146="","",IFERROR(VLOOKUP(D146,基础资料!$P$5:$R$204,2,FALSE),""))</f>
        <v/>
      </c>
      <c r="F146" t="str">
        <f>IF(D146="","",IFERROR(VLOOKUP(D146,基础资料!$P$5:$R$204,3,FALSE),""))</f>
        <v/>
      </c>
      <c r="G146" s="17"/>
      <c r="H146" s="17"/>
      <c r="I146" s="17" t="str">
        <f t="shared" si="7"/>
        <v/>
      </c>
      <c r="J146" s="5" t="str">
        <f>IF(OR(A146="",C146=""),"",A146+IFERROR(VLOOKUP(C146,基础资料!$AE$5:$AG$204,3,FALSE),0))</f>
        <v/>
      </c>
      <c r="N146" t="str">
        <f t="shared" si="8"/>
        <v/>
      </c>
    </row>
    <row r="147" spans="1:14">
      <c r="A147" s="5"/>
      <c r="B147" t="str">
        <f t="shared" si="6"/>
        <v/>
      </c>
      <c r="E147" t="str">
        <f>IF(D147="","",IFERROR(VLOOKUP(D147,基础资料!$P$5:$R$204,2,FALSE),""))</f>
        <v/>
      </c>
      <c r="F147" t="str">
        <f>IF(D147="","",IFERROR(VLOOKUP(D147,基础资料!$P$5:$R$204,3,FALSE),""))</f>
        <v/>
      </c>
      <c r="G147" s="17"/>
      <c r="H147" s="17"/>
      <c r="I147" s="17" t="str">
        <f t="shared" si="7"/>
        <v/>
      </c>
      <c r="J147" s="5" t="str">
        <f>IF(OR(A147="",C147=""),"",A147+IFERROR(VLOOKUP(C147,基础资料!$AE$5:$AG$204,3,FALSE),0))</f>
        <v/>
      </c>
      <c r="N147" t="str">
        <f t="shared" si="8"/>
        <v/>
      </c>
    </row>
    <row r="148" spans="1:14">
      <c r="A148" s="5"/>
      <c r="B148" t="str">
        <f t="shared" si="6"/>
        <v/>
      </c>
      <c r="E148" t="str">
        <f>IF(D148="","",IFERROR(VLOOKUP(D148,基础资料!$P$5:$R$204,2,FALSE),""))</f>
        <v/>
      </c>
      <c r="F148" t="str">
        <f>IF(D148="","",IFERROR(VLOOKUP(D148,基础资料!$P$5:$R$204,3,FALSE),""))</f>
        <v/>
      </c>
      <c r="G148" s="17"/>
      <c r="H148" s="17"/>
      <c r="I148" s="17" t="str">
        <f t="shared" si="7"/>
        <v/>
      </c>
      <c r="J148" s="5" t="str">
        <f>IF(OR(A148="",C148=""),"",A148+IFERROR(VLOOKUP(C148,基础资料!$AE$5:$AG$204,3,FALSE),0))</f>
        <v/>
      </c>
      <c r="N148" t="str">
        <f t="shared" si="8"/>
        <v/>
      </c>
    </row>
    <row r="149" spans="1:14">
      <c r="A149" s="5"/>
      <c r="B149" t="str">
        <f t="shared" si="6"/>
        <v/>
      </c>
      <c r="E149" t="str">
        <f>IF(D149="","",IFERROR(VLOOKUP(D149,基础资料!$P$5:$R$204,2,FALSE),""))</f>
        <v/>
      </c>
      <c r="F149" t="str">
        <f>IF(D149="","",IFERROR(VLOOKUP(D149,基础资料!$P$5:$R$204,3,FALSE),""))</f>
        <v/>
      </c>
      <c r="G149" s="17"/>
      <c r="H149" s="17"/>
      <c r="I149" s="17" t="str">
        <f t="shared" si="7"/>
        <v/>
      </c>
      <c r="J149" s="5" t="str">
        <f>IF(OR(A149="",C149=""),"",A149+IFERROR(VLOOKUP(C149,基础资料!$AE$5:$AG$204,3,FALSE),0))</f>
        <v/>
      </c>
      <c r="N149" t="str">
        <f t="shared" si="8"/>
        <v/>
      </c>
    </row>
    <row r="150" spans="1:14">
      <c r="A150" s="5"/>
      <c r="B150" t="str">
        <f t="shared" si="6"/>
        <v/>
      </c>
      <c r="E150" t="str">
        <f>IF(D150="","",IFERROR(VLOOKUP(D150,基础资料!$P$5:$R$204,2,FALSE),""))</f>
        <v/>
      </c>
      <c r="F150" t="str">
        <f>IF(D150="","",IFERROR(VLOOKUP(D150,基础资料!$P$5:$R$204,3,FALSE),""))</f>
        <v/>
      </c>
      <c r="G150" s="17"/>
      <c r="H150" s="17"/>
      <c r="I150" s="17" t="str">
        <f t="shared" si="7"/>
        <v/>
      </c>
      <c r="J150" s="5" t="str">
        <f>IF(OR(A150="",C150=""),"",A150+IFERROR(VLOOKUP(C150,基础资料!$AE$5:$AG$204,3,FALSE),0))</f>
        <v/>
      </c>
      <c r="N150" t="str">
        <f t="shared" si="8"/>
        <v/>
      </c>
    </row>
    <row r="151" spans="1:14">
      <c r="A151" s="5"/>
      <c r="B151" t="str">
        <f t="shared" si="6"/>
        <v/>
      </c>
      <c r="E151" t="str">
        <f>IF(D151="","",IFERROR(VLOOKUP(D151,基础资料!$P$5:$R$204,2,FALSE),""))</f>
        <v/>
      </c>
      <c r="F151" t="str">
        <f>IF(D151="","",IFERROR(VLOOKUP(D151,基础资料!$P$5:$R$204,3,FALSE),""))</f>
        <v/>
      </c>
      <c r="G151" s="17"/>
      <c r="H151" s="17"/>
      <c r="I151" s="17" t="str">
        <f t="shared" si="7"/>
        <v/>
      </c>
      <c r="J151" s="5" t="str">
        <f>IF(OR(A151="",C151=""),"",A151+IFERROR(VLOOKUP(C151,基础资料!$AE$5:$AG$204,3,FALSE),0))</f>
        <v/>
      </c>
      <c r="N151" t="str">
        <f t="shared" si="8"/>
        <v/>
      </c>
    </row>
    <row r="152" spans="1:14">
      <c r="A152" s="5"/>
      <c r="B152" t="str">
        <f t="shared" si="6"/>
        <v/>
      </c>
      <c r="E152" t="str">
        <f>IF(D152="","",IFERROR(VLOOKUP(D152,基础资料!$P$5:$R$204,2,FALSE),""))</f>
        <v/>
      </c>
      <c r="F152" t="str">
        <f>IF(D152="","",IFERROR(VLOOKUP(D152,基础资料!$P$5:$R$204,3,FALSE),""))</f>
        <v/>
      </c>
      <c r="G152" s="17"/>
      <c r="H152" s="17"/>
      <c r="I152" s="17" t="str">
        <f t="shared" si="7"/>
        <v/>
      </c>
      <c r="J152" s="5" t="str">
        <f>IF(OR(A152="",C152=""),"",A152+IFERROR(VLOOKUP(C152,基础资料!$AE$5:$AG$204,3,FALSE),0))</f>
        <v/>
      </c>
      <c r="N152" t="str">
        <f t="shared" si="8"/>
        <v/>
      </c>
    </row>
    <row r="153" spans="1:14">
      <c r="A153" s="5"/>
      <c r="B153" t="str">
        <f t="shared" si="6"/>
        <v/>
      </c>
      <c r="E153" t="str">
        <f>IF(D153="","",IFERROR(VLOOKUP(D153,基础资料!$P$5:$R$204,2,FALSE),""))</f>
        <v/>
      </c>
      <c r="F153" t="str">
        <f>IF(D153="","",IFERROR(VLOOKUP(D153,基础资料!$P$5:$R$204,3,FALSE),""))</f>
        <v/>
      </c>
      <c r="G153" s="17"/>
      <c r="H153" s="17"/>
      <c r="I153" s="17" t="str">
        <f t="shared" si="7"/>
        <v/>
      </c>
      <c r="J153" s="5" t="str">
        <f>IF(OR(A153="",C153=""),"",A153+IFERROR(VLOOKUP(C153,基础资料!$AE$5:$AG$204,3,FALSE),0))</f>
        <v/>
      </c>
      <c r="N153" t="str">
        <f t="shared" si="8"/>
        <v/>
      </c>
    </row>
    <row r="154" spans="1:14">
      <c r="A154" s="5"/>
      <c r="B154" t="str">
        <f t="shared" si="6"/>
        <v/>
      </c>
      <c r="E154" t="str">
        <f>IF(D154="","",IFERROR(VLOOKUP(D154,基础资料!$P$5:$R$204,2,FALSE),""))</f>
        <v/>
      </c>
      <c r="F154" t="str">
        <f>IF(D154="","",IFERROR(VLOOKUP(D154,基础资料!$P$5:$R$204,3,FALSE),""))</f>
        <v/>
      </c>
      <c r="G154" s="17"/>
      <c r="H154" s="17"/>
      <c r="I154" s="17" t="str">
        <f t="shared" si="7"/>
        <v/>
      </c>
      <c r="J154" s="5" t="str">
        <f>IF(OR(A154="",C154=""),"",A154+IFERROR(VLOOKUP(C154,基础资料!$AE$5:$AG$204,3,FALSE),0))</f>
        <v/>
      </c>
      <c r="N154" t="str">
        <f t="shared" si="8"/>
        <v/>
      </c>
    </row>
    <row r="155" spans="1:14">
      <c r="A155" s="5"/>
      <c r="B155" t="str">
        <f t="shared" si="6"/>
        <v/>
      </c>
      <c r="E155" t="str">
        <f>IF(D155="","",IFERROR(VLOOKUP(D155,基础资料!$P$5:$R$204,2,FALSE),""))</f>
        <v/>
      </c>
      <c r="F155" t="str">
        <f>IF(D155="","",IFERROR(VLOOKUP(D155,基础资料!$P$5:$R$204,3,FALSE),""))</f>
        <v/>
      </c>
      <c r="G155" s="17"/>
      <c r="H155" s="17"/>
      <c r="I155" s="17" t="str">
        <f t="shared" si="7"/>
        <v/>
      </c>
      <c r="J155" s="5" t="str">
        <f>IF(OR(A155="",C155=""),"",A155+IFERROR(VLOOKUP(C155,基础资料!$AE$5:$AG$204,3,FALSE),0))</f>
        <v/>
      </c>
      <c r="N155" t="str">
        <f t="shared" si="8"/>
        <v/>
      </c>
    </row>
    <row r="156" spans="1:14">
      <c r="A156" s="5"/>
      <c r="B156" t="str">
        <f t="shared" si="6"/>
        <v/>
      </c>
      <c r="E156" t="str">
        <f>IF(D156="","",IFERROR(VLOOKUP(D156,基础资料!$P$5:$R$204,2,FALSE),""))</f>
        <v/>
      </c>
      <c r="F156" t="str">
        <f>IF(D156="","",IFERROR(VLOOKUP(D156,基础资料!$P$5:$R$204,3,FALSE),""))</f>
        <v/>
      </c>
      <c r="G156" s="17"/>
      <c r="H156" s="17"/>
      <c r="I156" s="17" t="str">
        <f t="shared" si="7"/>
        <v/>
      </c>
      <c r="J156" s="5" t="str">
        <f>IF(OR(A156="",C156=""),"",A156+IFERROR(VLOOKUP(C156,基础资料!$AE$5:$AG$204,3,FALSE),0))</f>
        <v/>
      </c>
      <c r="N156" t="str">
        <f t="shared" si="8"/>
        <v/>
      </c>
    </row>
    <row r="157" spans="1:14">
      <c r="A157" s="5"/>
      <c r="B157" t="str">
        <f t="shared" si="6"/>
        <v/>
      </c>
      <c r="E157" t="str">
        <f>IF(D157="","",IFERROR(VLOOKUP(D157,基础资料!$P$5:$R$204,2,FALSE),""))</f>
        <v/>
      </c>
      <c r="F157" t="str">
        <f>IF(D157="","",IFERROR(VLOOKUP(D157,基础资料!$P$5:$R$204,3,FALSE),""))</f>
        <v/>
      </c>
      <c r="G157" s="17"/>
      <c r="H157" s="17"/>
      <c r="I157" s="17" t="str">
        <f t="shared" si="7"/>
        <v/>
      </c>
      <c r="J157" s="5" t="str">
        <f>IF(OR(A157="",C157=""),"",A157+IFERROR(VLOOKUP(C157,基础资料!$AE$5:$AG$204,3,FALSE),0))</f>
        <v/>
      </c>
      <c r="N157" t="str">
        <f t="shared" si="8"/>
        <v/>
      </c>
    </row>
    <row r="158" spans="1:14">
      <c r="A158" s="5"/>
      <c r="B158" t="str">
        <f t="shared" si="6"/>
        <v/>
      </c>
      <c r="E158" t="str">
        <f>IF(D158="","",IFERROR(VLOOKUP(D158,基础资料!$P$5:$R$204,2,FALSE),""))</f>
        <v/>
      </c>
      <c r="F158" t="str">
        <f>IF(D158="","",IFERROR(VLOOKUP(D158,基础资料!$P$5:$R$204,3,FALSE),""))</f>
        <v/>
      </c>
      <c r="G158" s="17"/>
      <c r="H158" s="17"/>
      <c r="I158" s="17" t="str">
        <f t="shared" si="7"/>
        <v/>
      </c>
      <c r="J158" s="5" t="str">
        <f>IF(OR(A158="",C158=""),"",A158+IFERROR(VLOOKUP(C158,基础资料!$AE$5:$AG$204,3,FALSE),0))</f>
        <v/>
      </c>
      <c r="N158" t="str">
        <f t="shared" si="8"/>
        <v/>
      </c>
    </row>
    <row r="159" spans="1:14">
      <c r="A159" s="5"/>
      <c r="B159" t="str">
        <f t="shared" si="6"/>
        <v/>
      </c>
      <c r="E159" t="str">
        <f>IF(D159="","",IFERROR(VLOOKUP(D159,基础资料!$P$5:$R$204,2,FALSE),""))</f>
        <v/>
      </c>
      <c r="F159" t="str">
        <f>IF(D159="","",IFERROR(VLOOKUP(D159,基础资料!$P$5:$R$204,3,FALSE),""))</f>
        <v/>
      </c>
      <c r="G159" s="17"/>
      <c r="H159" s="17"/>
      <c r="I159" s="17" t="str">
        <f t="shared" si="7"/>
        <v/>
      </c>
      <c r="J159" s="5" t="str">
        <f>IF(OR(A159="",C159=""),"",A159+IFERROR(VLOOKUP(C159,基础资料!$AE$5:$AG$204,3,FALSE),0))</f>
        <v/>
      </c>
      <c r="N159" t="str">
        <f t="shared" si="8"/>
        <v/>
      </c>
    </row>
    <row r="160" spans="1:14">
      <c r="A160" s="5"/>
      <c r="B160" t="str">
        <f t="shared" si="6"/>
        <v/>
      </c>
      <c r="E160" t="str">
        <f>IF(D160="","",IFERROR(VLOOKUP(D160,基础资料!$P$5:$R$204,2,FALSE),""))</f>
        <v/>
      </c>
      <c r="F160" t="str">
        <f>IF(D160="","",IFERROR(VLOOKUP(D160,基础资料!$P$5:$R$204,3,FALSE),""))</f>
        <v/>
      </c>
      <c r="G160" s="17"/>
      <c r="H160" s="17"/>
      <c r="I160" s="17" t="str">
        <f t="shared" si="7"/>
        <v/>
      </c>
      <c r="J160" s="5" t="str">
        <f>IF(OR(A160="",C160=""),"",A160+IFERROR(VLOOKUP(C160,基础资料!$AE$5:$AG$204,3,FALSE),0))</f>
        <v/>
      </c>
      <c r="N160" t="str">
        <f t="shared" si="8"/>
        <v/>
      </c>
    </row>
    <row r="161" spans="1:14">
      <c r="A161" s="5"/>
      <c r="B161" t="str">
        <f t="shared" si="6"/>
        <v/>
      </c>
      <c r="E161" t="str">
        <f>IF(D161="","",IFERROR(VLOOKUP(D161,基础资料!$P$5:$R$204,2,FALSE),""))</f>
        <v/>
      </c>
      <c r="F161" t="str">
        <f>IF(D161="","",IFERROR(VLOOKUP(D161,基础资料!$P$5:$R$204,3,FALSE),""))</f>
        <v/>
      </c>
      <c r="G161" s="17"/>
      <c r="H161" s="17"/>
      <c r="I161" s="17" t="str">
        <f t="shared" si="7"/>
        <v/>
      </c>
      <c r="J161" s="5" t="str">
        <f>IF(OR(A161="",C161=""),"",A161+IFERROR(VLOOKUP(C161,基础资料!$AE$5:$AG$204,3,FALSE),0))</f>
        <v/>
      </c>
      <c r="N161" t="str">
        <f t="shared" si="8"/>
        <v/>
      </c>
    </row>
    <row r="162" spans="1:14">
      <c r="A162" s="5"/>
      <c r="B162" t="str">
        <f t="shared" si="6"/>
        <v/>
      </c>
      <c r="E162" t="str">
        <f>IF(D162="","",IFERROR(VLOOKUP(D162,基础资料!$P$5:$R$204,2,FALSE),""))</f>
        <v/>
      </c>
      <c r="F162" t="str">
        <f>IF(D162="","",IFERROR(VLOOKUP(D162,基础资料!$P$5:$R$204,3,FALSE),""))</f>
        <v/>
      </c>
      <c r="G162" s="17"/>
      <c r="H162" s="17"/>
      <c r="I162" s="17" t="str">
        <f t="shared" si="7"/>
        <v/>
      </c>
      <c r="J162" s="5" t="str">
        <f>IF(OR(A162="",C162=""),"",A162+IFERROR(VLOOKUP(C162,基础资料!$AE$5:$AG$204,3,FALSE),0))</f>
        <v/>
      </c>
      <c r="N162" t="str">
        <f t="shared" si="8"/>
        <v/>
      </c>
    </row>
    <row r="163" spans="1:14">
      <c r="A163" s="5"/>
      <c r="B163" t="str">
        <f t="shared" si="6"/>
        <v/>
      </c>
      <c r="E163" t="str">
        <f>IF(D163="","",IFERROR(VLOOKUP(D163,基础资料!$P$5:$R$204,2,FALSE),""))</f>
        <v/>
      </c>
      <c r="F163" t="str">
        <f>IF(D163="","",IFERROR(VLOOKUP(D163,基础资料!$P$5:$R$204,3,FALSE),""))</f>
        <v/>
      </c>
      <c r="G163" s="17"/>
      <c r="H163" s="17"/>
      <c r="I163" s="17" t="str">
        <f t="shared" si="7"/>
        <v/>
      </c>
      <c r="J163" s="5" t="str">
        <f>IF(OR(A163="",C163=""),"",A163+IFERROR(VLOOKUP(C163,基础资料!$AE$5:$AG$204,3,FALSE),0))</f>
        <v/>
      </c>
      <c r="N163" t="str">
        <f t="shared" si="8"/>
        <v/>
      </c>
    </row>
    <row r="164" spans="1:14">
      <c r="A164" s="5"/>
      <c r="B164" t="str">
        <f t="shared" si="6"/>
        <v/>
      </c>
      <c r="E164" t="str">
        <f>IF(D164="","",IFERROR(VLOOKUP(D164,基础资料!$P$5:$R$204,2,FALSE),""))</f>
        <v/>
      </c>
      <c r="F164" t="str">
        <f>IF(D164="","",IFERROR(VLOOKUP(D164,基础资料!$P$5:$R$204,3,FALSE),""))</f>
        <v/>
      </c>
      <c r="G164" s="17"/>
      <c r="H164" s="17"/>
      <c r="I164" s="17" t="str">
        <f t="shared" si="7"/>
        <v/>
      </c>
      <c r="J164" s="5" t="str">
        <f>IF(OR(A164="",C164=""),"",A164+IFERROR(VLOOKUP(C164,基础资料!$AE$5:$AG$204,3,FALSE),0))</f>
        <v/>
      </c>
      <c r="N164" t="str">
        <f t="shared" si="8"/>
        <v/>
      </c>
    </row>
    <row r="165" spans="1:14">
      <c r="A165" s="5"/>
      <c r="B165" t="str">
        <f t="shared" si="6"/>
        <v/>
      </c>
      <c r="E165" t="str">
        <f>IF(D165="","",IFERROR(VLOOKUP(D165,基础资料!$P$5:$R$204,2,FALSE),""))</f>
        <v/>
      </c>
      <c r="F165" t="str">
        <f>IF(D165="","",IFERROR(VLOOKUP(D165,基础资料!$P$5:$R$204,3,FALSE),""))</f>
        <v/>
      </c>
      <c r="G165" s="17"/>
      <c r="H165" s="17"/>
      <c r="I165" s="17" t="str">
        <f t="shared" si="7"/>
        <v/>
      </c>
      <c r="J165" s="5" t="str">
        <f>IF(OR(A165="",C165=""),"",A165+IFERROR(VLOOKUP(C165,基础资料!$AE$5:$AG$204,3,FALSE),0))</f>
        <v/>
      </c>
      <c r="N165" t="str">
        <f t="shared" si="8"/>
        <v/>
      </c>
    </row>
    <row r="166" spans="1:14">
      <c r="A166" s="5"/>
      <c r="B166" t="str">
        <f t="shared" si="6"/>
        <v/>
      </c>
      <c r="E166" t="str">
        <f>IF(D166="","",IFERROR(VLOOKUP(D166,基础资料!$P$5:$R$204,2,FALSE),""))</f>
        <v/>
      </c>
      <c r="F166" t="str">
        <f>IF(D166="","",IFERROR(VLOOKUP(D166,基础资料!$P$5:$R$204,3,FALSE),""))</f>
        <v/>
      </c>
      <c r="G166" s="17"/>
      <c r="H166" s="17"/>
      <c r="I166" s="17" t="str">
        <f t="shared" si="7"/>
        <v/>
      </c>
      <c r="J166" s="5" t="str">
        <f>IF(OR(A166="",C166=""),"",A166+IFERROR(VLOOKUP(C166,基础资料!$AE$5:$AG$204,3,FALSE),0))</f>
        <v/>
      </c>
      <c r="N166" t="str">
        <f t="shared" si="8"/>
        <v/>
      </c>
    </row>
    <row r="167" spans="1:14">
      <c r="A167" s="5"/>
      <c r="B167" t="str">
        <f t="shared" si="6"/>
        <v/>
      </c>
      <c r="E167" t="str">
        <f>IF(D167="","",IFERROR(VLOOKUP(D167,基础资料!$P$5:$R$204,2,FALSE),""))</f>
        <v/>
      </c>
      <c r="F167" t="str">
        <f>IF(D167="","",IFERROR(VLOOKUP(D167,基础资料!$P$5:$R$204,3,FALSE),""))</f>
        <v/>
      </c>
      <c r="G167" s="17"/>
      <c r="H167" s="17"/>
      <c r="I167" s="17" t="str">
        <f t="shared" si="7"/>
        <v/>
      </c>
      <c r="J167" s="5" t="str">
        <f>IF(OR(A167="",C167=""),"",A167+IFERROR(VLOOKUP(C167,基础资料!$AE$5:$AG$204,3,FALSE),0))</f>
        <v/>
      </c>
      <c r="N167" t="str">
        <f t="shared" si="8"/>
        <v/>
      </c>
    </row>
    <row r="168" spans="1:14">
      <c r="A168" s="5"/>
      <c r="B168" t="str">
        <f t="shared" si="6"/>
        <v/>
      </c>
      <c r="E168" t="str">
        <f>IF(D168="","",IFERROR(VLOOKUP(D168,基础资料!$P$5:$R$204,2,FALSE),""))</f>
        <v/>
      </c>
      <c r="F168" t="str">
        <f>IF(D168="","",IFERROR(VLOOKUP(D168,基础资料!$P$5:$R$204,3,FALSE),""))</f>
        <v/>
      </c>
      <c r="G168" s="17"/>
      <c r="H168" s="17"/>
      <c r="I168" s="17" t="str">
        <f t="shared" si="7"/>
        <v/>
      </c>
      <c r="J168" s="5" t="str">
        <f>IF(OR(A168="",C168=""),"",A168+IFERROR(VLOOKUP(C168,基础资料!$AE$5:$AG$204,3,FALSE),0))</f>
        <v/>
      </c>
      <c r="N168" t="str">
        <f t="shared" si="8"/>
        <v/>
      </c>
    </row>
    <row r="169" spans="1:14">
      <c r="A169" s="5"/>
      <c r="B169" t="str">
        <f t="shared" si="6"/>
        <v/>
      </c>
      <c r="E169" t="str">
        <f>IF(D169="","",IFERROR(VLOOKUP(D169,基础资料!$P$5:$R$204,2,FALSE),""))</f>
        <v/>
      </c>
      <c r="F169" t="str">
        <f>IF(D169="","",IFERROR(VLOOKUP(D169,基础资料!$P$5:$R$204,3,FALSE),""))</f>
        <v/>
      </c>
      <c r="G169" s="17"/>
      <c r="H169" s="17"/>
      <c r="I169" s="17" t="str">
        <f t="shared" si="7"/>
        <v/>
      </c>
      <c r="J169" s="5" t="str">
        <f>IF(OR(A169="",C169=""),"",A169+IFERROR(VLOOKUP(C169,基础资料!$AE$5:$AG$204,3,FALSE),0))</f>
        <v/>
      </c>
      <c r="N169" t="str">
        <f t="shared" si="8"/>
        <v/>
      </c>
    </row>
    <row r="170" spans="1:14">
      <c r="A170" s="5"/>
      <c r="B170" t="str">
        <f t="shared" si="6"/>
        <v/>
      </c>
      <c r="E170" t="str">
        <f>IF(D170="","",IFERROR(VLOOKUP(D170,基础资料!$P$5:$R$204,2,FALSE),""))</f>
        <v/>
      </c>
      <c r="F170" t="str">
        <f>IF(D170="","",IFERROR(VLOOKUP(D170,基础资料!$P$5:$R$204,3,FALSE),""))</f>
        <v/>
      </c>
      <c r="G170" s="17"/>
      <c r="H170" s="17"/>
      <c r="I170" s="17" t="str">
        <f t="shared" si="7"/>
        <v/>
      </c>
      <c r="J170" s="5" t="str">
        <f>IF(OR(A170="",C170=""),"",A170+IFERROR(VLOOKUP(C170,基础资料!$AE$5:$AG$204,3,FALSE),0))</f>
        <v/>
      </c>
      <c r="N170" t="str">
        <f t="shared" si="8"/>
        <v/>
      </c>
    </row>
    <row r="171" spans="1:14">
      <c r="A171" s="5"/>
      <c r="B171" t="str">
        <f t="shared" si="6"/>
        <v/>
      </c>
      <c r="E171" t="str">
        <f>IF(D171="","",IFERROR(VLOOKUP(D171,基础资料!$P$5:$R$204,2,FALSE),""))</f>
        <v/>
      </c>
      <c r="F171" t="str">
        <f>IF(D171="","",IFERROR(VLOOKUP(D171,基础资料!$P$5:$R$204,3,FALSE),""))</f>
        <v/>
      </c>
      <c r="G171" s="17"/>
      <c r="H171" s="17"/>
      <c r="I171" s="17" t="str">
        <f t="shared" si="7"/>
        <v/>
      </c>
      <c r="J171" s="5" t="str">
        <f>IF(OR(A171="",C171=""),"",A171+IFERROR(VLOOKUP(C171,基础资料!$AE$5:$AG$204,3,FALSE),0))</f>
        <v/>
      </c>
      <c r="N171" t="str">
        <f t="shared" si="8"/>
        <v/>
      </c>
    </row>
    <row r="172" spans="1:14">
      <c r="A172" s="5"/>
      <c r="B172" t="str">
        <f t="shared" si="6"/>
        <v/>
      </c>
      <c r="E172" t="str">
        <f>IF(D172="","",IFERROR(VLOOKUP(D172,基础资料!$P$5:$R$204,2,FALSE),""))</f>
        <v/>
      </c>
      <c r="F172" t="str">
        <f>IF(D172="","",IFERROR(VLOOKUP(D172,基础资料!$P$5:$R$204,3,FALSE),""))</f>
        <v/>
      </c>
      <c r="G172" s="17"/>
      <c r="H172" s="17"/>
      <c r="I172" s="17" t="str">
        <f t="shared" si="7"/>
        <v/>
      </c>
      <c r="J172" s="5" t="str">
        <f>IF(OR(A172="",C172=""),"",A172+IFERROR(VLOOKUP(C172,基础资料!$AE$5:$AG$204,3,FALSE),0))</f>
        <v/>
      </c>
      <c r="N172" t="str">
        <f t="shared" si="8"/>
        <v/>
      </c>
    </row>
    <row r="173" spans="1:14">
      <c r="A173" s="5"/>
      <c r="B173" t="str">
        <f t="shared" si="6"/>
        <v/>
      </c>
      <c r="E173" t="str">
        <f>IF(D173="","",IFERROR(VLOOKUP(D173,基础资料!$P$5:$R$204,2,FALSE),""))</f>
        <v/>
      </c>
      <c r="F173" t="str">
        <f>IF(D173="","",IFERROR(VLOOKUP(D173,基础资料!$P$5:$R$204,3,FALSE),""))</f>
        <v/>
      </c>
      <c r="G173" s="17"/>
      <c r="H173" s="17"/>
      <c r="I173" s="17" t="str">
        <f t="shared" si="7"/>
        <v/>
      </c>
      <c r="J173" s="5" t="str">
        <f>IF(OR(A173="",C173=""),"",A173+IFERROR(VLOOKUP(C173,基础资料!$AE$5:$AG$204,3,FALSE),0))</f>
        <v/>
      </c>
      <c r="N173" t="str">
        <f t="shared" si="8"/>
        <v/>
      </c>
    </row>
    <row r="174" spans="1:14">
      <c r="A174" s="5"/>
      <c r="B174" t="str">
        <f t="shared" si="6"/>
        <v/>
      </c>
      <c r="E174" t="str">
        <f>IF(D174="","",IFERROR(VLOOKUP(D174,基础资料!$P$5:$R$204,2,FALSE),""))</f>
        <v/>
      </c>
      <c r="F174" t="str">
        <f>IF(D174="","",IFERROR(VLOOKUP(D174,基础资料!$P$5:$R$204,3,FALSE),""))</f>
        <v/>
      </c>
      <c r="G174" s="17"/>
      <c r="H174" s="17"/>
      <c r="I174" s="17" t="str">
        <f t="shared" si="7"/>
        <v/>
      </c>
      <c r="J174" s="5" t="str">
        <f>IF(OR(A174="",C174=""),"",A174+IFERROR(VLOOKUP(C174,基础资料!$AE$5:$AG$204,3,FALSE),0))</f>
        <v/>
      </c>
      <c r="N174" t="str">
        <f t="shared" si="8"/>
        <v/>
      </c>
    </row>
    <row r="175" spans="1:14">
      <c r="A175" s="5"/>
      <c r="B175" t="str">
        <f t="shared" si="6"/>
        <v/>
      </c>
      <c r="E175" t="str">
        <f>IF(D175="","",IFERROR(VLOOKUP(D175,基础资料!$P$5:$R$204,2,FALSE),""))</f>
        <v/>
      </c>
      <c r="F175" t="str">
        <f>IF(D175="","",IFERROR(VLOOKUP(D175,基础资料!$P$5:$R$204,3,FALSE),""))</f>
        <v/>
      </c>
      <c r="G175" s="17"/>
      <c r="H175" s="17"/>
      <c r="I175" s="17" t="str">
        <f t="shared" si="7"/>
        <v/>
      </c>
      <c r="J175" s="5" t="str">
        <f>IF(OR(A175="",C175=""),"",A175+IFERROR(VLOOKUP(C175,基础资料!$AE$5:$AG$204,3,FALSE),0))</f>
        <v/>
      </c>
      <c r="N175" t="str">
        <f t="shared" si="8"/>
        <v/>
      </c>
    </row>
    <row r="176" spans="1:14">
      <c r="A176" s="5"/>
      <c r="B176" t="str">
        <f t="shared" si="6"/>
        <v/>
      </c>
      <c r="E176" t="str">
        <f>IF(D176="","",IFERROR(VLOOKUP(D176,基础资料!$P$5:$R$204,2,FALSE),""))</f>
        <v/>
      </c>
      <c r="F176" t="str">
        <f>IF(D176="","",IFERROR(VLOOKUP(D176,基础资料!$P$5:$R$204,3,FALSE),""))</f>
        <v/>
      </c>
      <c r="G176" s="17"/>
      <c r="H176" s="17"/>
      <c r="I176" s="17" t="str">
        <f t="shared" si="7"/>
        <v/>
      </c>
      <c r="J176" s="5" t="str">
        <f>IF(OR(A176="",C176=""),"",A176+IFERROR(VLOOKUP(C176,基础资料!$AE$5:$AG$204,3,FALSE),0))</f>
        <v/>
      </c>
      <c r="N176" t="str">
        <f t="shared" si="8"/>
        <v/>
      </c>
    </row>
    <row r="177" spans="1:14">
      <c r="A177" s="5"/>
      <c r="B177" t="str">
        <f t="shared" si="6"/>
        <v/>
      </c>
      <c r="E177" t="str">
        <f>IF(D177="","",IFERROR(VLOOKUP(D177,基础资料!$P$5:$R$204,2,FALSE),""))</f>
        <v/>
      </c>
      <c r="F177" t="str">
        <f>IF(D177="","",IFERROR(VLOOKUP(D177,基础资料!$P$5:$R$204,3,FALSE),""))</f>
        <v/>
      </c>
      <c r="G177" s="17"/>
      <c r="H177" s="17"/>
      <c r="I177" s="17" t="str">
        <f t="shared" si="7"/>
        <v/>
      </c>
      <c r="J177" s="5" t="str">
        <f>IF(OR(A177="",C177=""),"",A177+IFERROR(VLOOKUP(C177,基础资料!$AE$5:$AG$204,3,FALSE),0))</f>
        <v/>
      </c>
      <c r="N177" t="str">
        <f t="shared" si="8"/>
        <v/>
      </c>
    </row>
    <row r="178" spans="1:14">
      <c r="A178" s="5"/>
      <c r="B178" t="str">
        <f t="shared" si="6"/>
        <v/>
      </c>
      <c r="E178" t="str">
        <f>IF(D178="","",IFERROR(VLOOKUP(D178,基础资料!$P$5:$R$204,2,FALSE),""))</f>
        <v/>
      </c>
      <c r="F178" t="str">
        <f>IF(D178="","",IFERROR(VLOOKUP(D178,基础资料!$P$5:$R$204,3,FALSE),""))</f>
        <v/>
      </c>
      <c r="G178" s="17"/>
      <c r="H178" s="17"/>
      <c r="I178" s="17" t="str">
        <f t="shared" si="7"/>
        <v/>
      </c>
      <c r="J178" s="5" t="str">
        <f>IF(OR(A178="",C178=""),"",A178+IFERROR(VLOOKUP(C178,基础资料!$AE$5:$AG$204,3,FALSE),0))</f>
        <v/>
      </c>
      <c r="N178" t="str">
        <f t="shared" si="8"/>
        <v/>
      </c>
    </row>
    <row r="179" spans="1:14">
      <c r="A179" s="5"/>
      <c r="B179" t="str">
        <f t="shared" si="6"/>
        <v/>
      </c>
      <c r="E179" t="str">
        <f>IF(D179="","",IFERROR(VLOOKUP(D179,基础资料!$P$5:$R$204,2,FALSE),""))</f>
        <v/>
      </c>
      <c r="F179" t="str">
        <f>IF(D179="","",IFERROR(VLOOKUP(D179,基础资料!$P$5:$R$204,3,FALSE),""))</f>
        <v/>
      </c>
      <c r="G179" s="17"/>
      <c r="H179" s="17"/>
      <c r="I179" s="17" t="str">
        <f t="shared" si="7"/>
        <v/>
      </c>
      <c r="J179" s="5" t="str">
        <f>IF(OR(A179="",C179=""),"",A179+IFERROR(VLOOKUP(C179,基础资料!$AE$5:$AG$204,3,FALSE),0))</f>
        <v/>
      </c>
      <c r="N179" t="str">
        <f t="shared" si="8"/>
        <v/>
      </c>
    </row>
    <row r="180" spans="1:14">
      <c r="A180" s="5"/>
      <c r="B180" t="str">
        <f t="shared" si="6"/>
        <v/>
      </c>
      <c r="E180" t="str">
        <f>IF(D180="","",IFERROR(VLOOKUP(D180,基础资料!$P$5:$R$204,2,FALSE),""))</f>
        <v/>
      </c>
      <c r="F180" t="str">
        <f>IF(D180="","",IFERROR(VLOOKUP(D180,基础资料!$P$5:$R$204,3,FALSE),""))</f>
        <v/>
      </c>
      <c r="G180" s="17"/>
      <c r="H180" s="17"/>
      <c r="I180" s="17" t="str">
        <f t="shared" si="7"/>
        <v/>
      </c>
      <c r="J180" s="5" t="str">
        <f>IF(OR(A180="",C180=""),"",A180+IFERROR(VLOOKUP(C180,基础资料!$AE$5:$AG$204,3,FALSE),0))</f>
        <v/>
      </c>
      <c r="N180" t="str">
        <f t="shared" si="8"/>
        <v/>
      </c>
    </row>
    <row r="181" spans="1:14">
      <c r="A181" s="5"/>
      <c r="B181" t="str">
        <f t="shared" si="6"/>
        <v/>
      </c>
      <c r="E181" t="str">
        <f>IF(D181="","",IFERROR(VLOOKUP(D181,基础资料!$P$5:$R$204,2,FALSE),""))</f>
        <v/>
      </c>
      <c r="F181" t="str">
        <f>IF(D181="","",IFERROR(VLOOKUP(D181,基础资料!$P$5:$R$204,3,FALSE),""))</f>
        <v/>
      </c>
      <c r="G181" s="17"/>
      <c r="H181" s="17"/>
      <c r="I181" s="17" t="str">
        <f t="shared" si="7"/>
        <v/>
      </c>
      <c r="J181" s="5" t="str">
        <f>IF(OR(A181="",C181=""),"",A181+IFERROR(VLOOKUP(C181,基础资料!$AE$5:$AG$204,3,FALSE),0))</f>
        <v/>
      </c>
      <c r="N181" t="str">
        <f t="shared" si="8"/>
        <v/>
      </c>
    </row>
    <row r="182" spans="1:14">
      <c r="A182" s="5"/>
      <c r="B182" t="str">
        <f t="shared" si="6"/>
        <v/>
      </c>
      <c r="E182" t="str">
        <f>IF(D182="","",IFERROR(VLOOKUP(D182,基础资料!$P$5:$R$204,2,FALSE),""))</f>
        <v/>
      </c>
      <c r="F182" t="str">
        <f>IF(D182="","",IFERROR(VLOOKUP(D182,基础资料!$P$5:$R$204,3,FALSE),""))</f>
        <v/>
      </c>
      <c r="G182" s="17"/>
      <c r="H182" s="17"/>
      <c r="I182" s="17" t="str">
        <f t="shared" si="7"/>
        <v/>
      </c>
      <c r="J182" s="5" t="str">
        <f>IF(OR(A182="",C182=""),"",A182+IFERROR(VLOOKUP(C182,基础资料!$AE$5:$AG$204,3,FALSE),0))</f>
        <v/>
      </c>
      <c r="N182" t="str">
        <f t="shared" si="8"/>
        <v/>
      </c>
    </row>
    <row r="183" spans="1:14">
      <c r="A183" s="5"/>
      <c r="B183" t="str">
        <f t="shared" si="6"/>
        <v/>
      </c>
      <c r="E183" t="str">
        <f>IF(D183="","",IFERROR(VLOOKUP(D183,基础资料!$P$5:$R$204,2,FALSE),""))</f>
        <v/>
      </c>
      <c r="F183" t="str">
        <f>IF(D183="","",IFERROR(VLOOKUP(D183,基础资料!$P$5:$R$204,3,FALSE),""))</f>
        <v/>
      </c>
      <c r="G183" s="17"/>
      <c r="H183" s="17"/>
      <c r="I183" s="17" t="str">
        <f t="shared" si="7"/>
        <v/>
      </c>
      <c r="J183" s="5" t="str">
        <f>IF(OR(A183="",C183=""),"",A183+IFERROR(VLOOKUP(C183,基础资料!$AE$5:$AG$204,3,FALSE),0))</f>
        <v/>
      </c>
      <c r="N183" t="str">
        <f t="shared" si="8"/>
        <v/>
      </c>
    </row>
    <row r="184" spans="1:14">
      <c r="A184" s="5"/>
      <c r="B184" t="str">
        <f t="shared" si="6"/>
        <v/>
      </c>
      <c r="E184" t="str">
        <f>IF(D184="","",IFERROR(VLOOKUP(D184,基础资料!$P$5:$R$204,2,FALSE),""))</f>
        <v/>
      </c>
      <c r="F184" t="str">
        <f>IF(D184="","",IFERROR(VLOOKUP(D184,基础资料!$P$5:$R$204,3,FALSE),""))</f>
        <v/>
      </c>
      <c r="G184" s="17"/>
      <c r="H184" s="17"/>
      <c r="I184" s="17" t="str">
        <f t="shared" si="7"/>
        <v/>
      </c>
      <c r="J184" s="5" t="str">
        <f>IF(OR(A184="",C184=""),"",A184+IFERROR(VLOOKUP(C184,基础资料!$AE$5:$AG$204,3,FALSE),0))</f>
        <v/>
      </c>
      <c r="N184" t="str">
        <f t="shared" si="8"/>
        <v/>
      </c>
    </row>
    <row r="185" spans="1:14">
      <c r="A185" s="5"/>
      <c r="B185" t="str">
        <f t="shared" si="6"/>
        <v/>
      </c>
      <c r="E185" t="str">
        <f>IF(D185="","",IFERROR(VLOOKUP(D185,基础资料!$P$5:$R$204,2,FALSE),""))</f>
        <v/>
      </c>
      <c r="F185" t="str">
        <f>IF(D185="","",IFERROR(VLOOKUP(D185,基础资料!$P$5:$R$204,3,FALSE),""))</f>
        <v/>
      </c>
      <c r="G185" s="17"/>
      <c r="H185" s="17"/>
      <c r="I185" s="17" t="str">
        <f t="shared" si="7"/>
        <v/>
      </c>
      <c r="J185" s="5" t="str">
        <f>IF(OR(A185="",C185=""),"",A185+IFERROR(VLOOKUP(C185,基础资料!$AE$5:$AG$204,3,FALSE),0))</f>
        <v/>
      </c>
      <c r="N185" t="str">
        <f t="shared" si="8"/>
        <v/>
      </c>
    </row>
    <row r="186" spans="1:14">
      <c r="A186" s="5"/>
      <c r="B186" t="str">
        <f t="shared" si="6"/>
        <v/>
      </c>
      <c r="E186" t="str">
        <f>IF(D186="","",IFERROR(VLOOKUP(D186,基础资料!$P$5:$R$204,2,FALSE),""))</f>
        <v/>
      </c>
      <c r="F186" t="str">
        <f>IF(D186="","",IFERROR(VLOOKUP(D186,基础资料!$P$5:$R$204,3,FALSE),""))</f>
        <v/>
      </c>
      <c r="G186" s="17"/>
      <c r="H186" s="17"/>
      <c r="I186" s="17" t="str">
        <f t="shared" si="7"/>
        <v/>
      </c>
      <c r="J186" s="5" t="str">
        <f>IF(OR(A186="",C186=""),"",A186+IFERROR(VLOOKUP(C186,基础资料!$AE$5:$AG$204,3,FALSE),0))</f>
        <v/>
      </c>
      <c r="N186" t="str">
        <f t="shared" si="8"/>
        <v/>
      </c>
    </row>
    <row r="187" spans="1:14">
      <c r="A187" s="5"/>
      <c r="B187" t="str">
        <f t="shared" si="6"/>
        <v/>
      </c>
      <c r="E187" t="str">
        <f>IF(D187="","",IFERROR(VLOOKUP(D187,基础资料!$P$5:$R$204,2,FALSE),""))</f>
        <v/>
      </c>
      <c r="F187" t="str">
        <f>IF(D187="","",IFERROR(VLOOKUP(D187,基础资料!$P$5:$R$204,3,FALSE),""))</f>
        <v/>
      </c>
      <c r="G187" s="17"/>
      <c r="H187" s="17"/>
      <c r="I187" s="17" t="str">
        <f t="shared" si="7"/>
        <v/>
      </c>
      <c r="J187" s="5" t="str">
        <f>IF(OR(A187="",C187=""),"",A187+IFERROR(VLOOKUP(C187,基础资料!$AE$5:$AG$204,3,FALSE),0))</f>
        <v/>
      </c>
      <c r="N187" t="str">
        <f t="shared" si="8"/>
        <v/>
      </c>
    </row>
    <row r="188" spans="1:14">
      <c r="A188" s="5"/>
      <c r="B188" t="str">
        <f t="shared" si="6"/>
        <v/>
      </c>
      <c r="E188" t="str">
        <f>IF(D188="","",IFERROR(VLOOKUP(D188,基础资料!$P$5:$R$204,2,FALSE),""))</f>
        <v/>
      </c>
      <c r="F188" t="str">
        <f>IF(D188="","",IFERROR(VLOOKUP(D188,基础资料!$P$5:$R$204,3,FALSE),""))</f>
        <v/>
      </c>
      <c r="G188" s="17"/>
      <c r="H188" s="17"/>
      <c r="I188" s="17" t="str">
        <f t="shared" si="7"/>
        <v/>
      </c>
      <c r="J188" s="5" t="str">
        <f>IF(OR(A188="",C188=""),"",A188+IFERROR(VLOOKUP(C188,基础资料!$AE$5:$AG$204,3,FALSE),0))</f>
        <v/>
      </c>
      <c r="N188" t="str">
        <f t="shared" si="8"/>
        <v/>
      </c>
    </row>
    <row r="189" spans="1:14">
      <c r="A189" s="5"/>
      <c r="B189" t="str">
        <f t="shared" si="6"/>
        <v/>
      </c>
      <c r="E189" t="str">
        <f>IF(D189="","",IFERROR(VLOOKUP(D189,基础资料!$P$5:$R$204,2,FALSE),""))</f>
        <v/>
      </c>
      <c r="F189" t="str">
        <f>IF(D189="","",IFERROR(VLOOKUP(D189,基础资料!$P$5:$R$204,3,FALSE),""))</f>
        <v/>
      </c>
      <c r="G189" s="17"/>
      <c r="H189" s="17"/>
      <c r="I189" s="17" t="str">
        <f t="shared" si="7"/>
        <v/>
      </c>
      <c r="J189" s="5" t="str">
        <f>IF(OR(A189="",C189=""),"",A189+IFERROR(VLOOKUP(C189,基础资料!$AE$5:$AG$204,3,FALSE),0))</f>
        <v/>
      </c>
      <c r="N189" t="str">
        <f t="shared" si="8"/>
        <v/>
      </c>
    </row>
    <row r="190" spans="1:14">
      <c r="A190" s="5"/>
      <c r="B190" t="str">
        <f t="shared" si="6"/>
        <v/>
      </c>
      <c r="E190" t="str">
        <f>IF(D190="","",IFERROR(VLOOKUP(D190,基础资料!$P$5:$R$204,2,FALSE),""))</f>
        <v/>
      </c>
      <c r="F190" t="str">
        <f>IF(D190="","",IFERROR(VLOOKUP(D190,基础资料!$P$5:$R$204,3,FALSE),""))</f>
        <v/>
      </c>
      <c r="G190" s="17"/>
      <c r="H190" s="17"/>
      <c r="I190" s="17" t="str">
        <f t="shared" si="7"/>
        <v/>
      </c>
      <c r="J190" s="5" t="str">
        <f>IF(OR(A190="",C190=""),"",A190+IFERROR(VLOOKUP(C190,基础资料!$AE$5:$AG$204,3,FALSE),0))</f>
        <v/>
      </c>
      <c r="N190" t="str">
        <f t="shared" si="8"/>
        <v/>
      </c>
    </row>
    <row r="191" spans="1:14">
      <c r="A191" s="5"/>
      <c r="B191" t="str">
        <f t="shared" si="6"/>
        <v/>
      </c>
      <c r="E191" t="str">
        <f>IF(D191="","",IFERROR(VLOOKUP(D191,基础资料!$P$5:$R$204,2,FALSE),""))</f>
        <v/>
      </c>
      <c r="F191" t="str">
        <f>IF(D191="","",IFERROR(VLOOKUP(D191,基础资料!$P$5:$R$204,3,FALSE),""))</f>
        <v/>
      </c>
      <c r="G191" s="17"/>
      <c r="H191" s="17"/>
      <c r="I191" s="17" t="str">
        <f t="shared" si="7"/>
        <v/>
      </c>
      <c r="J191" s="5" t="str">
        <f>IF(OR(A191="",C191=""),"",A191+IFERROR(VLOOKUP(C191,基础资料!$AE$5:$AG$204,3,FALSE),0))</f>
        <v/>
      </c>
      <c r="N191" t="str">
        <f t="shared" si="8"/>
        <v/>
      </c>
    </row>
    <row r="192" spans="1:14">
      <c r="A192" s="5"/>
      <c r="B192" t="str">
        <f t="shared" si="6"/>
        <v/>
      </c>
      <c r="E192" t="str">
        <f>IF(D192="","",IFERROR(VLOOKUP(D192,基础资料!$P$5:$R$204,2,FALSE),""))</f>
        <v/>
      </c>
      <c r="F192" t="str">
        <f>IF(D192="","",IFERROR(VLOOKUP(D192,基础资料!$P$5:$R$204,3,FALSE),""))</f>
        <v/>
      </c>
      <c r="G192" s="17"/>
      <c r="H192" s="17"/>
      <c r="I192" s="17" t="str">
        <f t="shared" si="7"/>
        <v/>
      </c>
      <c r="J192" s="5" t="str">
        <f>IF(OR(A192="",C192=""),"",A192+IFERROR(VLOOKUP(C192,基础资料!$AE$5:$AG$204,3,FALSE),0))</f>
        <v/>
      </c>
      <c r="N192" t="str">
        <f t="shared" si="8"/>
        <v/>
      </c>
    </row>
    <row r="193" spans="1:14">
      <c r="A193" s="5"/>
      <c r="B193" t="str">
        <f t="shared" si="6"/>
        <v/>
      </c>
      <c r="E193" t="str">
        <f>IF(D193="","",IFERROR(VLOOKUP(D193,基础资料!$P$5:$R$204,2,FALSE),""))</f>
        <v/>
      </c>
      <c r="F193" t="str">
        <f>IF(D193="","",IFERROR(VLOOKUP(D193,基础资料!$P$5:$R$204,3,FALSE),""))</f>
        <v/>
      </c>
      <c r="G193" s="17"/>
      <c r="H193" s="17"/>
      <c r="I193" s="17" t="str">
        <f t="shared" si="7"/>
        <v/>
      </c>
      <c r="J193" s="5" t="str">
        <f>IF(OR(A193="",C193=""),"",A193+IFERROR(VLOOKUP(C193,基础资料!$AE$5:$AG$204,3,FALSE),0))</f>
        <v/>
      </c>
      <c r="N193" t="str">
        <f t="shared" si="8"/>
        <v/>
      </c>
    </row>
    <row r="194" spans="1:14">
      <c r="A194" s="5"/>
      <c r="B194" t="str">
        <f t="shared" si="6"/>
        <v/>
      </c>
      <c r="E194" t="str">
        <f>IF(D194="","",IFERROR(VLOOKUP(D194,基础资料!$P$5:$R$204,2,FALSE),""))</f>
        <v/>
      </c>
      <c r="F194" t="str">
        <f>IF(D194="","",IFERROR(VLOOKUP(D194,基础资料!$P$5:$R$204,3,FALSE),""))</f>
        <v/>
      </c>
      <c r="G194" s="17"/>
      <c r="H194" s="17"/>
      <c r="I194" s="17" t="str">
        <f t="shared" si="7"/>
        <v/>
      </c>
      <c r="J194" s="5" t="str">
        <f>IF(OR(A194="",C194=""),"",A194+IFERROR(VLOOKUP(C194,基础资料!$AE$5:$AG$204,3,FALSE),0))</f>
        <v/>
      </c>
      <c r="N194" t="str">
        <f t="shared" si="8"/>
        <v/>
      </c>
    </row>
    <row r="195" spans="1:14">
      <c r="A195" s="5"/>
      <c r="B195" t="str">
        <f t="shared" si="6"/>
        <v/>
      </c>
      <c r="E195" t="str">
        <f>IF(D195="","",IFERROR(VLOOKUP(D195,基础资料!$P$5:$R$204,2,FALSE),""))</f>
        <v/>
      </c>
      <c r="F195" t="str">
        <f>IF(D195="","",IFERROR(VLOOKUP(D195,基础资料!$P$5:$R$204,3,FALSE),""))</f>
        <v/>
      </c>
      <c r="G195" s="17"/>
      <c r="H195" s="17"/>
      <c r="I195" s="17" t="str">
        <f t="shared" si="7"/>
        <v/>
      </c>
      <c r="J195" s="5" t="str">
        <f>IF(OR(A195="",C195=""),"",A195+IFERROR(VLOOKUP(C195,基础资料!$AE$5:$AG$204,3,FALSE),0))</f>
        <v/>
      </c>
      <c r="N195" t="str">
        <f t="shared" si="8"/>
        <v/>
      </c>
    </row>
    <row r="196" spans="1:14">
      <c r="A196" s="5"/>
      <c r="B196" t="str">
        <f t="shared" ref="B196:B203" si="9">IF(A196="","",TEXT(A196,"yyyy-mm"))</f>
        <v/>
      </c>
      <c r="E196" t="str">
        <f>IF(D196="","",IFERROR(VLOOKUP(D196,基础资料!$P$5:$R$204,2,FALSE),""))</f>
        <v/>
      </c>
      <c r="F196" t="str">
        <f>IF(D196="","",IFERROR(VLOOKUP(D196,基础资料!$P$5:$R$204,3,FALSE),""))</f>
        <v/>
      </c>
      <c r="G196" s="17"/>
      <c r="H196" s="17"/>
      <c r="I196" s="17" t="str">
        <f t="shared" ref="I196:I203" si="10">IF(OR(G196="",H196=""),"",G196*H196)</f>
        <v/>
      </c>
      <c r="J196" s="5" t="str">
        <f>IF(OR(A196="",C196=""),"",A196+IFERROR(VLOOKUP(C196,基础资料!$AE$5:$AG$204,3,FALSE),0))</f>
        <v/>
      </c>
      <c r="N196" t="str">
        <f t="shared" ref="N196:N203" si="11">IF(A196="","","可录入")</f>
        <v/>
      </c>
    </row>
    <row r="197" spans="1:14">
      <c r="A197" s="5"/>
      <c r="B197" t="str">
        <f t="shared" si="9"/>
        <v/>
      </c>
      <c r="E197" t="str">
        <f>IF(D197="","",IFERROR(VLOOKUP(D197,基础资料!$P$5:$R$204,2,FALSE),""))</f>
        <v/>
      </c>
      <c r="F197" t="str">
        <f>IF(D197="","",IFERROR(VLOOKUP(D197,基础资料!$P$5:$R$204,3,FALSE),""))</f>
        <v/>
      </c>
      <c r="G197" s="17"/>
      <c r="H197" s="17"/>
      <c r="I197" s="17" t="str">
        <f t="shared" si="10"/>
        <v/>
      </c>
      <c r="J197" s="5" t="str">
        <f>IF(OR(A197="",C197=""),"",A197+IFERROR(VLOOKUP(C197,基础资料!$AE$5:$AG$204,3,FALSE),0))</f>
        <v/>
      </c>
      <c r="N197" t="str">
        <f t="shared" si="11"/>
        <v/>
      </c>
    </row>
    <row r="198" spans="1:14">
      <c r="A198" s="5"/>
      <c r="B198" t="str">
        <f t="shared" si="9"/>
        <v/>
      </c>
      <c r="E198" t="str">
        <f>IF(D198="","",IFERROR(VLOOKUP(D198,基础资料!$P$5:$R$204,2,FALSE),""))</f>
        <v/>
      </c>
      <c r="F198" t="str">
        <f>IF(D198="","",IFERROR(VLOOKUP(D198,基础资料!$P$5:$R$204,3,FALSE),""))</f>
        <v/>
      </c>
      <c r="G198" s="17"/>
      <c r="H198" s="17"/>
      <c r="I198" s="17" t="str">
        <f t="shared" si="10"/>
        <v/>
      </c>
      <c r="J198" s="5" t="str">
        <f>IF(OR(A198="",C198=""),"",A198+IFERROR(VLOOKUP(C198,基础资料!$AE$5:$AG$204,3,FALSE),0))</f>
        <v/>
      </c>
      <c r="N198" t="str">
        <f t="shared" si="11"/>
        <v/>
      </c>
    </row>
    <row r="199" spans="1:14">
      <c r="A199" s="5"/>
      <c r="B199" t="str">
        <f t="shared" si="9"/>
        <v/>
      </c>
      <c r="E199" t="str">
        <f>IF(D199="","",IFERROR(VLOOKUP(D199,基础资料!$P$5:$R$204,2,FALSE),""))</f>
        <v/>
      </c>
      <c r="F199" t="str">
        <f>IF(D199="","",IFERROR(VLOOKUP(D199,基础资料!$P$5:$R$204,3,FALSE),""))</f>
        <v/>
      </c>
      <c r="G199" s="17"/>
      <c r="H199" s="17"/>
      <c r="I199" s="17" t="str">
        <f t="shared" si="10"/>
        <v/>
      </c>
      <c r="J199" s="5" t="str">
        <f>IF(OR(A199="",C199=""),"",A199+IFERROR(VLOOKUP(C199,基础资料!$AE$5:$AG$204,3,FALSE),0))</f>
        <v/>
      </c>
      <c r="N199" t="str">
        <f t="shared" si="11"/>
        <v/>
      </c>
    </row>
    <row r="200" spans="1:14">
      <c r="A200" s="5"/>
      <c r="B200" t="str">
        <f t="shared" si="9"/>
        <v/>
      </c>
      <c r="E200" t="str">
        <f>IF(D200="","",IFERROR(VLOOKUP(D200,基础资料!$P$5:$R$204,2,FALSE),""))</f>
        <v/>
      </c>
      <c r="F200" t="str">
        <f>IF(D200="","",IFERROR(VLOOKUP(D200,基础资料!$P$5:$R$204,3,FALSE),""))</f>
        <v/>
      </c>
      <c r="G200" s="17"/>
      <c r="H200" s="17"/>
      <c r="I200" s="17" t="str">
        <f t="shared" si="10"/>
        <v/>
      </c>
      <c r="J200" s="5" t="str">
        <f>IF(OR(A200="",C200=""),"",A200+IFERROR(VLOOKUP(C200,基础资料!$AE$5:$AG$204,3,FALSE),0))</f>
        <v/>
      </c>
      <c r="N200" t="str">
        <f t="shared" si="11"/>
        <v/>
      </c>
    </row>
    <row r="201" spans="1:14">
      <c r="A201" s="5"/>
      <c r="B201" t="str">
        <f t="shared" si="9"/>
        <v/>
      </c>
      <c r="E201" t="str">
        <f>IF(D201="","",IFERROR(VLOOKUP(D201,基础资料!$P$5:$R$204,2,FALSE),""))</f>
        <v/>
      </c>
      <c r="F201" t="str">
        <f>IF(D201="","",IFERROR(VLOOKUP(D201,基础资料!$P$5:$R$204,3,FALSE),""))</f>
        <v/>
      </c>
      <c r="G201" s="17"/>
      <c r="H201" s="17"/>
      <c r="I201" s="17" t="str">
        <f t="shared" si="10"/>
        <v/>
      </c>
      <c r="J201" s="5" t="str">
        <f>IF(OR(A201="",C201=""),"",A201+IFERROR(VLOOKUP(C201,基础资料!$AE$5:$AG$204,3,FALSE),0))</f>
        <v/>
      </c>
      <c r="N201" t="str">
        <f t="shared" si="11"/>
        <v/>
      </c>
    </row>
    <row r="202" spans="1:14">
      <c r="A202" s="5"/>
      <c r="B202" t="str">
        <f t="shared" si="9"/>
        <v/>
      </c>
      <c r="E202" t="str">
        <f>IF(D202="","",IFERROR(VLOOKUP(D202,基础资料!$P$5:$R$204,2,FALSE),""))</f>
        <v/>
      </c>
      <c r="F202" t="str">
        <f>IF(D202="","",IFERROR(VLOOKUP(D202,基础资料!$P$5:$R$204,3,FALSE),""))</f>
        <v/>
      </c>
      <c r="G202" s="17"/>
      <c r="H202" s="17"/>
      <c r="I202" s="17" t="str">
        <f t="shared" si="10"/>
        <v/>
      </c>
      <c r="J202" s="5" t="str">
        <f>IF(OR(A202="",C202=""),"",A202+IFERROR(VLOOKUP(C202,基础资料!$AE$5:$AG$204,3,FALSE),0))</f>
        <v/>
      </c>
      <c r="N202" t="str">
        <f t="shared" si="11"/>
        <v/>
      </c>
    </row>
    <row r="203" spans="1:14">
      <c r="A203" s="5"/>
      <c r="B203" t="str">
        <f t="shared" si="9"/>
        <v/>
      </c>
      <c r="E203" t="str">
        <f>IF(D203="","",IFERROR(VLOOKUP(D203,基础资料!$P$5:$R$204,2,FALSE),""))</f>
        <v/>
      </c>
      <c r="F203" t="str">
        <f>IF(D203="","",IFERROR(VLOOKUP(D203,基础资料!$P$5:$R$204,3,FALSE),""))</f>
        <v/>
      </c>
      <c r="G203" s="17"/>
      <c r="H203" s="17"/>
      <c r="I203" s="17" t="str">
        <f t="shared" si="10"/>
        <v/>
      </c>
      <c r="J203" s="5" t="str">
        <f>IF(OR(A203="",C203=""),"",A203+IFERROR(VLOOKUP(C203,基础资料!$AE$5:$AG$204,3,FALSE),0))</f>
        <v/>
      </c>
      <c r="N203" t="str">
        <f t="shared" si="11"/>
        <v/>
      </c>
    </row>
  </sheetData>
  <dataValidations count="4">
    <dataValidation type="list" sqref="C4:C103">
      <formula1>基础资料!$AE$5:$AE$104</formula1>
    </dataValidation>
    <dataValidation type="list" sqref="C104:C203">
      <formula1>基础资料!$AE$5:$AE$204</formula1>
    </dataValidation>
    <dataValidation type="list" sqref="D4:D103">
      <formula1>基础资料!$P$5:$P$104</formula1>
    </dataValidation>
    <dataValidation type="list" sqref="D104:D203">
      <formula1>基础资料!$P$5:$P$204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4"/>
  <sheetViews>
    <sheetView workbookViewId="0">
      <selection activeCell="A1" sqref="A1:Q1"/>
    </sheetView>
  </sheetViews>
  <sheetFormatPr defaultColWidth="9" defaultRowHeight="14.25"/>
  <cols>
    <col min="1" max="1" width="14" customWidth="1"/>
    <col min="2" max="2" width="12" customWidth="1"/>
    <col min="3" max="3" width="8" customWidth="1"/>
    <col min="4" max="5" width="12" customWidth="1"/>
    <col min="6" max="6" width="13" customWidth="1"/>
    <col min="7" max="7" width="12" customWidth="1"/>
    <col min="8" max="8" width="13" customWidth="1"/>
    <col min="9" max="9" width="12" customWidth="1"/>
    <col min="10" max="14" width="13" customWidth="1"/>
    <col min="15" max="16" width="10" customWidth="1"/>
    <col min="17" max="17" width="12" customWidth="1"/>
  </cols>
  <sheetData>
    <row r="1" ht="20.25" spans="1:17">
      <c r="A1" s="45" t="s">
        <v>444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>
      <c r="A2" t="s">
        <v>2</v>
      </c>
      <c r="B2" s="53">
        <f>首页!$B$4</f>
        <v>46174</v>
      </c>
      <c r="D2" t="s">
        <v>445</v>
      </c>
    </row>
    <row r="3" spans="1:17">
      <c r="A3" t="s">
        <v>446</v>
      </c>
      <c r="D3" s="17">
        <f t="shared" ref="D3:J3" si="0">SUM(D5:D104)</f>
        <v>1660</v>
      </c>
      <c r="E3" s="17">
        <f t="shared" si="0"/>
        <v>317</v>
      </c>
      <c r="F3" s="17">
        <f t="shared" si="0"/>
        <v>20300</v>
      </c>
      <c r="G3" s="17">
        <f t="shared" si="0"/>
        <v>199</v>
      </c>
      <c r="H3" s="17">
        <f t="shared" si="0"/>
        <v>13040</v>
      </c>
      <c r="I3" s="17">
        <f t="shared" si="0"/>
        <v>1778</v>
      </c>
      <c r="J3" s="17">
        <f t="shared" si="0"/>
        <v>107260</v>
      </c>
      <c r="K3" s="17">
        <f>IFERROR(J3/I3,0)</f>
        <v>60.326209223847</v>
      </c>
      <c r="L3" s="17">
        <f>SUM(L5:L104)</f>
        <v>26080</v>
      </c>
      <c r="M3" s="17">
        <f>SUM(M5:M104)</f>
        <v>13040</v>
      </c>
      <c r="N3" s="52"/>
      <c r="O3" s="52">
        <f>IFERROR(M3/L3,0)</f>
        <v>0.5</v>
      </c>
    </row>
    <row r="4" ht="27" spans="1:17">
      <c r="A4" s="43" t="s">
        <v>398</v>
      </c>
      <c r="B4" s="43" t="s">
        <v>399</v>
      </c>
      <c r="C4" s="43" t="s">
        <v>37</v>
      </c>
      <c r="D4" s="44" t="s">
        <v>447</v>
      </c>
      <c r="E4" s="44" t="s">
        <v>448</v>
      </c>
      <c r="F4" s="44" t="s">
        <v>449</v>
      </c>
      <c r="G4" s="44" t="s">
        <v>450</v>
      </c>
      <c r="H4" s="44" t="s">
        <v>451</v>
      </c>
      <c r="I4" s="44" t="s">
        <v>452</v>
      </c>
      <c r="J4" s="44" t="s">
        <v>453</v>
      </c>
      <c r="K4" s="44" t="s">
        <v>454</v>
      </c>
      <c r="L4" s="44" t="s">
        <v>3</v>
      </c>
      <c r="M4" s="44" t="s">
        <v>5</v>
      </c>
      <c r="N4" s="51" t="s">
        <v>455</v>
      </c>
      <c r="O4" s="51" t="s">
        <v>456</v>
      </c>
      <c r="P4" s="43" t="s">
        <v>457</v>
      </c>
      <c r="Q4" s="43" t="s">
        <v>458</v>
      </c>
    </row>
    <row r="5" spans="1:17">
      <c r="A5" t="str" cm="1">
        <f t="array" ref="A5:A14">_xlfn._xlws.FILTER(基础资料!$P$5:$P$204,基础资料!$W$5:$W$204="显示","")</f>
        <v>A配件</v>
      </c>
      <c r="B5" t="str">
        <f>IF(A5="","",IFERROR(VLOOKUP(A5,基础资料!$P$5:$R$204,2,FALSE),""))</f>
        <v>A-01</v>
      </c>
      <c r="C5" t="str">
        <f>IF(A5="","",IFERROR(VLOOKUP(A5,基础资料!$P$5:$R$204,3,FALSE),""))</f>
        <v>个</v>
      </c>
      <c r="D5" s="17">
        <f>IF(A5="","",SUMIFS(期初数据!$S$5:$S$14,期初数据!$P$5:$P$14,A5)+SUMIFS(采购录入!$G$4:$G$203,采购录入!$D$4:$D$203,A5,采购录入!$A$4:$A$203,"&lt;"&amp;EOMONTH($B$2,-1)+1)-SUMIFS(销售录入!$G$4:$G$203,销售录入!$D$4:$D$203,A5,销售录入!$A$4:$A$203,"&lt;"&amp;EOMONTH($B$2,-1)+1))</f>
        <v>100</v>
      </c>
      <c r="E5" s="17">
        <f>IF(A5="","",SUMIFS(采购录入!$G$4:$G$203,采购录入!$D$4:$D$203,A5,采购录入!$B$4:$B$203,TEXT($B$2,"yyyy-mm")))</f>
        <v>30</v>
      </c>
      <c r="F5" s="17">
        <f>IF(A5="","",SUMIFS(采购录入!$I$4:$I$203,采购录入!$D$4:$D$203,A5,采购录入!$B$4:$B$203,TEXT($B$2,"yyyy-mm")))</f>
        <v>3000</v>
      </c>
      <c r="G5" s="17">
        <f>IF(A5="","",SUMIFS(销售录入!$G$4:$G$203,销售录入!$D$4:$D$203,A5,销售录入!$B$4:$B$203,TEXT($B$2,"yyyy-mm")))</f>
        <v>20</v>
      </c>
      <c r="H5" s="17">
        <f>IF(A5="","",SUMIFS(销售录入!$K$4:$K$203,销售录入!$D$4:$D$203,A5,销售录入!$B$4:$B$203,TEXT($B$2,"yyyy-mm")))</f>
        <v>2000</v>
      </c>
      <c r="I5" s="17">
        <f t="shared" ref="I5:I68" si="1">IF(A5="","",D5+E5-G5)</f>
        <v>110</v>
      </c>
      <c r="J5" s="17">
        <f>IF(A5="","",SUMIFS(期初数据!$U$5:$U$14,期初数据!$P$5:$P$14,A5)+SUMIFS(采购录入!$I$4:$I$203,采购录入!$D$4:$D$203,A5,采购录入!$A$4:$A$203,"&lt;="&amp;EOMONTH($B$2,0))-SUMIFS(销售录入!$K$4:$K$203,销售录入!$D$4:$D$203,A5,销售录入!$A$4:$A$203,"&lt;="&amp;EOMONTH($B$2,0)))</f>
        <v>11000</v>
      </c>
      <c r="K5" s="17">
        <f t="shared" ref="K5:K68" si="2">IF(A5="","",IFERROR(J5/I5,0))</f>
        <v>100</v>
      </c>
      <c r="L5" s="17">
        <f>IF(A5="","",SUMIFS(销售录入!$I$4:$I$203,销售录入!$D$4:$D$203,A5,销售录入!$B$4:$B$203,TEXT($B$2,"yyyy-mm")))</f>
        <v>4000</v>
      </c>
      <c r="M5" s="17">
        <f t="shared" ref="M5:M68" si="3">IF(A5="","",L5-H5)</f>
        <v>2000</v>
      </c>
      <c r="N5" s="52">
        <f>IF(A5="","",IFERROR(IF(E5=0,0,(F5/E5)/VLOOKUP(A5,基础资料!$P$5:$T$204,5,FALSE)-1),0))</f>
        <v>0</v>
      </c>
      <c r="O5" s="52">
        <f t="shared" ref="O5:O68" si="4">IF(A5="","",IFERROR(M5/L5,0))</f>
        <v>0.5</v>
      </c>
      <c r="P5" t="str">
        <f t="shared" ref="P5:P68" si="5">IF(A5="","",IF(I5&lt;0,"负库存",IF(I5=0,"零库存","正常")))</f>
        <v>正常</v>
      </c>
      <c r="Q5" t="str">
        <f t="shared" ref="Q5:Q68" si="6">IF(A5="","",IF(P5="负库存","高风险",IF(AND(L5&gt;0,O5&lt;0.1),"低毛利",IF(ABS(N5)&gt;0.2,"采购价异常","正常"))))</f>
        <v>正常</v>
      </c>
    </row>
    <row r="6" spans="1:17">
      <c r="A6" t="str">
        <v>B配件</v>
      </c>
      <c r="B6" t="str">
        <f>IF(A6="","",IFERROR(VLOOKUP(A6,基础资料!$P$5:$R$204,2,FALSE),""))</f>
        <v>B-02</v>
      </c>
      <c r="C6" t="str">
        <f>IF(A6="","",IFERROR(VLOOKUP(A6,基础资料!$P$5:$R$204,3,FALSE),""))</f>
        <v>个</v>
      </c>
      <c r="D6" s="17">
        <f>IF(A6="","",SUMIFS(期初数据!$S$5:$S$14,期初数据!$P$5:$P$14,A6)+SUMIFS(采购录入!$G$4:$G$203,采购录入!$D$4:$D$203,A6,采购录入!$A$4:$A$203,"&lt;"&amp;EOMONTH($B$2,-1)+1)-SUMIFS(销售录入!$G$4:$G$203,销售录入!$D$4:$D$203,A6,销售录入!$A$4:$A$203,"&lt;"&amp;EOMONTH($B$2,-1)+1))</f>
        <v>80</v>
      </c>
      <c r="E6" s="17">
        <f>IF(A6="","",SUMIFS(采购录入!$G$4:$G$203,采购录入!$D$4:$D$203,A6,采购录入!$B$4:$B$203,TEXT($B$2,"yyyy-mm")))</f>
        <v>20</v>
      </c>
      <c r="F6" s="17">
        <f>IF(A6="","",SUMIFS(采购录入!$I$4:$I$203,采购录入!$D$4:$D$203,A6,采购录入!$B$4:$B$203,TEXT($B$2,"yyyy-mm")))</f>
        <v>2500</v>
      </c>
      <c r="G6" s="17">
        <f>IF(A6="","",SUMIFS(销售录入!$G$4:$G$203,销售录入!$D$4:$D$203,A6,销售录入!$B$4:$B$203,TEXT($B$2,"yyyy-mm")))</f>
        <v>15</v>
      </c>
      <c r="H6" s="17">
        <f>IF(A6="","",SUMIFS(销售录入!$K$4:$K$203,销售录入!$D$4:$D$203,A6,销售录入!$B$4:$B$203,TEXT($B$2,"yyyy-mm")))</f>
        <v>1875</v>
      </c>
      <c r="I6" s="17">
        <f t="shared" si="1"/>
        <v>85</v>
      </c>
      <c r="J6" s="17">
        <f>IF(A6="","",SUMIFS(期初数据!$U$5:$U$14,期初数据!$P$5:$P$14,A6)+SUMIFS(采购录入!$I$4:$I$203,采购录入!$D$4:$D$203,A6,采购录入!$A$4:$A$203,"&lt;="&amp;EOMONTH($B$2,0))-SUMIFS(销售录入!$K$4:$K$203,销售录入!$D$4:$D$203,A6,销售录入!$A$4:$A$203,"&lt;="&amp;EOMONTH($B$2,0)))</f>
        <v>10625</v>
      </c>
      <c r="K6" s="17">
        <f t="shared" si="2"/>
        <v>125</v>
      </c>
      <c r="L6" s="17">
        <f>IF(A6="","",SUMIFS(销售录入!$I$4:$I$203,销售录入!$D$4:$D$203,A6,销售录入!$B$4:$B$203,TEXT($B$2,"yyyy-mm")))</f>
        <v>3750</v>
      </c>
      <c r="M6" s="17">
        <f t="shared" si="3"/>
        <v>1875</v>
      </c>
      <c r="N6" s="52">
        <f>IF(A6="","",IFERROR(IF(E6=0,0,(F6/E6)/VLOOKUP(A6,基础资料!$P$5:$T$204,5,FALSE)-1),0))</f>
        <v>0</v>
      </c>
      <c r="O6" s="52">
        <f t="shared" si="4"/>
        <v>0.5</v>
      </c>
      <c r="P6" t="str">
        <f t="shared" si="5"/>
        <v>正常</v>
      </c>
      <c r="Q6" t="str">
        <f t="shared" si="6"/>
        <v>正常</v>
      </c>
    </row>
    <row r="7" spans="1:17">
      <c r="A7" t="str">
        <v>C配件</v>
      </c>
      <c r="B7" t="str">
        <f>IF(A7="","",IFERROR(VLOOKUP(A7,基础资料!$P$5:$R$204,2,FALSE),""))</f>
        <v>C-03</v>
      </c>
      <c r="C7" t="str">
        <f>IF(A7="","",IFERROR(VLOOKUP(A7,基础资料!$P$5:$R$204,3,FALSE),""))</f>
        <v>个</v>
      </c>
      <c r="D7" s="17">
        <f>IF(A7="","",SUMIFS(期初数据!$S$5:$S$14,期初数据!$P$5:$P$14,A7)+SUMIFS(采购录入!$G$4:$G$203,采购录入!$D$4:$D$203,A7,采购录入!$A$4:$A$203,"&lt;"&amp;EOMONTH($B$2,-1)+1)-SUMIFS(销售录入!$G$4:$G$203,销售录入!$D$4:$D$203,A7,销售录入!$A$4:$A$203,"&lt;"&amp;EOMONTH($B$2,-1)+1))</f>
        <v>200</v>
      </c>
      <c r="E7" s="17">
        <f>IF(A7="","",SUMIFS(采购录入!$G$4:$G$203,采购录入!$D$4:$D$203,A7,采购录入!$B$4:$B$203,TEXT($B$2,"yyyy-mm")))</f>
        <v>50</v>
      </c>
      <c r="F7" s="17">
        <f>IF(A7="","",SUMIFS(采购录入!$I$4:$I$203,采购录入!$D$4:$D$203,A7,采购录入!$B$4:$B$203,TEXT($B$2,"yyyy-mm")))</f>
        <v>2500</v>
      </c>
      <c r="G7" s="17">
        <f>IF(A7="","",SUMIFS(销售录入!$G$4:$G$203,销售录入!$D$4:$D$203,A7,销售录入!$B$4:$B$203,TEXT($B$2,"yyyy-mm")))</f>
        <v>30</v>
      </c>
      <c r="H7" s="17">
        <f>IF(A7="","",SUMIFS(销售录入!$K$4:$K$203,销售录入!$D$4:$D$203,A7,销售录入!$B$4:$B$203,TEXT($B$2,"yyyy-mm")))</f>
        <v>1500</v>
      </c>
      <c r="I7" s="17">
        <f t="shared" si="1"/>
        <v>220</v>
      </c>
      <c r="J7" s="17">
        <f>IF(A7="","",SUMIFS(期初数据!$U$5:$U$14,期初数据!$P$5:$P$14,A7)+SUMIFS(采购录入!$I$4:$I$203,采购录入!$D$4:$D$203,A7,采购录入!$A$4:$A$203,"&lt;="&amp;EOMONTH($B$2,0))-SUMIFS(销售录入!$K$4:$K$203,销售录入!$D$4:$D$203,A7,销售录入!$A$4:$A$203,"&lt;="&amp;EOMONTH($B$2,0)))</f>
        <v>11000</v>
      </c>
      <c r="K7" s="17">
        <f t="shared" si="2"/>
        <v>50</v>
      </c>
      <c r="L7" s="17">
        <f>IF(A7="","",SUMIFS(销售录入!$I$4:$I$203,销售录入!$D$4:$D$203,A7,销售录入!$B$4:$B$203,TEXT($B$2,"yyyy-mm")))</f>
        <v>3000</v>
      </c>
      <c r="M7" s="17">
        <f t="shared" si="3"/>
        <v>1500</v>
      </c>
      <c r="N7" s="52">
        <f>IF(A7="","",IFERROR(IF(E7=0,0,(F7/E7)/VLOOKUP(A7,基础资料!$P$5:$T$204,5,FALSE)-1),0))</f>
        <v>0</v>
      </c>
      <c r="O7" s="52">
        <f t="shared" si="4"/>
        <v>0.5</v>
      </c>
      <c r="P7" t="str">
        <f t="shared" si="5"/>
        <v>正常</v>
      </c>
      <c r="Q7" t="str">
        <f t="shared" si="6"/>
        <v>正常</v>
      </c>
    </row>
    <row r="8" spans="1:17">
      <c r="A8" t="str">
        <v>D配件</v>
      </c>
      <c r="B8" t="str">
        <f>IF(A8="","",IFERROR(VLOOKUP(A8,基础资料!$P$5:$R$204,2,FALSE),""))</f>
        <v>D-04</v>
      </c>
      <c r="C8" t="str">
        <f>IF(A8="","",IFERROR(VLOOKUP(A8,基础资料!$P$5:$R$204,3,FALSE),""))</f>
        <v>个</v>
      </c>
      <c r="D8" s="17">
        <f>IF(A8="","",SUMIFS(期初数据!$S$5:$S$14,期初数据!$P$5:$P$14,A8)+SUMIFS(采购录入!$G$4:$G$203,采购录入!$D$4:$D$203,A8,采购录入!$A$4:$A$203,"&lt;"&amp;EOMONTH($B$2,-1)+1)-SUMIFS(销售录入!$G$4:$G$203,销售录入!$D$4:$D$203,A8,销售录入!$A$4:$A$203,"&lt;"&amp;EOMONTH($B$2,-1)+1))</f>
        <v>50</v>
      </c>
      <c r="E8" s="17">
        <f>IF(A8="","",SUMIFS(采购录入!$G$4:$G$203,采购录入!$D$4:$D$203,A8,采购录入!$B$4:$B$203,TEXT($B$2,"yyyy-mm")))</f>
        <v>10</v>
      </c>
      <c r="F8" s="17">
        <f>IF(A8="","",SUMIFS(采购录入!$I$4:$I$203,采购录入!$D$4:$D$203,A8,采购录入!$B$4:$B$203,TEXT($B$2,"yyyy-mm")))</f>
        <v>2000</v>
      </c>
      <c r="G8" s="17">
        <f>IF(A8="","",SUMIFS(销售录入!$G$4:$G$203,销售录入!$D$4:$D$203,A8,销售录入!$B$4:$B$203,TEXT($B$2,"yyyy-mm")))</f>
        <v>8</v>
      </c>
      <c r="H8" s="17">
        <f>IF(A8="","",SUMIFS(销售录入!$K$4:$K$203,销售录入!$D$4:$D$203,A8,销售录入!$B$4:$B$203,TEXT($B$2,"yyyy-mm")))</f>
        <v>1600</v>
      </c>
      <c r="I8" s="17">
        <f t="shared" si="1"/>
        <v>52</v>
      </c>
      <c r="J8" s="17">
        <f>IF(A8="","",SUMIFS(期初数据!$U$5:$U$14,期初数据!$P$5:$P$14,A8)+SUMIFS(采购录入!$I$4:$I$203,采购录入!$D$4:$D$203,A8,采购录入!$A$4:$A$203,"&lt;="&amp;EOMONTH($B$2,0))-SUMIFS(销售录入!$K$4:$K$203,销售录入!$D$4:$D$203,A8,销售录入!$A$4:$A$203,"&lt;="&amp;EOMONTH($B$2,0)))</f>
        <v>10400</v>
      </c>
      <c r="K8" s="17">
        <f t="shared" si="2"/>
        <v>200</v>
      </c>
      <c r="L8" s="17">
        <f>IF(A8="","",SUMIFS(销售录入!$I$4:$I$203,销售录入!$D$4:$D$203,A8,销售录入!$B$4:$B$203,TEXT($B$2,"yyyy-mm")))</f>
        <v>3200</v>
      </c>
      <c r="M8" s="17">
        <f t="shared" si="3"/>
        <v>1600</v>
      </c>
      <c r="N8" s="52">
        <f>IF(A8="","",IFERROR(IF(E8=0,0,(F8/E8)/VLOOKUP(A8,基础资料!$P$5:$T$204,5,FALSE)-1),0))</f>
        <v>0</v>
      </c>
      <c r="O8" s="52">
        <f t="shared" si="4"/>
        <v>0.5</v>
      </c>
      <c r="P8" t="str">
        <f t="shared" si="5"/>
        <v>正常</v>
      </c>
      <c r="Q8" t="str">
        <f t="shared" si="6"/>
        <v>正常</v>
      </c>
    </row>
    <row r="9" spans="1:17">
      <c r="A9" t="str">
        <v>E配件</v>
      </c>
      <c r="B9" t="str">
        <f>IF(A9="","",IFERROR(VLOOKUP(A9,基础资料!$P$5:$R$204,2,FALSE),""))</f>
        <v>E-05</v>
      </c>
      <c r="C9" t="str">
        <f>IF(A9="","",IFERROR(VLOOKUP(A9,基础资料!$P$5:$R$204,3,FALSE),""))</f>
        <v>个</v>
      </c>
      <c r="D9" s="17">
        <f>IF(A9="","",SUMIFS(期初数据!$S$5:$S$14,期初数据!$P$5:$P$14,A9)+SUMIFS(采购录入!$G$4:$G$203,采购录入!$D$4:$D$203,A9,采购录入!$A$4:$A$203,"&lt;"&amp;EOMONTH($B$2,-1)+1)-SUMIFS(销售录入!$G$4:$G$203,销售录入!$D$4:$D$203,A9,销售录入!$A$4:$A$203,"&lt;"&amp;EOMONTH($B$2,-1)+1))</f>
        <v>400</v>
      </c>
      <c r="E9" s="17">
        <f>IF(A9="","",SUMIFS(采购录入!$G$4:$G$203,采购录入!$D$4:$D$203,A9,采购录入!$B$4:$B$203,TEXT($B$2,"yyyy-mm")))</f>
        <v>80</v>
      </c>
      <c r="F9" s="17">
        <f>IF(A9="","",SUMIFS(采购录入!$I$4:$I$203,采购录入!$D$4:$D$203,A9,采购录入!$B$4:$B$203,TEXT($B$2,"yyyy-mm")))</f>
        <v>2000</v>
      </c>
      <c r="G9" s="17">
        <f>IF(A9="","",SUMIFS(销售录入!$G$4:$G$203,销售录入!$D$4:$D$203,A9,销售录入!$B$4:$B$203,TEXT($B$2,"yyyy-mm")))</f>
        <v>50</v>
      </c>
      <c r="H9" s="17">
        <f>IF(A9="","",SUMIFS(销售录入!$K$4:$K$203,销售录入!$D$4:$D$203,A9,销售录入!$B$4:$B$203,TEXT($B$2,"yyyy-mm")))</f>
        <v>1250</v>
      </c>
      <c r="I9" s="17">
        <f t="shared" si="1"/>
        <v>430</v>
      </c>
      <c r="J9" s="17">
        <f>IF(A9="","",SUMIFS(期初数据!$U$5:$U$14,期初数据!$P$5:$P$14,A9)+SUMIFS(采购录入!$I$4:$I$203,采购录入!$D$4:$D$203,A9,采购录入!$A$4:$A$203,"&lt;="&amp;EOMONTH($B$2,0))-SUMIFS(销售录入!$K$4:$K$203,销售录入!$D$4:$D$203,A9,销售录入!$A$4:$A$203,"&lt;="&amp;EOMONTH($B$2,0)))</f>
        <v>10750</v>
      </c>
      <c r="K9" s="17">
        <f t="shared" si="2"/>
        <v>25</v>
      </c>
      <c r="L9" s="17">
        <f>IF(A9="","",SUMIFS(销售录入!$I$4:$I$203,销售录入!$D$4:$D$203,A9,销售录入!$B$4:$B$203,TEXT($B$2,"yyyy-mm")))</f>
        <v>2500</v>
      </c>
      <c r="M9" s="17">
        <f t="shared" si="3"/>
        <v>1250</v>
      </c>
      <c r="N9" s="52">
        <f>IF(A9="","",IFERROR(IF(E9=0,0,(F9/E9)/VLOOKUP(A9,基础资料!$P$5:$T$204,5,FALSE)-1),0))</f>
        <v>0</v>
      </c>
      <c r="O9" s="52">
        <f t="shared" si="4"/>
        <v>0.5</v>
      </c>
      <c r="P9" t="str">
        <f t="shared" si="5"/>
        <v>正常</v>
      </c>
      <c r="Q9" t="str">
        <f t="shared" si="6"/>
        <v>正常</v>
      </c>
    </row>
    <row r="10" spans="1:17">
      <c r="A10" t="str">
        <v>F配件</v>
      </c>
      <c r="B10" t="str">
        <f>IF(A10="","",IFERROR(VLOOKUP(A10,基础资料!$P$5:$R$204,2,FALSE),""))</f>
        <v>F-06</v>
      </c>
      <c r="C10" t="str">
        <f>IF(A10="","",IFERROR(VLOOKUP(A10,基础资料!$P$5:$R$204,3,FALSE),""))</f>
        <v>个</v>
      </c>
      <c r="D10" s="17">
        <f>IF(A10="","",SUMIFS(期初数据!$S$5:$S$14,期初数据!$P$5:$P$14,A10)+SUMIFS(采购录入!$G$4:$G$203,采购录入!$D$4:$D$203,A10,采购录入!$A$4:$A$203,"&lt;"&amp;EOMONTH($B$2,-1)+1)-SUMIFS(销售录入!$G$4:$G$203,销售录入!$D$4:$D$203,A10,销售录入!$A$4:$A$203,"&lt;"&amp;EOMONTH($B$2,-1)+1))</f>
        <v>100</v>
      </c>
      <c r="E10" s="17">
        <f>IF(A10="","",SUMIFS(采购录入!$G$4:$G$203,采购录入!$D$4:$D$203,A10,采购录入!$B$4:$B$203,TEXT($B$2,"yyyy-mm")))</f>
        <v>25</v>
      </c>
      <c r="F10" s="17">
        <f>IF(A10="","",SUMIFS(采购录入!$I$4:$I$203,采购录入!$D$4:$D$203,A10,采购录入!$B$4:$B$203,TEXT($B$2,"yyyy-mm")))</f>
        <v>2000</v>
      </c>
      <c r="G10" s="17">
        <f>IF(A10="","",SUMIFS(销售录入!$G$4:$G$203,销售录入!$D$4:$D$203,A10,销售录入!$B$4:$B$203,TEXT($B$2,"yyyy-mm")))</f>
        <v>12</v>
      </c>
      <c r="H10" s="17">
        <f>IF(A10="","",SUMIFS(销售录入!$K$4:$K$203,销售录入!$D$4:$D$203,A10,销售录入!$B$4:$B$203,TEXT($B$2,"yyyy-mm")))</f>
        <v>960</v>
      </c>
      <c r="I10" s="17">
        <f t="shared" si="1"/>
        <v>113</v>
      </c>
      <c r="J10" s="17">
        <f>IF(A10="","",SUMIFS(期初数据!$U$5:$U$14,期初数据!$P$5:$P$14,A10)+SUMIFS(采购录入!$I$4:$I$203,采购录入!$D$4:$D$203,A10,采购录入!$A$4:$A$203,"&lt;="&amp;EOMONTH($B$2,0))-SUMIFS(销售录入!$K$4:$K$203,销售录入!$D$4:$D$203,A10,销售录入!$A$4:$A$203,"&lt;="&amp;EOMONTH($B$2,0)))</f>
        <v>9040</v>
      </c>
      <c r="K10" s="17">
        <f t="shared" si="2"/>
        <v>80</v>
      </c>
      <c r="L10" s="17">
        <f>IF(A10="","",SUMIFS(销售录入!$I$4:$I$203,销售录入!$D$4:$D$203,A10,销售录入!$B$4:$B$203,TEXT($B$2,"yyyy-mm")))</f>
        <v>1920</v>
      </c>
      <c r="M10" s="17">
        <f t="shared" si="3"/>
        <v>960</v>
      </c>
      <c r="N10" s="52">
        <f>IF(A10="","",IFERROR(IF(E10=0,0,(F10/E10)/VLOOKUP(A10,基础资料!$P$5:$T$204,5,FALSE)-1),0))</f>
        <v>0</v>
      </c>
      <c r="O10" s="52">
        <f t="shared" si="4"/>
        <v>0.5</v>
      </c>
      <c r="P10" t="str">
        <f t="shared" si="5"/>
        <v>正常</v>
      </c>
      <c r="Q10" t="str">
        <f t="shared" si="6"/>
        <v>正常</v>
      </c>
    </row>
    <row r="11" spans="1:17">
      <c r="A11" t="str">
        <v>G配件</v>
      </c>
      <c r="B11" t="str">
        <f>IF(A11="","",IFERROR(VLOOKUP(A11,基础资料!$P$5:$R$204,2,FALSE),""))</f>
        <v>G-07</v>
      </c>
      <c r="C11" t="str">
        <f>IF(A11="","",IFERROR(VLOOKUP(A11,基础资料!$P$5:$R$204,3,FALSE),""))</f>
        <v>个</v>
      </c>
      <c r="D11" s="17">
        <f>IF(A11="","",SUMIFS(期初数据!$S$5:$S$14,期初数据!$P$5:$P$14,A11)+SUMIFS(采购录入!$G$4:$G$203,采购录入!$D$4:$D$203,A11,采购录入!$A$4:$A$203,"&lt;"&amp;EOMONTH($B$2,-1)+1)-SUMIFS(销售录入!$G$4:$G$203,销售录入!$D$4:$D$203,A11,销售录入!$A$4:$A$203,"&lt;"&amp;EOMONTH($B$2,-1)+1))</f>
        <v>120</v>
      </c>
      <c r="E11" s="17">
        <f>IF(A11="","",SUMIFS(采购录入!$G$4:$G$203,采购录入!$D$4:$D$203,A11,采购录入!$B$4:$B$203,TEXT($B$2,"yyyy-mm")))</f>
        <v>20</v>
      </c>
      <c r="F11" s="17">
        <f>IF(A11="","",SUMIFS(采购录入!$I$4:$I$203,采购录入!$D$4:$D$203,A11,采购录入!$B$4:$B$203,TEXT($B$2,"yyyy-mm")))</f>
        <v>1500</v>
      </c>
      <c r="G11" s="17">
        <f>IF(A11="","",SUMIFS(销售录入!$G$4:$G$203,销售录入!$D$4:$D$203,A11,销售录入!$B$4:$B$203,TEXT($B$2,"yyyy-mm")))</f>
        <v>15</v>
      </c>
      <c r="H11" s="17">
        <f>IF(A11="","",SUMIFS(销售录入!$K$4:$K$203,销售录入!$D$4:$D$203,A11,销售录入!$B$4:$B$203,TEXT($B$2,"yyyy-mm")))</f>
        <v>1125</v>
      </c>
      <c r="I11" s="17">
        <f t="shared" si="1"/>
        <v>125</v>
      </c>
      <c r="J11" s="17">
        <f>IF(A11="","",SUMIFS(期初数据!$U$5:$U$14,期初数据!$P$5:$P$14,A11)+SUMIFS(采购录入!$I$4:$I$203,采购录入!$D$4:$D$203,A11,采购录入!$A$4:$A$203,"&lt;="&amp;EOMONTH($B$2,0))-SUMIFS(销售录入!$K$4:$K$203,销售录入!$D$4:$D$203,A11,销售录入!$A$4:$A$203,"&lt;="&amp;EOMONTH($B$2,0)))</f>
        <v>9375</v>
      </c>
      <c r="K11" s="17">
        <f t="shared" si="2"/>
        <v>75</v>
      </c>
      <c r="L11" s="17">
        <f>IF(A11="","",SUMIFS(销售录入!$I$4:$I$203,销售录入!$D$4:$D$203,A11,销售录入!$B$4:$B$203,TEXT($B$2,"yyyy-mm")))</f>
        <v>2250</v>
      </c>
      <c r="M11" s="17">
        <f t="shared" si="3"/>
        <v>1125</v>
      </c>
      <c r="N11" s="52">
        <f>IF(A11="","",IFERROR(IF(E11=0,0,(F11/E11)/VLOOKUP(A11,基础资料!$P$5:$T$204,5,FALSE)-1),0))</f>
        <v>0</v>
      </c>
      <c r="O11" s="52">
        <f t="shared" si="4"/>
        <v>0.5</v>
      </c>
      <c r="P11" t="str">
        <f t="shared" si="5"/>
        <v>正常</v>
      </c>
      <c r="Q11" t="str">
        <f t="shared" si="6"/>
        <v>正常</v>
      </c>
    </row>
    <row r="12" spans="1:17">
      <c r="A12" t="str">
        <v>H配件</v>
      </c>
      <c r="B12" t="str">
        <f>IF(A12="","",IFERROR(VLOOKUP(A12,基础资料!$P$5:$R$204,2,FALSE),""))</f>
        <v>H-08</v>
      </c>
      <c r="C12" t="str">
        <f>IF(A12="","",IFERROR(VLOOKUP(A12,基础资料!$P$5:$R$204,3,FALSE),""))</f>
        <v>个</v>
      </c>
      <c r="D12" s="17">
        <f>IF(A12="","",SUMIFS(期初数据!$S$5:$S$14,期初数据!$P$5:$P$14,A12)+SUMIFS(采购录入!$G$4:$G$203,采购录入!$D$4:$D$203,A12,采购录入!$A$4:$A$203,"&lt;"&amp;EOMONTH($B$2,-1)+1)-SUMIFS(销售录入!$G$4:$G$203,销售录入!$D$4:$D$203,A12,销售录入!$A$4:$A$203,"&lt;"&amp;EOMONTH($B$2,-1)+1))</f>
        <v>60</v>
      </c>
      <c r="E12" s="17">
        <f>IF(A12="","",SUMIFS(采购录入!$G$4:$G$203,采购录入!$D$4:$D$203,A12,采购录入!$B$4:$B$203,TEXT($B$2,"yyyy-mm")))</f>
        <v>12</v>
      </c>
      <c r="F12" s="17">
        <f>IF(A12="","",SUMIFS(采购录入!$I$4:$I$203,采购录入!$D$4:$D$203,A12,采购录入!$B$4:$B$203,TEXT($B$2,"yyyy-mm")))</f>
        <v>1800</v>
      </c>
      <c r="G12" s="17">
        <f>IF(A12="","",SUMIFS(销售录入!$G$4:$G$203,销售录入!$D$4:$D$203,A12,销售录入!$B$4:$B$203,TEXT($B$2,"yyyy-mm")))</f>
        <v>6</v>
      </c>
      <c r="H12" s="17">
        <f>IF(A12="","",SUMIFS(销售录入!$K$4:$K$203,销售录入!$D$4:$D$203,A12,销售录入!$B$4:$B$203,TEXT($B$2,"yyyy-mm")))</f>
        <v>900</v>
      </c>
      <c r="I12" s="17">
        <f t="shared" si="1"/>
        <v>66</v>
      </c>
      <c r="J12" s="17">
        <f>IF(A12="","",SUMIFS(期初数据!$U$5:$U$14,期初数据!$P$5:$P$14,A12)+SUMIFS(采购录入!$I$4:$I$203,采购录入!$D$4:$D$203,A12,采购录入!$A$4:$A$203,"&lt;="&amp;EOMONTH($B$2,0))-SUMIFS(销售录入!$K$4:$K$203,销售录入!$D$4:$D$203,A12,销售录入!$A$4:$A$203,"&lt;="&amp;EOMONTH($B$2,0)))</f>
        <v>9900</v>
      </c>
      <c r="K12" s="17">
        <f t="shared" si="2"/>
        <v>150</v>
      </c>
      <c r="L12" s="17">
        <f>IF(A12="","",SUMIFS(销售录入!$I$4:$I$203,销售录入!$D$4:$D$203,A12,销售录入!$B$4:$B$203,TEXT($B$2,"yyyy-mm")))</f>
        <v>1800</v>
      </c>
      <c r="M12" s="17">
        <f t="shared" si="3"/>
        <v>900</v>
      </c>
      <c r="N12" s="52">
        <f>IF(A12="","",IFERROR(IF(E12=0,0,(F12/E12)/VLOOKUP(A12,基础资料!$P$5:$T$204,5,FALSE)-1),0))</f>
        <v>0</v>
      </c>
      <c r="O12" s="52">
        <f t="shared" si="4"/>
        <v>0.5</v>
      </c>
      <c r="P12" t="str">
        <f t="shared" si="5"/>
        <v>正常</v>
      </c>
      <c r="Q12" t="str">
        <f t="shared" si="6"/>
        <v>正常</v>
      </c>
    </row>
    <row r="13" spans="1:17">
      <c r="A13" t="str">
        <v>I配件</v>
      </c>
      <c r="B13" t="str">
        <f>IF(A13="","",IFERROR(VLOOKUP(A13,基础资料!$P$5:$R$204,2,FALSE),""))</f>
        <v>I-09</v>
      </c>
      <c r="C13" t="str">
        <f>IF(A13="","",IFERROR(VLOOKUP(A13,基础资料!$P$5:$R$204,3,FALSE),""))</f>
        <v>个</v>
      </c>
      <c r="D13" s="17">
        <f>IF(A13="","",SUMIFS(期初数据!$S$5:$S$14,期初数据!$P$5:$P$14,A13)+SUMIFS(采购录入!$G$4:$G$203,采购录入!$D$4:$D$203,A13,采购录入!$A$4:$A$203,"&lt;"&amp;EOMONTH($B$2,-1)+1)-SUMIFS(销售录入!$G$4:$G$203,销售录入!$D$4:$D$203,A13,销售录入!$A$4:$A$203,"&lt;"&amp;EOMONTH($B$2,-1)+1))</f>
        <v>300</v>
      </c>
      <c r="E13" s="17">
        <f>IF(A13="","",SUMIFS(采购录入!$G$4:$G$203,采购录入!$D$4:$D$203,A13,采购录入!$B$4:$B$203,TEXT($B$2,"yyyy-mm")))</f>
        <v>40</v>
      </c>
      <c r="F13" s="17">
        <f>IF(A13="","",SUMIFS(采购录入!$I$4:$I$203,采购录入!$D$4:$D$203,A13,采购录入!$B$4:$B$203,TEXT($B$2,"yyyy-mm")))</f>
        <v>1200</v>
      </c>
      <c r="G13" s="17">
        <f>IF(A13="","",SUMIFS(销售录入!$G$4:$G$203,销售录入!$D$4:$D$203,A13,销售录入!$B$4:$B$203,TEXT($B$2,"yyyy-mm")))</f>
        <v>25</v>
      </c>
      <c r="H13" s="17">
        <f>IF(A13="","",SUMIFS(销售录入!$K$4:$K$203,销售录入!$D$4:$D$203,A13,销售录入!$B$4:$B$203,TEXT($B$2,"yyyy-mm")))</f>
        <v>750</v>
      </c>
      <c r="I13" s="17">
        <f t="shared" si="1"/>
        <v>315</v>
      </c>
      <c r="J13" s="17">
        <f>IF(A13="","",SUMIFS(期初数据!$U$5:$U$14,期初数据!$P$5:$P$14,A13)+SUMIFS(采购录入!$I$4:$I$203,采购录入!$D$4:$D$203,A13,采购录入!$A$4:$A$203,"&lt;="&amp;EOMONTH($B$2,0))-SUMIFS(销售录入!$K$4:$K$203,销售录入!$D$4:$D$203,A13,销售录入!$A$4:$A$203,"&lt;="&amp;EOMONTH($B$2,0)))</f>
        <v>9450</v>
      </c>
      <c r="K13" s="17">
        <f t="shared" si="2"/>
        <v>30</v>
      </c>
      <c r="L13" s="17">
        <f>IF(A13="","",SUMIFS(销售录入!$I$4:$I$203,销售录入!$D$4:$D$203,A13,销售录入!$B$4:$B$203,TEXT($B$2,"yyyy-mm")))</f>
        <v>1500</v>
      </c>
      <c r="M13" s="17">
        <f t="shared" si="3"/>
        <v>750</v>
      </c>
      <c r="N13" s="52">
        <f>IF(A13="","",IFERROR(IF(E13=0,0,(F13/E13)/VLOOKUP(A13,基础资料!$P$5:$T$204,5,FALSE)-1),0))</f>
        <v>0</v>
      </c>
      <c r="O13" s="52">
        <f t="shared" si="4"/>
        <v>0.5</v>
      </c>
      <c r="P13" t="str">
        <f t="shared" si="5"/>
        <v>正常</v>
      </c>
      <c r="Q13" t="str">
        <f t="shared" si="6"/>
        <v>正常</v>
      </c>
    </row>
    <row r="14" spans="1:17">
      <c r="A14" t="str">
        <v>J配件</v>
      </c>
      <c r="B14" t="str">
        <f>IF(A14="","",IFERROR(VLOOKUP(A14,基础资料!$P$5:$R$204,2,FALSE),""))</f>
        <v>J-10</v>
      </c>
      <c r="C14" t="str">
        <f>IF(A14="","",IFERROR(VLOOKUP(A14,基础资料!$P$5:$R$204,3,FALSE),""))</f>
        <v>个</v>
      </c>
      <c r="D14" s="17">
        <f>IF(A14="","",SUMIFS(期初数据!$S$5:$S$14,期初数据!$P$5:$P$14,A14)+SUMIFS(采购录入!$G$4:$G$203,采购录入!$D$4:$D$203,A14,采购录入!$A$4:$A$203,"&lt;"&amp;EOMONTH($B$2,-1)+1)-SUMIFS(销售录入!$G$4:$G$203,销售录入!$D$4:$D$203,A14,销售录入!$A$4:$A$203,"&lt;"&amp;EOMONTH($B$2,-1)+1))</f>
        <v>250</v>
      </c>
      <c r="E14" s="17">
        <f>IF(A14="","",SUMIFS(采购录入!$G$4:$G$203,采购录入!$D$4:$D$203,A14,采购录入!$B$4:$B$203,TEXT($B$2,"yyyy-mm")))</f>
        <v>30</v>
      </c>
      <c r="F14" s="17">
        <f>IF(A14="","",SUMIFS(采购录入!$I$4:$I$203,采购录入!$D$4:$D$203,A14,采购录入!$B$4:$B$203,TEXT($B$2,"yyyy-mm")))</f>
        <v>1800</v>
      </c>
      <c r="G14" s="17">
        <f>IF(A14="","",SUMIFS(销售录入!$G$4:$G$203,销售录入!$D$4:$D$203,A14,销售录入!$B$4:$B$203,TEXT($B$2,"yyyy-mm")))</f>
        <v>18</v>
      </c>
      <c r="H14" s="17">
        <f>IF(A14="","",SUMIFS(销售录入!$K$4:$K$203,销售录入!$D$4:$D$203,A14,销售录入!$B$4:$B$203,TEXT($B$2,"yyyy-mm")))</f>
        <v>1080</v>
      </c>
      <c r="I14" s="17">
        <f t="shared" si="1"/>
        <v>262</v>
      </c>
      <c r="J14" s="17">
        <f>IF(A14="","",SUMIFS(期初数据!$U$5:$U$14,期初数据!$P$5:$P$14,A14)+SUMIFS(采购录入!$I$4:$I$203,采购录入!$D$4:$D$203,A14,采购录入!$A$4:$A$203,"&lt;="&amp;EOMONTH($B$2,0))-SUMIFS(销售录入!$K$4:$K$203,销售录入!$D$4:$D$203,A14,销售录入!$A$4:$A$203,"&lt;="&amp;EOMONTH($B$2,0)))</f>
        <v>15720</v>
      </c>
      <c r="K14" s="17">
        <f t="shared" si="2"/>
        <v>60</v>
      </c>
      <c r="L14" s="17">
        <f>IF(A14="","",SUMIFS(销售录入!$I$4:$I$203,销售录入!$D$4:$D$203,A14,销售录入!$B$4:$B$203,TEXT($B$2,"yyyy-mm")))</f>
        <v>2160</v>
      </c>
      <c r="M14" s="17">
        <f t="shared" si="3"/>
        <v>1080</v>
      </c>
      <c r="N14" s="52">
        <f>IF(A14="","",IFERROR(IF(E14=0,0,(F14/E14)/VLOOKUP(A14,基础资料!$P$5:$T$204,5,FALSE)-1),0))</f>
        <v>0</v>
      </c>
      <c r="O14" s="52">
        <f t="shared" si="4"/>
        <v>0.5</v>
      </c>
      <c r="P14" t="str">
        <f t="shared" si="5"/>
        <v>正常</v>
      </c>
      <c r="Q14" t="str">
        <f t="shared" si="6"/>
        <v>正常</v>
      </c>
    </row>
    <row r="15" spans="1:17">
      <c r="B15" t="str">
        <f>IF(A15="","",IFERROR(VLOOKUP(A15,基础资料!$P$5:$R$104,2,FALSE),""))</f>
        <v/>
      </c>
      <c r="C15" t="str">
        <f>IF(A15="","",IFERROR(VLOOKUP(A15,基础资料!$P$5:$R$104,3,FALSE),""))</f>
        <v/>
      </c>
      <c r="D15" s="17" t="str">
        <f>IF(A15="","",SUMIFS(期初数据!$S$5:$S$14,期初数据!$P$5:$P$14,A15)+SUMIFS(采购录入!$G$4:$G$103,采购录入!$D$4:$D$103,A15,采购录入!$A$4:$A$103,"&lt;"&amp;EOMONTH($B$2,-1)+1)-SUMIFS(销售录入!$G$4:$G$103,销售录入!$D$4:$D$103,A15,销售录入!$A$4:$A$103,"&lt;"&amp;EOMONTH($B$2,-1)+1))</f>
        <v/>
      </c>
      <c r="E15" s="17" t="str">
        <f>IF(A15="","",SUMIFS(采购录入!$G$4:$G$103,采购录入!$D$4:$D$103,A15,采购录入!$B$4:$B$103,TEXT($B$2,"yyyy-mm")))</f>
        <v/>
      </c>
      <c r="F15" s="17" t="str">
        <f>IF(A15="","",SUMIFS(采购录入!$I$4:$I$103,采购录入!$D$4:$D$103,A15,采购录入!$B$4:$B$103,TEXT($B$2,"yyyy-mm")))</f>
        <v/>
      </c>
      <c r="G15" s="17" t="str">
        <f>IF(A15="","",SUMIFS(销售录入!$G$4:$G$103,销售录入!$D$4:$D$103,A15,销售录入!$B$4:$B$103,TEXT($B$2,"yyyy-mm")))</f>
        <v/>
      </c>
      <c r="H15" s="17" t="str">
        <f>IF(A15="","",SUMIFS(销售录入!$K$4:$K$103,销售录入!$D$4:$D$103,A15,销售录入!$B$4:$B$103,TEXT($B$2,"yyyy-mm")))</f>
        <v/>
      </c>
      <c r="I15" s="17" t="str">
        <f t="shared" si="1"/>
        <v/>
      </c>
      <c r="J15" s="17" t="str">
        <f>IF(A15="","",SUMIFS(期初数据!$U$5:$U$14,期初数据!$P$5:$P$14,A15)+SUMIFS(采购录入!$I$4:$I$103,采购录入!$D$4:$D$103,A15,采购录入!$A$4:$A$103,"&lt;="&amp;EOMONTH($B$2,0))-SUMIFS(销售录入!$K$4:$K$103,销售录入!$D$4:$D$103,A15,销售录入!$A$4:$A$103,"&lt;="&amp;EOMONTH($B$2,0)))</f>
        <v/>
      </c>
      <c r="K15" s="17" t="str">
        <f t="shared" si="2"/>
        <v/>
      </c>
      <c r="L15" s="17" t="str">
        <f>IF(A15="","",SUMIFS(销售录入!$I$4:$I$103,销售录入!$D$4:$D$103,A15,销售录入!$B$4:$B$103,TEXT($B$2,"yyyy-mm")))</f>
        <v/>
      </c>
      <c r="M15" s="17" t="str">
        <f t="shared" si="3"/>
        <v/>
      </c>
      <c r="N15" s="52" t="str">
        <f>IF(A15="","",IFERROR(IF(E15=0,0,(F15/E15)/VLOOKUP(A15,基础资料!$P$5:$T$104,5,FALSE)-1),0))</f>
        <v/>
      </c>
      <c r="O15" s="52" t="str">
        <f t="shared" si="4"/>
        <v/>
      </c>
      <c r="P15" t="str">
        <f t="shared" si="5"/>
        <v/>
      </c>
      <c r="Q15" t="str">
        <f t="shared" si="6"/>
        <v/>
      </c>
    </row>
    <row r="16" spans="1:17">
      <c r="B16" t="str">
        <f>IF(A16="","",IFERROR(VLOOKUP(A16,基础资料!$P$5:$R$104,2,FALSE),""))</f>
        <v/>
      </c>
      <c r="C16" t="str">
        <f>IF(A16="","",IFERROR(VLOOKUP(A16,基础资料!$P$5:$R$104,3,FALSE),""))</f>
        <v/>
      </c>
      <c r="D16" s="17" t="str">
        <f>IF(A16="","",SUMIFS(期初数据!$S$5:$S$14,期初数据!$P$5:$P$14,A16)+SUMIFS(采购录入!$G$4:$G$103,采购录入!$D$4:$D$103,A16,采购录入!$A$4:$A$103,"&lt;"&amp;EOMONTH($B$2,-1)+1)-SUMIFS(销售录入!$G$4:$G$103,销售录入!$D$4:$D$103,A16,销售录入!$A$4:$A$103,"&lt;"&amp;EOMONTH($B$2,-1)+1))</f>
        <v/>
      </c>
      <c r="E16" s="17" t="str">
        <f>IF(A16="","",SUMIFS(采购录入!$G$4:$G$103,采购录入!$D$4:$D$103,A16,采购录入!$B$4:$B$103,TEXT($B$2,"yyyy-mm")))</f>
        <v/>
      </c>
      <c r="F16" s="17" t="str">
        <f>IF(A16="","",SUMIFS(采购录入!$I$4:$I$103,采购录入!$D$4:$D$103,A16,采购录入!$B$4:$B$103,TEXT($B$2,"yyyy-mm")))</f>
        <v/>
      </c>
      <c r="G16" s="17" t="str">
        <f>IF(A16="","",SUMIFS(销售录入!$G$4:$G$103,销售录入!$D$4:$D$103,A16,销售录入!$B$4:$B$103,TEXT($B$2,"yyyy-mm")))</f>
        <v/>
      </c>
      <c r="H16" s="17" t="str">
        <f>IF(A16="","",SUMIFS(销售录入!$K$4:$K$103,销售录入!$D$4:$D$103,A16,销售录入!$B$4:$B$103,TEXT($B$2,"yyyy-mm")))</f>
        <v/>
      </c>
      <c r="I16" s="17" t="str">
        <f t="shared" si="1"/>
        <v/>
      </c>
      <c r="J16" s="17" t="str">
        <f>IF(A16="","",SUMIFS(期初数据!$U$5:$U$14,期初数据!$P$5:$P$14,A16)+SUMIFS(采购录入!$I$4:$I$103,采购录入!$D$4:$D$103,A16,采购录入!$A$4:$A$103,"&lt;="&amp;EOMONTH($B$2,0))-SUMIFS(销售录入!$K$4:$K$103,销售录入!$D$4:$D$103,A16,销售录入!$A$4:$A$103,"&lt;="&amp;EOMONTH($B$2,0)))</f>
        <v/>
      </c>
      <c r="K16" s="17" t="str">
        <f t="shared" si="2"/>
        <v/>
      </c>
      <c r="L16" s="17" t="str">
        <f>IF(A16="","",SUMIFS(销售录入!$I$4:$I$103,销售录入!$D$4:$D$103,A16,销售录入!$B$4:$B$103,TEXT($B$2,"yyyy-mm")))</f>
        <v/>
      </c>
      <c r="M16" s="17" t="str">
        <f t="shared" si="3"/>
        <v/>
      </c>
      <c r="N16" s="52" t="str">
        <f>IF(A16="","",IFERROR(IF(E16=0,0,(F16/E16)/VLOOKUP(A16,基础资料!$P$5:$T$104,5,FALSE)-1),0))</f>
        <v/>
      </c>
      <c r="O16" s="52" t="str">
        <f t="shared" si="4"/>
        <v/>
      </c>
      <c r="P16" t="str">
        <f t="shared" si="5"/>
        <v/>
      </c>
      <c r="Q16" t="str">
        <f t="shared" si="6"/>
        <v/>
      </c>
    </row>
    <row r="17" spans="2:17">
      <c r="B17" t="str">
        <f>IF(A17="","",IFERROR(VLOOKUP(A17,基础资料!$P$5:$R$104,2,FALSE),""))</f>
        <v/>
      </c>
      <c r="C17" t="str">
        <f>IF(A17="","",IFERROR(VLOOKUP(A17,基础资料!$P$5:$R$104,3,FALSE),""))</f>
        <v/>
      </c>
      <c r="D17" s="17" t="str">
        <f>IF(A17="","",SUMIFS(期初数据!$S$5:$S$14,期初数据!$P$5:$P$14,A17)+SUMIFS(采购录入!$G$4:$G$103,采购录入!$D$4:$D$103,A17,采购录入!$A$4:$A$103,"&lt;"&amp;EOMONTH($B$2,-1)+1)-SUMIFS(销售录入!$G$4:$G$103,销售录入!$D$4:$D$103,A17,销售录入!$A$4:$A$103,"&lt;"&amp;EOMONTH($B$2,-1)+1))</f>
        <v/>
      </c>
      <c r="E17" s="17" t="str">
        <f>IF(A17="","",SUMIFS(采购录入!$G$4:$G$103,采购录入!$D$4:$D$103,A17,采购录入!$B$4:$B$103,TEXT($B$2,"yyyy-mm")))</f>
        <v/>
      </c>
      <c r="F17" s="17" t="str">
        <f>IF(A17="","",SUMIFS(采购录入!$I$4:$I$103,采购录入!$D$4:$D$103,A17,采购录入!$B$4:$B$103,TEXT($B$2,"yyyy-mm")))</f>
        <v/>
      </c>
      <c r="G17" s="17" t="str">
        <f>IF(A17="","",SUMIFS(销售录入!$G$4:$G$103,销售录入!$D$4:$D$103,A17,销售录入!$B$4:$B$103,TEXT($B$2,"yyyy-mm")))</f>
        <v/>
      </c>
      <c r="H17" s="17" t="str">
        <f>IF(A17="","",SUMIFS(销售录入!$K$4:$K$103,销售录入!$D$4:$D$103,A17,销售录入!$B$4:$B$103,TEXT($B$2,"yyyy-mm")))</f>
        <v/>
      </c>
      <c r="I17" s="17" t="str">
        <f t="shared" si="1"/>
        <v/>
      </c>
      <c r="J17" s="17" t="str">
        <f>IF(A17="","",SUMIFS(期初数据!$U$5:$U$14,期初数据!$P$5:$P$14,A17)+SUMIFS(采购录入!$I$4:$I$103,采购录入!$D$4:$D$103,A17,采购录入!$A$4:$A$103,"&lt;="&amp;EOMONTH($B$2,0))-SUMIFS(销售录入!$K$4:$K$103,销售录入!$D$4:$D$103,A17,销售录入!$A$4:$A$103,"&lt;="&amp;EOMONTH($B$2,0)))</f>
        <v/>
      </c>
      <c r="K17" s="17" t="str">
        <f t="shared" si="2"/>
        <v/>
      </c>
      <c r="L17" s="17" t="str">
        <f>IF(A17="","",SUMIFS(销售录入!$I$4:$I$103,销售录入!$D$4:$D$103,A17,销售录入!$B$4:$B$103,TEXT($B$2,"yyyy-mm")))</f>
        <v/>
      </c>
      <c r="M17" s="17" t="str">
        <f t="shared" si="3"/>
        <v/>
      </c>
      <c r="N17" s="52" t="str">
        <f>IF(A17="","",IFERROR(IF(E17=0,0,(F17/E17)/VLOOKUP(A17,基础资料!$P$5:$T$104,5,FALSE)-1),0))</f>
        <v/>
      </c>
      <c r="O17" s="52" t="str">
        <f t="shared" si="4"/>
        <v/>
      </c>
      <c r="P17" t="str">
        <f t="shared" si="5"/>
        <v/>
      </c>
      <c r="Q17" t="str">
        <f t="shared" si="6"/>
        <v/>
      </c>
    </row>
    <row r="18" spans="2:17">
      <c r="B18" t="str">
        <f>IF(A18="","",IFERROR(VLOOKUP(A18,基础资料!$P$5:$R$104,2,FALSE),""))</f>
        <v/>
      </c>
      <c r="C18" t="str">
        <f>IF(A18="","",IFERROR(VLOOKUP(A18,基础资料!$P$5:$R$104,3,FALSE),""))</f>
        <v/>
      </c>
      <c r="D18" s="17" t="str">
        <f>IF(A18="","",SUMIFS(期初数据!$S$5:$S$14,期初数据!$P$5:$P$14,A18)+SUMIFS(采购录入!$G$4:$G$103,采购录入!$D$4:$D$103,A18,采购录入!$A$4:$A$103,"&lt;"&amp;EOMONTH($B$2,-1)+1)-SUMIFS(销售录入!$G$4:$G$103,销售录入!$D$4:$D$103,A18,销售录入!$A$4:$A$103,"&lt;"&amp;EOMONTH($B$2,-1)+1))</f>
        <v/>
      </c>
      <c r="E18" s="17" t="str">
        <f>IF(A18="","",SUMIFS(采购录入!$G$4:$G$103,采购录入!$D$4:$D$103,A18,采购录入!$B$4:$B$103,TEXT($B$2,"yyyy-mm")))</f>
        <v/>
      </c>
      <c r="F18" s="17" t="str">
        <f>IF(A18="","",SUMIFS(采购录入!$I$4:$I$103,采购录入!$D$4:$D$103,A18,采购录入!$B$4:$B$103,TEXT($B$2,"yyyy-mm")))</f>
        <v/>
      </c>
      <c r="G18" s="17" t="str">
        <f>IF(A18="","",SUMIFS(销售录入!$G$4:$G$103,销售录入!$D$4:$D$103,A18,销售录入!$B$4:$B$103,TEXT($B$2,"yyyy-mm")))</f>
        <v/>
      </c>
      <c r="H18" s="17" t="str">
        <f>IF(A18="","",SUMIFS(销售录入!$K$4:$K$103,销售录入!$D$4:$D$103,A18,销售录入!$B$4:$B$103,TEXT($B$2,"yyyy-mm")))</f>
        <v/>
      </c>
      <c r="I18" s="17" t="str">
        <f t="shared" si="1"/>
        <v/>
      </c>
      <c r="J18" s="17" t="str">
        <f>IF(A18="","",SUMIFS(期初数据!$U$5:$U$14,期初数据!$P$5:$P$14,A18)+SUMIFS(采购录入!$I$4:$I$103,采购录入!$D$4:$D$103,A18,采购录入!$A$4:$A$103,"&lt;="&amp;EOMONTH($B$2,0))-SUMIFS(销售录入!$K$4:$K$103,销售录入!$D$4:$D$103,A18,销售录入!$A$4:$A$103,"&lt;="&amp;EOMONTH($B$2,0)))</f>
        <v/>
      </c>
      <c r="K18" s="17" t="str">
        <f t="shared" si="2"/>
        <v/>
      </c>
      <c r="L18" s="17" t="str">
        <f>IF(A18="","",SUMIFS(销售录入!$I$4:$I$103,销售录入!$D$4:$D$103,A18,销售录入!$B$4:$B$103,TEXT($B$2,"yyyy-mm")))</f>
        <v/>
      </c>
      <c r="M18" s="17" t="str">
        <f t="shared" si="3"/>
        <v/>
      </c>
      <c r="N18" s="52" t="str">
        <f>IF(A18="","",IFERROR(IF(E18=0,0,(F18/E18)/VLOOKUP(A18,基础资料!$P$5:$T$104,5,FALSE)-1),0))</f>
        <v/>
      </c>
      <c r="O18" s="52" t="str">
        <f t="shared" si="4"/>
        <v/>
      </c>
      <c r="P18" t="str">
        <f t="shared" si="5"/>
        <v/>
      </c>
      <c r="Q18" t="str">
        <f t="shared" si="6"/>
        <v/>
      </c>
    </row>
    <row r="19" spans="2:17">
      <c r="B19" t="str">
        <f>IF(A19="","",IFERROR(VLOOKUP(A19,基础资料!$P$5:$R$104,2,FALSE),""))</f>
        <v/>
      </c>
      <c r="C19" t="str">
        <f>IF(A19="","",IFERROR(VLOOKUP(A19,基础资料!$P$5:$R$104,3,FALSE),""))</f>
        <v/>
      </c>
      <c r="D19" s="17" t="str">
        <f>IF(A19="","",SUMIFS(期初数据!$S$5:$S$14,期初数据!$P$5:$P$14,A19)+SUMIFS(采购录入!$G$4:$G$103,采购录入!$D$4:$D$103,A19,采购录入!$A$4:$A$103,"&lt;"&amp;EOMONTH($B$2,-1)+1)-SUMIFS(销售录入!$G$4:$G$103,销售录入!$D$4:$D$103,A19,销售录入!$A$4:$A$103,"&lt;"&amp;EOMONTH($B$2,-1)+1))</f>
        <v/>
      </c>
      <c r="E19" s="17" t="str">
        <f>IF(A19="","",SUMIFS(采购录入!$G$4:$G$103,采购录入!$D$4:$D$103,A19,采购录入!$B$4:$B$103,TEXT($B$2,"yyyy-mm")))</f>
        <v/>
      </c>
      <c r="F19" s="17" t="str">
        <f>IF(A19="","",SUMIFS(采购录入!$I$4:$I$103,采购录入!$D$4:$D$103,A19,采购录入!$B$4:$B$103,TEXT($B$2,"yyyy-mm")))</f>
        <v/>
      </c>
      <c r="G19" s="17" t="str">
        <f>IF(A19="","",SUMIFS(销售录入!$G$4:$G$103,销售录入!$D$4:$D$103,A19,销售录入!$B$4:$B$103,TEXT($B$2,"yyyy-mm")))</f>
        <v/>
      </c>
      <c r="H19" s="17" t="str">
        <f>IF(A19="","",SUMIFS(销售录入!$K$4:$K$103,销售录入!$D$4:$D$103,A19,销售录入!$B$4:$B$103,TEXT($B$2,"yyyy-mm")))</f>
        <v/>
      </c>
      <c r="I19" s="17" t="str">
        <f t="shared" si="1"/>
        <v/>
      </c>
      <c r="J19" s="17" t="str">
        <f>IF(A19="","",SUMIFS(期初数据!$U$5:$U$14,期初数据!$P$5:$P$14,A19)+SUMIFS(采购录入!$I$4:$I$103,采购录入!$D$4:$D$103,A19,采购录入!$A$4:$A$103,"&lt;="&amp;EOMONTH($B$2,0))-SUMIFS(销售录入!$K$4:$K$103,销售录入!$D$4:$D$103,A19,销售录入!$A$4:$A$103,"&lt;="&amp;EOMONTH($B$2,0)))</f>
        <v/>
      </c>
      <c r="K19" s="17" t="str">
        <f t="shared" si="2"/>
        <v/>
      </c>
      <c r="L19" s="17" t="str">
        <f>IF(A19="","",SUMIFS(销售录入!$I$4:$I$103,销售录入!$D$4:$D$103,A19,销售录入!$B$4:$B$103,TEXT($B$2,"yyyy-mm")))</f>
        <v/>
      </c>
      <c r="M19" s="17" t="str">
        <f t="shared" si="3"/>
        <v/>
      </c>
      <c r="N19" s="52" t="str">
        <f>IF(A19="","",IFERROR(IF(E19=0,0,(F19/E19)/VLOOKUP(A19,基础资料!$P$5:$T$104,5,FALSE)-1),0))</f>
        <v/>
      </c>
      <c r="O19" s="52" t="str">
        <f t="shared" si="4"/>
        <v/>
      </c>
      <c r="P19" t="str">
        <f t="shared" si="5"/>
        <v/>
      </c>
      <c r="Q19" t="str">
        <f t="shared" si="6"/>
        <v/>
      </c>
    </row>
    <row r="20" spans="2:17">
      <c r="B20" t="str">
        <f>IF(A20="","",IFERROR(VLOOKUP(A20,基础资料!$P$5:$R$104,2,FALSE),""))</f>
        <v/>
      </c>
      <c r="C20" t="str">
        <f>IF(A20="","",IFERROR(VLOOKUP(A20,基础资料!$P$5:$R$104,3,FALSE),""))</f>
        <v/>
      </c>
      <c r="D20" s="17" t="str">
        <f>IF(A20="","",SUMIFS(期初数据!$S$5:$S$14,期初数据!$P$5:$P$14,A20)+SUMIFS(采购录入!$G$4:$G$103,采购录入!$D$4:$D$103,A20,采购录入!$A$4:$A$103,"&lt;"&amp;EOMONTH($B$2,-1)+1)-SUMIFS(销售录入!$G$4:$G$103,销售录入!$D$4:$D$103,A20,销售录入!$A$4:$A$103,"&lt;"&amp;EOMONTH($B$2,-1)+1))</f>
        <v/>
      </c>
      <c r="E20" s="17" t="str">
        <f>IF(A20="","",SUMIFS(采购录入!$G$4:$G$103,采购录入!$D$4:$D$103,A20,采购录入!$B$4:$B$103,TEXT($B$2,"yyyy-mm")))</f>
        <v/>
      </c>
      <c r="F20" s="17" t="str">
        <f>IF(A20="","",SUMIFS(采购录入!$I$4:$I$103,采购录入!$D$4:$D$103,A20,采购录入!$B$4:$B$103,TEXT($B$2,"yyyy-mm")))</f>
        <v/>
      </c>
      <c r="G20" s="17" t="str">
        <f>IF(A20="","",SUMIFS(销售录入!$G$4:$G$103,销售录入!$D$4:$D$103,A20,销售录入!$B$4:$B$103,TEXT($B$2,"yyyy-mm")))</f>
        <v/>
      </c>
      <c r="H20" s="17" t="str">
        <f>IF(A20="","",SUMIFS(销售录入!$K$4:$K$103,销售录入!$D$4:$D$103,A20,销售录入!$B$4:$B$103,TEXT($B$2,"yyyy-mm")))</f>
        <v/>
      </c>
      <c r="I20" s="17" t="str">
        <f t="shared" si="1"/>
        <v/>
      </c>
      <c r="J20" s="17" t="str">
        <f>IF(A20="","",SUMIFS(期初数据!$U$5:$U$14,期初数据!$P$5:$P$14,A20)+SUMIFS(采购录入!$I$4:$I$103,采购录入!$D$4:$D$103,A20,采购录入!$A$4:$A$103,"&lt;="&amp;EOMONTH($B$2,0))-SUMIFS(销售录入!$K$4:$K$103,销售录入!$D$4:$D$103,A20,销售录入!$A$4:$A$103,"&lt;="&amp;EOMONTH($B$2,0)))</f>
        <v/>
      </c>
      <c r="K20" s="17" t="str">
        <f t="shared" si="2"/>
        <v/>
      </c>
      <c r="L20" s="17" t="str">
        <f>IF(A20="","",SUMIFS(销售录入!$I$4:$I$103,销售录入!$D$4:$D$103,A20,销售录入!$B$4:$B$103,TEXT($B$2,"yyyy-mm")))</f>
        <v/>
      </c>
      <c r="M20" s="17" t="str">
        <f t="shared" si="3"/>
        <v/>
      </c>
      <c r="N20" s="52" t="str">
        <f>IF(A20="","",IFERROR(IF(E20=0,0,(F20/E20)/VLOOKUP(A20,基础资料!$P$5:$T$104,5,FALSE)-1),0))</f>
        <v/>
      </c>
      <c r="O20" s="52" t="str">
        <f t="shared" si="4"/>
        <v/>
      </c>
      <c r="P20" t="str">
        <f t="shared" si="5"/>
        <v/>
      </c>
      <c r="Q20" t="str">
        <f t="shared" si="6"/>
        <v/>
      </c>
    </row>
    <row r="21" spans="2:17">
      <c r="B21" t="str">
        <f>IF(A21="","",IFERROR(VLOOKUP(A21,基础资料!$P$5:$R$104,2,FALSE),""))</f>
        <v/>
      </c>
      <c r="C21" t="str">
        <f>IF(A21="","",IFERROR(VLOOKUP(A21,基础资料!$P$5:$R$104,3,FALSE),""))</f>
        <v/>
      </c>
      <c r="D21" s="17" t="str">
        <f>IF(A21="","",SUMIFS(期初数据!$S$5:$S$14,期初数据!$P$5:$P$14,A21)+SUMIFS(采购录入!$G$4:$G$103,采购录入!$D$4:$D$103,A21,采购录入!$A$4:$A$103,"&lt;"&amp;EOMONTH($B$2,-1)+1)-SUMIFS(销售录入!$G$4:$G$103,销售录入!$D$4:$D$103,A21,销售录入!$A$4:$A$103,"&lt;"&amp;EOMONTH($B$2,-1)+1))</f>
        <v/>
      </c>
      <c r="E21" s="17" t="str">
        <f>IF(A21="","",SUMIFS(采购录入!$G$4:$G$103,采购录入!$D$4:$D$103,A21,采购录入!$B$4:$B$103,TEXT($B$2,"yyyy-mm")))</f>
        <v/>
      </c>
      <c r="F21" s="17" t="str">
        <f>IF(A21="","",SUMIFS(采购录入!$I$4:$I$103,采购录入!$D$4:$D$103,A21,采购录入!$B$4:$B$103,TEXT($B$2,"yyyy-mm")))</f>
        <v/>
      </c>
      <c r="G21" s="17" t="str">
        <f>IF(A21="","",SUMIFS(销售录入!$G$4:$G$103,销售录入!$D$4:$D$103,A21,销售录入!$B$4:$B$103,TEXT($B$2,"yyyy-mm")))</f>
        <v/>
      </c>
      <c r="H21" s="17" t="str">
        <f>IF(A21="","",SUMIFS(销售录入!$K$4:$K$103,销售录入!$D$4:$D$103,A21,销售录入!$B$4:$B$103,TEXT($B$2,"yyyy-mm")))</f>
        <v/>
      </c>
      <c r="I21" s="17" t="str">
        <f t="shared" si="1"/>
        <v/>
      </c>
      <c r="J21" s="17" t="str">
        <f>IF(A21="","",SUMIFS(期初数据!$U$5:$U$14,期初数据!$P$5:$P$14,A21)+SUMIFS(采购录入!$I$4:$I$103,采购录入!$D$4:$D$103,A21,采购录入!$A$4:$A$103,"&lt;="&amp;EOMONTH($B$2,0))-SUMIFS(销售录入!$K$4:$K$103,销售录入!$D$4:$D$103,A21,销售录入!$A$4:$A$103,"&lt;="&amp;EOMONTH($B$2,0)))</f>
        <v/>
      </c>
      <c r="K21" s="17" t="str">
        <f t="shared" si="2"/>
        <v/>
      </c>
      <c r="L21" s="17" t="str">
        <f>IF(A21="","",SUMIFS(销售录入!$I$4:$I$103,销售录入!$D$4:$D$103,A21,销售录入!$B$4:$B$103,TEXT($B$2,"yyyy-mm")))</f>
        <v/>
      </c>
      <c r="M21" s="17" t="str">
        <f t="shared" si="3"/>
        <v/>
      </c>
      <c r="N21" s="52" t="str">
        <f>IF(A21="","",IFERROR(IF(E21=0,0,(F21/E21)/VLOOKUP(A21,基础资料!$P$5:$T$104,5,FALSE)-1),0))</f>
        <v/>
      </c>
      <c r="O21" s="52" t="str">
        <f t="shared" si="4"/>
        <v/>
      </c>
      <c r="P21" t="str">
        <f t="shared" si="5"/>
        <v/>
      </c>
      <c r="Q21" t="str">
        <f t="shared" si="6"/>
        <v/>
      </c>
    </row>
    <row r="22" spans="2:17">
      <c r="B22" t="str">
        <f>IF(A22="","",IFERROR(VLOOKUP(A22,基础资料!$P$5:$R$104,2,FALSE),""))</f>
        <v/>
      </c>
      <c r="C22" t="str">
        <f>IF(A22="","",IFERROR(VLOOKUP(A22,基础资料!$P$5:$R$104,3,FALSE),""))</f>
        <v/>
      </c>
      <c r="D22" s="17" t="str">
        <f>IF(A22="","",SUMIFS(期初数据!$S$5:$S$14,期初数据!$P$5:$P$14,A22)+SUMIFS(采购录入!$G$4:$G$103,采购录入!$D$4:$D$103,A22,采购录入!$A$4:$A$103,"&lt;"&amp;EOMONTH($B$2,-1)+1)-SUMIFS(销售录入!$G$4:$G$103,销售录入!$D$4:$D$103,A22,销售录入!$A$4:$A$103,"&lt;"&amp;EOMONTH($B$2,-1)+1))</f>
        <v/>
      </c>
      <c r="E22" s="17" t="str">
        <f>IF(A22="","",SUMIFS(采购录入!$G$4:$G$103,采购录入!$D$4:$D$103,A22,采购录入!$B$4:$B$103,TEXT($B$2,"yyyy-mm")))</f>
        <v/>
      </c>
      <c r="F22" s="17" t="str">
        <f>IF(A22="","",SUMIFS(采购录入!$I$4:$I$103,采购录入!$D$4:$D$103,A22,采购录入!$B$4:$B$103,TEXT($B$2,"yyyy-mm")))</f>
        <v/>
      </c>
      <c r="G22" s="17" t="str">
        <f>IF(A22="","",SUMIFS(销售录入!$G$4:$G$103,销售录入!$D$4:$D$103,A22,销售录入!$B$4:$B$103,TEXT($B$2,"yyyy-mm")))</f>
        <v/>
      </c>
      <c r="H22" s="17" t="str">
        <f>IF(A22="","",SUMIFS(销售录入!$K$4:$K$103,销售录入!$D$4:$D$103,A22,销售录入!$B$4:$B$103,TEXT($B$2,"yyyy-mm")))</f>
        <v/>
      </c>
      <c r="I22" s="17" t="str">
        <f t="shared" si="1"/>
        <v/>
      </c>
      <c r="J22" s="17" t="str">
        <f>IF(A22="","",SUMIFS(期初数据!$U$5:$U$14,期初数据!$P$5:$P$14,A22)+SUMIFS(采购录入!$I$4:$I$103,采购录入!$D$4:$D$103,A22,采购录入!$A$4:$A$103,"&lt;="&amp;EOMONTH($B$2,0))-SUMIFS(销售录入!$K$4:$K$103,销售录入!$D$4:$D$103,A22,销售录入!$A$4:$A$103,"&lt;="&amp;EOMONTH($B$2,0)))</f>
        <v/>
      </c>
      <c r="K22" s="17" t="str">
        <f t="shared" si="2"/>
        <v/>
      </c>
      <c r="L22" s="17" t="str">
        <f>IF(A22="","",SUMIFS(销售录入!$I$4:$I$103,销售录入!$D$4:$D$103,A22,销售录入!$B$4:$B$103,TEXT($B$2,"yyyy-mm")))</f>
        <v/>
      </c>
      <c r="M22" s="17" t="str">
        <f t="shared" si="3"/>
        <v/>
      </c>
      <c r="N22" s="52" t="str">
        <f>IF(A22="","",IFERROR(IF(E22=0,0,(F22/E22)/VLOOKUP(A22,基础资料!$P$5:$T$104,5,FALSE)-1),0))</f>
        <v/>
      </c>
      <c r="O22" s="52" t="str">
        <f t="shared" si="4"/>
        <v/>
      </c>
      <c r="P22" t="str">
        <f t="shared" si="5"/>
        <v/>
      </c>
      <c r="Q22" t="str">
        <f t="shared" si="6"/>
        <v/>
      </c>
    </row>
    <row r="23" spans="2:17">
      <c r="B23" t="str">
        <f>IF(A23="","",IFERROR(VLOOKUP(A23,基础资料!$P$5:$R$104,2,FALSE),""))</f>
        <v/>
      </c>
      <c r="C23" t="str">
        <f>IF(A23="","",IFERROR(VLOOKUP(A23,基础资料!$P$5:$R$104,3,FALSE),""))</f>
        <v/>
      </c>
      <c r="D23" s="17" t="str">
        <f>IF(A23="","",SUMIFS(期初数据!$S$5:$S$14,期初数据!$P$5:$P$14,A23)+SUMIFS(采购录入!$G$4:$G$103,采购录入!$D$4:$D$103,A23,采购录入!$A$4:$A$103,"&lt;"&amp;EOMONTH($B$2,-1)+1)-SUMIFS(销售录入!$G$4:$G$103,销售录入!$D$4:$D$103,A23,销售录入!$A$4:$A$103,"&lt;"&amp;EOMONTH($B$2,-1)+1))</f>
        <v/>
      </c>
      <c r="E23" s="17" t="str">
        <f>IF(A23="","",SUMIFS(采购录入!$G$4:$G$103,采购录入!$D$4:$D$103,A23,采购录入!$B$4:$B$103,TEXT($B$2,"yyyy-mm")))</f>
        <v/>
      </c>
      <c r="F23" s="17" t="str">
        <f>IF(A23="","",SUMIFS(采购录入!$I$4:$I$103,采购录入!$D$4:$D$103,A23,采购录入!$B$4:$B$103,TEXT($B$2,"yyyy-mm")))</f>
        <v/>
      </c>
      <c r="G23" s="17" t="str">
        <f>IF(A23="","",SUMIFS(销售录入!$G$4:$G$103,销售录入!$D$4:$D$103,A23,销售录入!$B$4:$B$103,TEXT($B$2,"yyyy-mm")))</f>
        <v/>
      </c>
      <c r="H23" s="17" t="str">
        <f>IF(A23="","",SUMIFS(销售录入!$K$4:$K$103,销售录入!$D$4:$D$103,A23,销售录入!$B$4:$B$103,TEXT($B$2,"yyyy-mm")))</f>
        <v/>
      </c>
      <c r="I23" s="17" t="str">
        <f t="shared" si="1"/>
        <v/>
      </c>
      <c r="J23" s="17" t="str">
        <f>IF(A23="","",SUMIFS(期初数据!$U$5:$U$14,期初数据!$P$5:$P$14,A23)+SUMIFS(采购录入!$I$4:$I$103,采购录入!$D$4:$D$103,A23,采购录入!$A$4:$A$103,"&lt;="&amp;EOMONTH($B$2,0))-SUMIFS(销售录入!$K$4:$K$103,销售录入!$D$4:$D$103,A23,销售录入!$A$4:$A$103,"&lt;="&amp;EOMONTH($B$2,0)))</f>
        <v/>
      </c>
      <c r="K23" s="17" t="str">
        <f t="shared" si="2"/>
        <v/>
      </c>
      <c r="L23" s="17" t="str">
        <f>IF(A23="","",SUMIFS(销售录入!$I$4:$I$103,销售录入!$D$4:$D$103,A23,销售录入!$B$4:$B$103,TEXT($B$2,"yyyy-mm")))</f>
        <v/>
      </c>
      <c r="M23" s="17" t="str">
        <f t="shared" si="3"/>
        <v/>
      </c>
      <c r="N23" s="52" t="str">
        <f>IF(A23="","",IFERROR(IF(E23=0,0,(F23/E23)/VLOOKUP(A23,基础资料!$P$5:$T$104,5,FALSE)-1),0))</f>
        <v/>
      </c>
      <c r="O23" s="52" t="str">
        <f t="shared" si="4"/>
        <v/>
      </c>
      <c r="P23" t="str">
        <f t="shared" si="5"/>
        <v/>
      </c>
      <c r="Q23" t="str">
        <f t="shared" si="6"/>
        <v/>
      </c>
    </row>
    <row r="24" spans="2:17">
      <c r="B24" t="str">
        <f>IF(A24="","",IFERROR(VLOOKUP(A24,基础资料!$P$5:$R$104,2,FALSE),""))</f>
        <v/>
      </c>
      <c r="C24" t="str">
        <f>IF(A24="","",IFERROR(VLOOKUP(A24,基础资料!$P$5:$R$104,3,FALSE),""))</f>
        <v/>
      </c>
      <c r="D24" s="17" t="str">
        <f>IF(A24="","",SUMIFS(期初数据!$S$5:$S$14,期初数据!$P$5:$P$14,A24)+SUMIFS(采购录入!$G$4:$G$103,采购录入!$D$4:$D$103,A24,采购录入!$A$4:$A$103,"&lt;"&amp;EOMONTH($B$2,-1)+1)-SUMIFS(销售录入!$G$4:$G$103,销售录入!$D$4:$D$103,A24,销售录入!$A$4:$A$103,"&lt;"&amp;EOMONTH($B$2,-1)+1))</f>
        <v/>
      </c>
      <c r="E24" s="17" t="str">
        <f>IF(A24="","",SUMIFS(采购录入!$G$4:$G$103,采购录入!$D$4:$D$103,A24,采购录入!$B$4:$B$103,TEXT($B$2,"yyyy-mm")))</f>
        <v/>
      </c>
      <c r="F24" s="17" t="str">
        <f>IF(A24="","",SUMIFS(采购录入!$I$4:$I$103,采购录入!$D$4:$D$103,A24,采购录入!$B$4:$B$103,TEXT($B$2,"yyyy-mm")))</f>
        <v/>
      </c>
      <c r="G24" s="17" t="str">
        <f>IF(A24="","",SUMIFS(销售录入!$G$4:$G$103,销售录入!$D$4:$D$103,A24,销售录入!$B$4:$B$103,TEXT($B$2,"yyyy-mm")))</f>
        <v/>
      </c>
      <c r="H24" s="17" t="str">
        <f>IF(A24="","",SUMIFS(销售录入!$K$4:$K$103,销售录入!$D$4:$D$103,A24,销售录入!$B$4:$B$103,TEXT($B$2,"yyyy-mm")))</f>
        <v/>
      </c>
      <c r="I24" s="17" t="str">
        <f t="shared" si="1"/>
        <v/>
      </c>
      <c r="J24" s="17" t="str">
        <f>IF(A24="","",SUMIFS(期初数据!$U$5:$U$14,期初数据!$P$5:$P$14,A24)+SUMIFS(采购录入!$I$4:$I$103,采购录入!$D$4:$D$103,A24,采购录入!$A$4:$A$103,"&lt;="&amp;EOMONTH($B$2,0))-SUMIFS(销售录入!$K$4:$K$103,销售录入!$D$4:$D$103,A24,销售录入!$A$4:$A$103,"&lt;="&amp;EOMONTH($B$2,0)))</f>
        <v/>
      </c>
      <c r="K24" s="17" t="str">
        <f t="shared" si="2"/>
        <v/>
      </c>
      <c r="L24" s="17" t="str">
        <f>IF(A24="","",SUMIFS(销售录入!$I$4:$I$103,销售录入!$D$4:$D$103,A24,销售录入!$B$4:$B$103,TEXT($B$2,"yyyy-mm")))</f>
        <v/>
      </c>
      <c r="M24" s="17" t="str">
        <f t="shared" si="3"/>
        <v/>
      </c>
      <c r="N24" s="52" t="str">
        <f>IF(A24="","",IFERROR(IF(E24=0,0,(F24/E24)/VLOOKUP(A24,基础资料!$P$5:$T$104,5,FALSE)-1),0))</f>
        <v/>
      </c>
      <c r="O24" s="52" t="str">
        <f t="shared" si="4"/>
        <v/>
      </c>
      <c r="P24" t="str">
        <f t="shared" si="5"/>
        <v/>
      </c>
      <c r="Q24" t="str">
        <f t="shared" si="6"/>
        <v/>
      </c>
    </row>
    <row r="25" spans="2:17">
      <c r="B25" t="str">
        <f>IF(A25="","",IFERROR(VLOOKUP(A25,基础资料!$P$5:$R$104,2,FALSE),""))</f>
        <v/>
      </c>
      <c r="C25" t="str">
        <f>IF(A25="","",IFERROR(VLOOKUP(A25,基础资料!$P$5:$R$104,3,FALSE),""))</f>
        <v/>
      </c>
      <c r="D25" s="17" t="str">
        <f>IF(A25="","",SUMIFS(期初数据!$S$5:$S$14,期初数据!$P$5:$P$14,A25)+SUMIFS(采购录入!$G$4:$G$103,采购录入!$D$4:$D$103,A25,采购录入!$A$4:$A$103,"&lt;"&amp;EOMONTH($B$2,-1)+1)-SUMIFS(销售录入!$G$4:$G$103,销售录入!$D$4:$D$103,A25,销售录入!$A$4:$A$103,"&lt;"&amp;EOMONTH($B$2,-1)+1))</f>
        <v/>
      </c>
      <c r="E25" s="17" t="str">
        <f>IF(A25="","",SUMIFS(采购录入!$G$4:$G$103,采购录入!$D$4:$D$103,A25,采购录入!$B$4:$B$103,TEXT($B$2,"yyyy-mm")))</f>
        <v/>
      </c>
      <c r="F25" s="17" t="str">
        <f>IF(A25="","",SUMIFS(采购录入!$I$4:$I$103,采购录入!$D$4:$D$103,A25,采购录入!$B$4:$B$103,TEXT($B$2,"yyyy-mm")))</f>
        <v/>
      </c>
      <c r="G25" s="17" t="str">
        <f>IF(A25="","",SUMIFS(销售录入!$G$4:$G$103,销售录入!$D$4:$D$103,A25,销售录入!$B$4:$B$103,TEXT($B$2,"yyyy-mm")))</f>
        <v/>
      </c>
      <c r="H25" s="17" t="str">
        <f>IF(A25="","",SUMIFS(销售录入!$K$4:$K$103,销售录入!$D$4:$D$103,A25,销售录入!$B$4:$B$103,TEXT($B$2,"yyyy-mm")))</f>
        <v/>
      </c>
      <c r="I25" s="17" t="str">
        <f t="shared" si="1"/>
        <v/>
      </c>
      <c r="J25" s="17" t="str">
        <f>IF(A25="","",SUMIFS(期初数据!$U$5:$U$14,期初数据!$P$5:$P$14,A25)+SUMIFS(采购录入!$I$4:$I$103,采购录入!$D$4:$D$103,A25,采购录入!$A$4:$A$103,"&lt;="&amp;EOMONTH($B$2,0))-SUMIFS(销售录入!$K$4:$K$103,销售录入!$D$4:$D$103,A25,销售录入!$A$4:$A$103,"&lt;="&amp;EOMONTH($B$2,0)))</f>
        <v/>
      </c>
      <c r="K25" s="17" t="str">
        <f t="shared" si="2"/>
        <v/>
      </c>
      <c r="L25" s="17" t="str">
        <f>IF(A25="","",SUMIFS(销售录入!$I$4:$I$103,销售录入!$D$4:$D$103,A25,销售录入!$B$4:$B$103,TEXT($B$2,"yyyy-mm")))</f>
        <v/>
      </c>
      <c r="M25" s="17" t="str">
        <f t="shared" si="3"/>
        <v/>
      </c>
      <c r="N25" s="52" t="str">
        <f>IF(A25="","",IFERROR(IF(E25=0,0,(F25/E25)/VLOOKUP(A25,基础资料!$P$5:$T$104,5,FALSE)-1),0))</f>
        <v/>
      </c>
      <c r="O25" s="52" t="str">
        <f t="shared" si="4"/>
        <v/>
      </c>
      <c r="P25" t="str">
        <f t="shared" si="5"/>
        <v/>
      </c>
      <c r="Q25" t="str">
        <f t="shared" si="6"/>
        <v/>
      </c>
    </row>
    <row r="26" spans="2:17">
      <c r="B26" t="str">
        <f>IF(A26="","",IFERROR(VLOOKUP(A26,基础资料!$P$5:$R$104,2,FALSE),""))</f>
        <v/>
      </c>
      <c r="C26" t="str">
        <f>IF(A26="","",IFERROR(VLOOKUP(A26,基础资料!$P$5:$R$104,3,FALSE),""))</f>
        <v/>
      </c>
      <c r="D26" s="17" t="str">
        <f>IF(A26="","",SUMIFS(期初数据!$S$5:$S$14,期初数据!$P$5:$P$14,A26)+SUMIFS(采购录入!$G$4:$G$103,采购录入!$D$4:$D$103,A26,采购录入!$A$4:$A$103,"&lt;"&amp;EOMONTH($B$2,-1)+1)-SUMIFS(销售录入!$G$4:$G$103,销售录入!$D$4:$D$103,A26,销售录入!$A$4:$A$103,"&lt;"&amp;EOMONTH($B$2,-1)+1))</f>
        <v/>
      </c>
      <c r="E26" s="17" t="str">
        <f>IF(A26="","",SUMIFS(采购录入!$G$4:$G$103,采购录入!$D$4:$D$103,A26,采购录入!$B$4:$B$103,TEXT($B$2,"yyyy-mm")))</f>
        <v/>
      </c>
      <c r="F26" s="17" t="str">
        <f>IF(A26="","",SUMIFS(采购录入!$I$4:$I$103,采购录入!$D$4:$D$103,A26,采购录入!$B$4:$B$103,TEXT($B$2,"yyyy-mm")))</f>
        <v/>
      </c>
      <c r="G26" s="17" t="str">
        <f>IF(A26="","",SUMIFS(销售录入!$G$4:$G$103,销售录入!$D$4:$D$103,A26,销售录入!$B$4:$B$103,TEXT($B$2,"yyyy-mm")))</f>
        <v/>
      </c>
      <c r="H26" s="17" t="str">
        <f>IF(A26="","",SUMIFS(销售录入!$K$4:$K$103,销售录入!$D$4:$D$103,A26,销售录入!$B$4:$B$103,TEXT($B$2,"yyyy-mm")))</f>
        <v/>
      </c>
      <c r="I26" s="17" t="str">
        <f t="shared" si="1"/>
        <v/>
      </c>
      <c r="J26" s="17" t="str">
        <f>IF(A26="","",SUMIFS(期初数据!$U$5:$U$14,期初数据!$P$5:$P$14,A26)+SUMIFS(采购录入!$I$4:$I$103,采购录入!$D$4:$D$103,A26,采购录入!$A$4:$A$103,"&lt;="&amp;EOMONTH($B$2,0))-SUMIFS(销售录入!$K$4:$K$103,销售录入!$D$4:$D$103,A26,销售录入!$A$4:$A$103,"&lt;="&amp;EOMONTH($B$2,0)))</f>
        <v/>
      </c>
      <c r="K26" s="17" t="str">
        <f t="shared" si="2"/>
        <v/>
      </c>
      <c r="L26" s="17" t="str">
        <f>IF(A26="","",SUMIFS(销售录入!$I$4:$I$103,销售录入!$D$4:$D$103,A26,销售录入!$B$4:$B$103,TEXT($B$2,"yyyy-mm")))</f>
        <v/>
      </c>
      <c r="M26" s="17" t="str">
        <f t="shared" si="3"/>
        <v/>
      </c>
      <c r="N26" s="52" t="str">
        <f>IF(A26="","",IFERROR(IF(E26=0,0,(F26/E26)/VLOOKUP(A26,基础资料!$P$5:$T$104,5,FALSE)-1),0))</f>
        <v/>
      </c>
      <c r="O26" s="52" t="str">
        <f t="shared" si="4"/>
        <v/>
      </c>
      <c r="P26" t="str">
        <f t="shared" si="5"/>
        <v/>
      </c>
      <c r="Q26" t="str">
        <f t="shared" si="6"/>
        <v/>
      </c>
    </row>
    <row r="27" spans="2:17">
      <c r="B27" t="str">
        <f>IF(A27="","",IFERROR(VLOOKUP(A27,基础资料!$P$5:$R$104,2,FALSE),""))</f>
        <v/>
      </c>
      <c r="C27" t="str">
        <f>IF(A27="","",IFERROR(VLOOKUP(A27,基础资料!$P$5:$R$104,3,FALSE),""))</f>
        <v/>
      </c>
      <c r="D27" s="17" t="str">
        <f>IF(A27="","",SUMIFS(期初数据!$S$5:$S$14,期初数据!$P$5:$P$14,A27)+SUMIFS(采购录入!$G$4:$G$103,采购录入!$D$4:$D$103,A27,采购录入!$A$4:$A$103,"&lt;"&amp;EOMONTH($B$2,-1)+1)-SUMIFS(销售录入!$G$4:$G$103,销售录入!$D$4:$D$103,A27,销售录入!$A$4:$A$103,"&lt;"&amp;EOMONTH($B$2,-1)+1))</f>
        <v/>
      </c>
      <c r="E27" s="17" t="str">
        <f>IF(A27="","",SUMIFS(采购录入!$G$4:$G$103,采购录入!$D$4:$D$103,A27,采购录入!$B$4:$B$103,TEXT($B$2,"yyyy-mm")))</f>
        <v/>
      </c>
      <c r="F27" s="17" t="str">
        <f>IF(A27="","",SUMIFS(采购录入!$I$4:$I$103,采购录入!$D$4:$D$103,A27,采购录入!$B$4:$B$103,TEXT($B$2,"yyyy-mm")))</f>
        <v/>
      </c>
      <c r="G27" s="17" t="str">
        <f>IF(A27="","",SUMIFS(销售录入!$G$4:$G$103,销售录入!$D$4:$D$103,A27,销售录入!$B$4:$B$103,TEXT($B$2,"yyyy-mm")))</f>
        <v/>
      </c>
      <c r="H27" s="17" t="str">
        <f>IF(A27="","",SUMIFS(销售录入!$K$4:$K$103,销售录入!$D$4:$D$103,A27,销售录入!$B$4:$B$103,TEXT($B$2,"yyyy-mm")))</f>
        <v/>
      </c>
      <c r="I27" s="17" t="str">
        <f t="shared" si="1"/>
        <v/>
      </c>
      <c r="J27" s="17" t="str">
        <f>IF(A27="","",SUMIFS(期初数据!$U$5:$U$14,期初数据!$P$5:$P$14,A27)+SUMIFS(采购录入!$I$4:$I$103,采购录入!$D$4:$D$103,A27,采购录入!$A$4:$A$103,"&lt;="&amp;EOMONTH($B$2,0))-SUMIFS(销售录入!$K$4:$K$103,销售录入!$D$4:$D$103,A27,销售录入!$A$4:$A$103,"&lt;="&amp;EOMONTH($B$2,0)))</f>
        <v/>
      </c>
      <c r="K27" s="17" t="str">
        <f t="shared" si="2"/>
        <v/>
      </c>
      <c r="L27" s="17" t="str">
        <f>IF(A27="","",SUMIFS(销售录入!$I$4:$I$103,销售录入!$D$4:$D$103,A27,销售录入!$B$4:$B$103,TEXT($B$2,"yyyy-mm")))</f>
        <v/>
      </c>
      <c r="M27" s="17" t="str">
        <f t="shared" si="3"/>
        <v/>
      </c>
      <c r="N27" s="52" t="str">
        <f>IF(A27="","",IFERROR(IF(E27=0,0,(F27/E27)/VLOOKUP(A27,基础资料!$P$5:$T$104,5,FALSE)-1),0))</f>
        <v/>
      </c>
      <c r="O27" s="52" t="str">
        <f t="shared" si="4"/>
        <v/>
      </c>
      <c r="P27" t="str">
        <f t="shared" si="5"/>
        <v/>
      </c>
      <c r="Q27" t="str">
        <f t="shared" si="6"/>
        <v/>
      </c>
    </row>
    <row r="28" spans="2:17">
      <c r="B28" t="str">
        <f>IF(A28="","",IFERROR(VLOOKUP(A28,基础资料!$P$5:$R$104,2,FALSE),""))</f>
        <v/>
      </c>
      <c r="C28" t="str">
        <f>IF(A28="","",IFERROR(VLOOKUP(A28,基础资料!$P$5:$R$104,3,FALSE),""))</f>
        <v/>
      </c>
      <c r="D28" s="17" t="str">
        <f>IF(A28="","",SUMIFS(期初数据!$S$5:$S$14,期初数据!$P$5:$P$14,A28)+SUMIFS(采购录入!$G$4:$G$103,采购录入!$D$4:$D$103,A28,采购录入!$A$4:$A$103,"&lt;"&amp;EOMONTH($B$2,-1)+1)-SUMIFS(销售录入!$G$4:$G$103,销售录入!$D$4:$D$103,A28,销售录入!$A$4:$A$103,"&lt;"&amp;EOMONTH($B$2,-1)+1))</f>
        <v/>
      </c>
      <c r="E28" s="17" t="str">
        <f>IF(A28="","",SUMIFS(采购录入!$G$4:$G$103,采购录入!$D$4:$D$103,A28,采购录入!$B$4:$B$103,TEXT($B$2,"yyyy-mm")))</f>
        <v/>
      </c>
      <c r="F28" s="17" t="str">
        <f>IF(A28="","",SUMIFS(采购录入!$I$4:$I$103,采购录入!$D$4:$D$103,A28,采购录入!$B$4:$B$103,TEXT($B$2,"yyyy-mm")))</f>
        <v/>
      </c>
      <c r="G28" s="17" t="str">
        <f>IF(A28="","",SUMIFS(销售录入!$G$4:$G$103,销售录入!$D$4:$D$103,A28,销售录入!$B$4:$B$103,TEXT($B$2,"yyyy-mm")))</f>
        <v/>
      </c>
      <c r="H28" s="17" t="str">
        <f>IF(A28="","",SUMIFS(销售录入!$K$4:$K$103,销售录入!$D$4:$D$103,A28,销售录入!$B$4:$B$103,TEXT($B$2,"yyyy-mm")))</f>
        <v/>
      </c>
      <c r="I28" s="17" t="str">
        <f t="shared" si="1"/>
        <v/>
      </c>
      <c r="J28" s="17" t="str">
        <f>IF(A28="","",SUMIFS(期初数据!$U$5:$U$14,期初数据!$P$5:$P$14,A28)+SUMIFS(采购录入!$I$4:$I$103,采购录入!$D$4:$D$103,A28,采购录入!$A$4:$A$103,"&lt;="&amp;EOMONTH($B$2,0))-SUMIFS(销售录入!$K$4:$K$103,销售录入!$D$4:$D$103,A28,销售录入!$A$4:$A$103,"&lt;="&amp;EOMONTH($B$2,0)))</f>
        <v/>
      </c>
      <c r="K28" s="17" t="str">
        <f t="shared" si="2"/>
        <v/>
      </c>
      <c r="L28" s="17" t="str">
        <f>IF(A28="","",SUMIFS(销售录入!$I$4:$I$103,销售录入!$D$4:$D$103,A28,销售录入!$B$4:$B$103,TEXT($B$2,"yyyy-mm")))</f>
        <v/>
      </c>
      <c r="M28" s="17" t="str">
        <f t="shared" si="3"/>
        <v/>
      </c>
      <c r="N28" s="52" t="str">
        <f>IF(A28="","",IFERROR(IF(E28=0,0,(F28/E28)/VLOOKUP(A28,基础资料!$P$5:$T$104,5,FALSE)-1),0))</f>
        <v/>
      </c>
      <c r="O28" s="52" t="str">
        <f t="shared" si="4"/>
        <v/>
      </c>
      <c r="P28" t="str">
        <f t="shared" si="5"/>
        <v/>
      </c>
      <c r="Q28" t="str">
        <f t="shared" si="6"/>
        <v/>
      </c>
    </row>
    <row r="29" spans="2:17">
      <c r="B29" t="str">
        <f>IF(A29="","",IFERROR(VLOOKUP(A29,基础资料!$P$5:$R$104,2,FALSE),""))</f>
        <v/>
      </c>
      <c r="C29" t="str">
        <f>IF(A29="","",IFERROR(VLOOKUP(A29,基础资料!$P$5:$R$104,3,FALSE),""))</f>
        <v/>
      </c>
      <c r="D29" s="17" t="str">
        <f>IF(A29="","",SUMIFS(期初数据!$S$5:$S$14,期初数据!$P$5:$P$14,A29)+SUMIFS(采购录入!$G$4:$G$103,采购录入!$D$4:$D$103,A29,采购录入!$A$4:$A$103,"&lt;"&amp;EOMONTH($B$2,-1)+1)-SUMIFS(销售录入!$G$4:$G$103,销售录入!$D$4:$D$103,A29,销售录入!$A$4:$A$103,"&lt;"&amp;EOMONTH($B$2,-1)+1))</f>
        <v/>
      </c>
      <c r="E29" s="17" t="str">
        <f>IF(A29="","",SUMIFS(采购录入!$G$4:$G$103,采购录入!$D$4:$D$103,A29,采购录入!$B$4:$B$103,TEXT($B$2,"yyyy-mm")))</f>
        <v/>
      </c>
      <c r="F29" s="17" t="str">
        <f>IF(A29="","",SUMIFS(采购录入!$I$4:$I$103,采购录入!$D$4:$D$103,A29,采购录入!$B$4:$B$103,TEXT($B$2,"yyyy-mm")))</f>
        <v/>
      </c>
      <c r="G29" s="17" t="str">
        <f>IF(A29="","",SUMIFS(销售录入!$G$4:$G$103,销售录入!$D$4:$D$103,A29,销售录入!$B$4:$B$103,TEXT($B$2,"yyyy-mm")))</f>
        <v/>
      </c>
      <c r="H29" s="17" t="str">
        <f>IF(A29="","",SUMIFS(销售录入!$K$4:$K$103,销售录入!$D$4:$D$103,A29,销售录入!$B$4:$B$103,TEXT($B$2,"yyyy-mm")))</f>
        <v/>
      </c>
      <c r="I29" s="17" t="str">
        <f t="shared" si="1"/>
        <v/>
      </c>
      <c r="J29" s="17" t="str">
        <f>IF(A29="","",SUMIFS(期初数据!$U$5:$U$14,期初数据!$P$5:$P$14,A29)+SUMIFS(采购录入!$I$4:$I$103,采购录入!$D$4:$D$103,A29,采购录入!$A$4:$A$103,"&lt;="&amp;EOMONTH($B$2,0))-SUMIFS(销售录入!$K$4:$K$103,销售录入!$D$4:$D$103,A29,销售录入!$A$4:$A$103,"&lt;="&amp;EOMONTH($B$2,0)))</f>
        <v/>
      </c>
      <c r="K29" s="17" t="str">
        <f t="shared" si="2"/>
        <v/>
      </c>
      <c r="L29" s="17" t="str">
        <f>IF(A29="","",SUMIFS(销售录入!$I$4:$I$103,销售录入!$D$4:$D$103,A29,销售录入!$B$4:$B$103,TEXT($B$2,"yyyy-mm")))</f>
        <v/>
      </c>
      <c r="M29" s="17" t="str">
        <f t="shared" si="3"/>
        <v/>
      </c>
      <c r="N29" s="52" t="str">
        <f>IF(A29="","",IFERROR(IF(E29=0,0,(F29/E29)/VLOOKUP(A29,基础资料!$P$5:$T$104,5,FALSE)-1),0))</f>
        <v/>
      </c>
      <c r="O29" s="52" t="str">
        <f t="shared" si="4"/>
        <v/>
      </c>
      <c r="P29" t="str">
        <f t="shared" si="5"/>
        <v/>
      </c>
      <c r="Q29" t="str">
        <f t="shared" si="6"/>
        <v/>
      </c>
    </row>
    <row r="30" spans="2:17">
      <c r="B30" t="str">
        <f>IF(A30="","",IFERROR(VLOOKUP(A30,基础资料!$P$5:$R$104,2,FALSE),""))</f>
        <v/>
      </c>
      <c r="C30" t="str">
        <f>IF(A30="","",IFERROR(VLOOKUP(A30,基础资料!$P$5:$R$104,3,FALSE),""))</f>
        <v/>
      </c>
      <c r="D30" s="17" t="str">
        <f>IF(A30="","",SUMIFS(期初数据!$S$5:$S$14,期初数据!$P$5:$P$14,A30)+SUMIFS(采购录入!$G$4:$G$103,采购录入!$D$4:$D$103,A30,采购录入!$A$4:$A$103,"&lt;"&amp;EOMONTH($B$2,-1)+1)-SUMIFS(销售录入!$G$4:$G$103,销售录入!$D$4:$D$103,A30,销售录入!$A$4:$A$103,"&lt;"&amp;EOMONTH($B$2,-1)+1))</f>
        <v/>
      </c>
      <c r="E30" s="17" t="str">
        <f>IF(A30="","",SUMIFS(采购录入!$G$4:$G$103,采购录入!$D$4:$D$103,A30,采购录入!$B$4:$B$103,TEXT($B$2,"yyyy-mm")))</f>
        <v/>
      </c>
      <c r="F30" s="17" t="str">
        <f>IF(A30="","",SUMIFS(采购录入!$I$4:$I$103,采购录入!$D$4:$D$103,A30,采购录入!$B$4:$B$103,TEXT($B$2,"yyyy-mm")))</f>
        <v/>
      </c>
      <c r="G30" s="17" t="str">
        <f>IF(A30="","",SUMIFS(销售录入!$G$4:$G$103,销售录入!$D$4:$D$103,A30,销售录入!$B$4:$B$103,TEXT($B$2,"yyyy-mm")))</f>
        <v/>
      </c>
      <c r="H30" s="17" t="str">
        <f>IF(A30="","",SUMIFS(销售录入!$K$4:$K$103,销售录入!$D$4:$D$103,A30,销售录入!$B$4:$B$103,TEXT($B$2,"yyyy-mm")))</f>
        <v/>
      </c>
      <c r="I30" s="17" t="str">
        <f t="shared" si="1"/>
        <v/>
      </c>
      <c r="J30" s="17" t="str">
        <f>IF(A30="","",SUMIFS(期初数据!$U$5:$U$14,期初数据!$P$5:$P$14,A30)+SUMIFS(采购录入!$I$4:$I$103,采购录入!$D$4:$D$103,A30,采购录入!$A$4:$A$103,"&lt;="&amp;EOMONTH($B$2,0))-SUMIFS(销售录入!$K$4:$K$103,销售录入!$D$4:$D$103,A30,销售录入!$A$4:$A$103,"&lt;="&amp;EOMONTH($B$2,0)))</f>
        <v/>
      </c>
      <c r="K30" s="17" t="str">
        <f t="shared" si="2"/>
        <v/>
      </c>
      <c r="L30" s="17" t="str">
        <f>IF(A30="","",SUMIFS(销售录入!$I$4:$I$103,销售录入!$D$4:$D$103,A30,销售录入!$B$4:$B$103,TEXT($B$2,"yyyy-mm")))</f>
        <v/>
      </c>
      <c r="M30" s="17" t="str">
        <f t="shared" si="3"/>
        <v/>
      </c>
      <c r="N30" s="52" t="str">
        <f>IF(A30="","",IFERROR(IF(E30=0,0,(F30/E30)/VLOOKUP(A30,基础资料!$P$5:$T$104,5,FALSE)-1),0))</f>
        <v/>
      </c>
      <c r="O30" s="52" t="str">
        <f t="shared" si="4"/>
        <v/>
      </c>
      <c r="P30" t="str">
        <f t="shared" si="5"/>
        <v/>
      </c>
      <c r="Q30" t="str">
        <f t="shared" si="6"/>
        <v/>
      </c>
    </row>
    <row r="31" spans="2:17">
      <c r="B31" t="str">
        <f>IF(A31="","",IFERROR(VLOOKUP(A31,基础资料!$P$5:$R$104,2,FALSE),""))</f>
        <v/>
      </c>
      <c r="C31" t="str">
        <f>IF(A31="","",IFERROR(VLOOKUP(A31,基础资料!$P$5:$R$104,3,FALSE),""))</f>
        <v/>
      </c>
      <c r="D31" s="17" t="str">
        <f>IF(A31="","",SUMIFS(期初数据!$S$5:$S$14,期初数据!$P$5:$P$14,A31)+SUMIFS(采购录入!$G$4:$G$103,采购录入!$D$4:$D$103,A31,采购录入!$A$4:$A$103,"&lt;"&amp;EOMONTH($B$2,-1)+1)-SUMIFS(销售录入!$G$4:$G$103,销售录入!$D$4:$D$103,A31,销售录入!$A$4:$A$103,"&lt;"&amp;EOMONTH($B$2,-1)+1))</f>
        <v/>
      </c>
      <c r="E31" s="17" t="str">
        <f>IF(A31="","",SUMIFS(采购录入!$G$4:$G$103,采购录入!$D$4:$D$103,A31,采购录入!$B$4:$B$103,TEXT($B$2,"yyyy-mm")))</f>
        <v/>
      </c>
      <c r="F31" s="17" t="str">
        <f>IF(A31="","",SUMIFS(采购录入!$I$4:$I$103,采购录入!$D$4:$D$103,A31,采购录入!$B$4:$B$103,TEXT($B$2,"yyyy-mm")))</f>
        <v/>
      </c>
      <c r="G31" s="17" t="str">
        <f>IF(A31="","",SUMIFS(销售录入!$G$4:$G$103,销售录入!$D$4:$D$103,A31,销售录入!$B$4:$B$103,TEXT($B$2,"yyyy-mm")))</f>
        <v/>
      </c>
      <c r="H31" s="17" t="str">
        <f>IF(A31="","",SUMIFS(销售录入!$K$4:$K$103,销售录入!$D$4:$D$103,A31,销售录入!$B$4:$B$103,TEXT($B$2,"yyyy-mm")))</f>
        <v/>
      </c>
      <c r="I31" s="17" t="str">
        <f t="shared" si="1"/>
        <v/>
      </c>
      <c r="J31" s="17" t="str">
        <f>IF(A31="","",SUMIFS(期初数据!$U$5:$U$14,期初数据!$P$5:$P$14,A31)+SUMIFS(采购录入!$I$4:$I$103,采购录入!$D$4:$D$103,A31,采购录入!$A$4:$A$103,"&lt;="&amp;EOMONTH($B$2,0))-SUMIFS(销售录入!$K$4:$K$103,销售录入!$D$4:$D$103,A31,销售录入!$A$4:$A$103,"&lt;="&amp;EOMONTH($B$2,0)))</f>
        <v/>
      </c>
      <c r="K31" s="17" t="str">
        <f t="shared" si="2"/>
        <v/>
      </c>
      <c r="L31" s="17" t="str">
        <f>IF(A31="","",SUMIFS(销售录入!$I$4:$I$103,销售录入!$D$4:$D$103,A31,销售录入!$B$4:$B$103,TEXT($B$2,"yyyy-mm")))</f>
        <v/>
      </c>
      <c r="M31" s="17" t="str">
        <f t="shared" si="3"/>
        <v/>
      </c>
      <c r="N31" s="52" t="str">
        <f>IF(A31="","",IFERROR(IF(E31=0,0,(F31/E31)/VLOOKUP(A31,基础资料!$P$5:$T$104,5,FALSE)-1),0))</f>
        <v/>
      </c>
      <c r="O31" s="52" t="str">
        <f t="shared" si="4"/>
        <v/>
      </c>
      <c r="P31" t="str">
        <f t="shared" si="5"/>
        <v/>
      </c>
      <c r="Q31" t="str">
        <f t="shared" si="6"/>
        <v/>
      </c>
    </row>
    <row r="32" spans="2:17">
      <c r="B32" t="str">
        <f>IF(A32="","",IFERROR(VLOOKUP(A32,基础资料!$P$5:$R$104,2,FALSE),""))</f>
        <v/>
      </c>
      <c r="C32" t="str">
        <f>IF(A32="","",IFERROR(VLOOKUP(A32,基础资料!$P$5:$R$104,3,FALSE),""))</f>
        <v/>
      </c>
      <c r="D32" s="17" t="str">
        <f>IF(A32="","",SUMIFS(期初数据!$S$5:$S$14,期初数据!$P$5:$P$14,A32)+SUMIFS(采购录入!$G$4:$G$103,采购录入!$D$4:$D$103,A32,采购录入!$A$4:$A$103,"&lt;"&amp;EOMONTH($B$2,-1)+1)-SUMIFS(销售录入!$G$4:$G$103,销售录入!$D$4:$D$103,A32,销售录入!$A$4:$A$103,"&lt;"&amp;EOMONTH($B$2,-1)+1))</f>
        <v/>
      </c>
      <c r="E32" s="17" t="str">
        <f>IF(A32="","",SUMIFS(采购录入!$G$4:$G$103,采购录入!$D$4:$D$103,A32,采购录入!$B$4:$B$103,TEXT($B$2,"yyyy-mm")))</f>
        <v/>
      </c>
      <c r="F32" s="17" t="str">
        <f>IF(A32="","",SUMIFS(采购录入!$I$4:$I$103,采购录入!$D$4:$D$103,A32,采购录入!$B$4:$B$103,TEXT($B$2,"yyyy-mm")))</f>
        <v/>
      </c>
      <c r="G32" s="17" t="str">
        <f>IF(A32="","",SUMIFS(销售录入!$G$4:$G$103,销售录入!$D$4:$D$103,A32,销售录入!$B$4:$B$103,TEXT($B$2,"yyyy-mm")))</f>
        <v/>
      </c>
      <c r="H32" s="17" t="str">
        <f>IF(A32="","",SUMIFS(销售录入!$K$4:$K$103,销售录入!$D$4:$D$103,A32,销售录入!$B$4:$B$103,TEXT($B$2,"yyyy-mm")))</f>
        <v/>
      </c>
      <c r="I32" s="17" t="str">
        <f t="shared" si="1"/>
        <v/>
      </c>
      <c r="J32" s="17" t="str">
        <f>IF(A32="","",SUMIFS(期初数据!$U$5:$U$14,期初数据!$P$5:$P$14,A32)+SUMIFS(采购录入!$I$4:$I$103,采购录入!$D$4:$D$103,A32,采购录入!$A$4:$A$103,"&lt;="&amp;EOMONTH($B$2,0))-SUMIFS(销售录入!$K$4:$K$103,销售录入!$D$4:$D$103,A32,销售录入!$A$4:$A$103,"&lt;="&amp;EOMONTH($B$2,0)))</f>
        <v/>
      </c>
      <c r="K32" s="17" t="str">
        <f t="shared" si="2"/>
        <v/>
      </c>
      <c r="L32" s="17" t="str">
        <f>IF(A32="","",SUMIFS(销售录入!$I$4:$I$103,销售录入!$D$4:$D$103,A32,销售录入!$B$4:$B$103,TEXT($B$2,"yyyy-mm")))</f>
        <v/>
      </c>
      <c r="M32" s="17" t="str">
        <f t="shared" si="3"/>
        <v/>
      </c>
      <c r="N32" s="52" t="str">
        <f>IF(A32="","",IFERROR(IF(E32=0,0,(F32/E32)/VLOOKUP(A32,基础资料!$P$5:$T$104,5,FALSE)-1),0))</f>
        <v/>
      </c>
      <c r="O32" s="52" t="str">
        <f t="shared" si="4"/>
        <v/>
      </c>
      <c r="P32" t="str">
        <f t="shared" si="5"/>
        <v/>
      </c>
      <c r="Q32" t="str">
        <f t="shared" si="6"/>
        <v/>
      </c>
    </row>
    <row r="33" spans="2:17">
      <c r="B33" t="str">
        <f>IF(A33="","",IFERROR(VLOOKUP(A33,基础资料!$P$5:$R$104,2,FALSE),""))</f>
        <v/>
      </c>
      <c r="C33" t="str">
        <f>IF(A33="","",IFERROR(VLOOKUP(A33,基础资料!$P$5:$R$104,3,FALSE),""))</f>
        <v/>
      </c>
      <c r="D33" s="17" t="str">
        <f>IF(A33="","",SUMIFS(期初数据!$S$5:$S$14,期初数据!$P$5:$P$14,A33)+SUMIFS(采购录入!$G$4:$G$103,采购录入!$D$4:$D$103,A33,采购录入!$A$4:$A$103,"&lt;"&amp;EOMONTH($B$2,-1)+1)-SUMIFS(销售录入!$G$4:$G$103,销售录入!$D$4:$D$103,A33,销售录入!$A$4:$A$103,"&lt;"&amp;EOMONTH($B$2,-1)+1))</f>
        <v/>
      </c>
      <c r="E33" s="17" t="str">
        <f>IF(A33="","",SUMIFS(采购录入!$G$4:$G$103,采购录入!$D$4:$D$103,A33,采购录入!$B$4:$B$103,TEXT($B$2,"yyyy-mm")))</f>
        <v/>
      </c>
      <c r="F33" s="17" t="str">
        <f>IF(A33="","",SUMIFS(采购录入!$I$4:$I$103,采购录入!$D$4:$D$103,A33,采购录入!$B$4:$B$103,TEXT($B$2,"yyyy-mm")))</f>
        <v/>
      </c>
      <c r="G33" s="17" t="str">
        <f>IF(A33="","",SUMIFS(销售录入!$G$4:$G$103,销售录入!$D$4:$D$103,A33,销售录入!$B$4:$B$103,TEXT($B$2,"yyyy-mm")))</f>
        <v/>
      </c>
      <c r="H33" s="17" t="str">
        <f>IF(A33="","",SUMIFS(销售录入!$K$4:$K$103,销售录入!$D$4:$D$103,A33,销售录入!$B$4:$B$103,TEXT($B$2,"yyyy-mm")))</f>
        <v/>
      </c>
      <c r="I33" s="17" t="str">
        <f t="shared" si="1"/>
        <v/>
      </c>
      <c r="J33" s="17" t="str">
        <f>IF(A33="","",SUMIFS(期初数据!$U$5:$U$14,期初数据!$P$5:$P$14,A33)+SUMIFS(采购录入!$I$4:$I$103,采购录入!$D$4:$D$103,A33,采购录入!$A$4:$A$103,"&lt;="&amp;EOMONTH($B$2,0))-SUMIFS(销售录入!$K$4:$K$103,销售录入!$D$4:$D$103,A33,销售录入!$A$4:$A$103,"&lt;="&amp;EOMONTH($B$2,0)))</f>
        <v/>
      </c>
      <c r="K33" s="17" t="str">
        <f t="shared" si="2"/>
        <v/>
      </c>
      <c r="L33" s="17" t="str">
        <f>IF(A33="","",SUMIFS(销售录入!$I$4:$I$103,销售录入!$D$4:$D$103,A33,销售录入!$B$4:$B$103,TEXT($B$2,"yyyy-mm")))</f>
        <v/>
      </c>
      <c r="M33" s="17" t="str">
        <f t="shared" si="3"/>
        <v/>
      </c>
      <c r="N33" s="52" t="str">
        <f>IF(A33="","",IFERROR(IF(E33=0,0,(F33/E33)/VLOOKUP(A33,基础资料!$P$5:$T$104,5,FALSE)-1),0))</f>
        <v/>
      </c>
      <c r="O33" s="52" t="str">
        <f t="shared" si="4"/>
        <v/>
      </c>
      <c r="P33" t="str">
        <f t="shared" si="5"/>
        <v/>
      </c>
      <c r="Q33" t="str">
        <f t="shared" si="6"/>
        <v/>
      </c>
    </row>
    <row r="34" spans="2:17">
      <c r="B34" t="str">
        <f>IF(A34="","",IFERROR(VLOOKUP(A34,基础资料!$P$5:$R$104,2,FALSE),""))</f>
        <v/>
      </c>
      <c r="C34" t="str">
        <f>IF(A34="","",IFERROR(VLOOKUP(A34,基础资料!$P$5:$R$104,3,FALSE),""))</f>
        <v/>
      </c>
      <c r="D34" s="17" t="str">
        <f>IF(A34="","",SUMIFS(期初数据!$S$5:$S$14,期初数据!$P$5:$P$14,A34)+SUMIFS(采购录入!$G$4:$G$103,采购录入!$D$4:$D$103,A34,采购录入!$A$4:$A$103,"&lt;"&amp;EOMONTH($B$2,-1)+1)-SUMIFS(销售录入!$G$4:$G$103,销售录入!$D$4:$D$103,A34,销售录入!$A$4:$A$103,"&lt;"&amp;EOMONTH($B$2,-1)+1))</f>
        <v/>
      </c>
      <c r="E34" s="17" t="str">
        <f>IF(A34="","",SUMIFS(采购录入!$G$4:$G$103,采购录入!$D$4:$D$103,A34,采购录入!$B$4:$B$103,TEXT($B$2,"yyyy-mm")))</f>
        <v/>
      </c>
      <c r="F34" s="17" t="str">
        <f>IF(A34="","",SUMIFS(采购录入!$I$4:$I$103,采购录入!$D$4:$D$103,A34,采购录入!$B$4:$B$103,TEXT($B$2,"yyyy-mm")))</f>
        <v/>
      </c>
      <c r="G34" s="17" t="str">
        <f>IF(A34="","",SUMIFS(销售录入!$G$4:$G$103,销售录入!$D$4:$D$103,A34,销售录入!$B$4:$B$103,TEXT($B$2,"yyyy-mm")))</f>
        <v/>
      </c>
      <c r="H34" s="17" t="str">
        <f>IF(A34="","",SUMIFS(销售录入!$K$4:$K$103,销售录入!$D$4:$D$103,A34,销售录入!$B$4:$B$103,TEXT($B$2,"yyyy-mm")))</f>
        <v/>
      </c>
      <c r="I34" s="17" t="str">
        <f t="shared" si="1"/>
        <v/>
      </c>
      <c r="J34" s="17" t="str">
        <f>IF(A34="","",SUMIFS(期初数据!$U$5:$U$14,期初数据!$P$5:$P$14,A34)+SUMIFS(采购录入!$I$4:$I$103,采购录入!$D$4:$D$103,A34,采购录入!$A$4:$A$103,"&lt;="&amp;EOMONTH($B$2,0))-SUMIFS(销售录入!$K$4:$K$103,销售录入!$D$4:$D$103,A34,销售录入!$A$4:$A$103,"&lt;="&amp;EOMONTH($B$2,0)))</f>
        <v/>
      </c>
      <c r="K34" s="17" t="str">
        <f t="shared" si="2"/>
        <v/>
      </c>
      <c r="L34" s="17" t="str">
        <f>IF(A34="","",SUMIFS(销售录入!$I$4:$I$103,销售录入!$D$4:$D$103,A34,销售录入!$B$4:$B$103,TEXT($B$2,"yyyy-mm")))</f>
        <v/>
      </c>
      <c r="M34" s="17" t="str">
        <f t="shared" si="3"/>
        <v/>
      </c>
      <c r="N34" s="52" t="str">
        <f>IF(A34="","",IFERROR(IF(E34=0,0,(F34/E34)/VLOOKUP(A34,基础资料!$P$5:$T$104,5,FALSE)-1),0))</f>
        <v/>
      </c>
      <c r="O34" s="52" t="str">
        <f t="shared" si="4"/>
        <v/>
      </c>
      <c r="P34" t="str">
        <f t="shared" si="5"/>
        <v/>
      </c>
      <c r="Q34" t="str">
        <f t="shared" si="6"/>
        <v/>
      </c>
    </row>
    <row r="35" spans="2:17">
      <c r="B35" t="str">
        <f>IF(A35="","",IFERROR(VLOOKUP(A35,基础资料!$P$5:$R$104,2,FALSE),""))</f>
        <v/>
      </c>
      <c r="C35" t="str">
        <f>IF(A35="","",IFERROR(VLOOKUP(A35,基础资料!$P$5:$R$104,3,FALSE),""))</f>
        <v/>
      </c>
      <c r="D35" s="17" t="str">
        <f>IF(A35="","",SUMIFS(期初数据!$S$5:$S$14,期初数据!$P$5:$P$14,A35)+SUMIFS(采购录入!$G$4:$G$103,采购录入!$D$4:$D$103,A35,采购录入!$A$4:$A$103,"&lt;"&amp;EOMONTH($B$2,-1)+1)-SUMIFS(销售录入!$G$4:$G$103,销售录入!$D$4:$D$103,A35,销售录入!$A$4:$A$103,"&lt;"&amp;EOMONTH($B$2,-1)+1))</f>
        <v/>
      </c>
      <c r="E35" s="17" t="str">
        <f>IF(A35="","",SUMIFS(采购录入!$G$4:$G$103,采购录入!$D$4:$D$103,A35,采购录入!$B$4:$B$103,TEXT($B$2,"yyyy-mm")))</f>
        <v/>
      </c>
      <c r="F35" s="17" t="str">
        <f>IF(A35="","",SUMIFS(采购录入!$I$4:$I$103,采购录入!$D$4:$D$103,A35,采购录入!$B$4:$B$103,TEXT($B$2,"yyyy-mm")))</f>
        <v/>
      </c>
      <c r="G35" s="17" t="str">
        <f>IF(A35="","",SUMIFS(销售录入!$G$4:$G$103,销售录入!$D$4:$D$103,A35,销售录入!$B$4:$B$103,TEXT($B$2,"yyyy-mm")))</f>
        <v/>
      </c>
      <c r="H35" s="17" t="str">
        <f>IF(A35="","",SUMIFS(销售录入!$K$4:$K$103,销售录入!$D$4:$D$103,A35,销售录入!$B$4:$B$103,TEXT($B$2,"yyyy-mm")))</f>
        <v/>
      </c>
      <c r="I35" s="17" t="str">
        <f t="shared" si="1"/>
        <v/>
      </c>
      <c r="J35" s="17" t="str">
        <f>IF(A35="","",SUMIFS(期初数据!$U$5:$U$14,期初数据!$P$5:$P$14,A35)+SUMIFS(采购录入!$I$4:$I$103,采购录入!$D$4:$D$103,A35,采购录入!$A$4:$A$103,"&lt;="&amp;EOMONTH($B$2,0))-SUMIFS(销售录入!$K$4:$K$103,销售录入!$D$4:$D$103,A35,销售录入!$A$4:$A$103,"&lt;="&amp;EOMONTH($B$2,0)))</f>
        <v/>
      </c>
      <c r="K35" s="17" t="str">
        <f t="shared" si="2"/>
        <v/>
      </c>
      <c r="L35" s="17" t="str">
        <f>IF(A35="","",SUMIFS(销售录入!$I$4:$I$103,销售录入!$D$4:$D$103,A35,销售录入!$B$4:$B$103,TEXT($B$2,"yyyy-mm")))</f>
        <v/>
      </c>
      <c r="M35" s="17" t="str">
        <f t="shared" si="3"/>
        <v/>
      </c>
      <c r="N35" s="52" t="str">
        <f>IF(A35="","",IFERROR(IF(E35=0,0,(F35/E35)/VLOOKUP(A35,基础资料!$P$5:$T$104,5,FALSE)-1),0))</f>
        <v/>
      </c>
      <c r="O35" s="52" t="str">
        <f t="shared" si="4"/>
        <v/>
      </c>
      <c r="P35" t="str">
        <f t="shared" si="5"/>
        <v/>
      </c>
      <c r="Q35" t="str">
        <f t="shared" si="6"/>
        <v/>
      </c>
    </row>
    <row r="36" spans="2:17">
      <c r="B36" t="str">
        <f>IF(A36="","",IFERROR(VLOOKUP(A36,基础资料!$P$5:$R$104,2,FALSE),""))</f>
        <v/>
      </c>
      <c r="C36" t="str">
        <f>IF(A36="","",IFERROR(VLOOKUP(A36,基础资料!$P$5:$R$104,3,FALSE),""))</f>
        <v/>
      </c>
      <c r="D36" s="17" t="str">
        <f>IF(A36="","",SUMIFS(期初数据!$S$5:$S$14,期初数据!$P$5:$P$14,A36)+SUMIFS(采购录入!$G$4:$G$103,采购录入!$D$4:$D$103,A36,采购录入!$A$4:$A$103,"&lt;"&amp;EOMONTH($B$2,-1)+1)-SUMIFS(销售录入!$G$4:$G$103,销售录入!$D$4:$D$103,A36,销售录入!$A$4:$A$103,"&lt;"&amp;EOMONTH($B$2,-1)+1))</f>
        <v/>
      </c>
      <c r="E36" s="17" t="str">
        <f>IF(A36="","",SUMIFS(采购录入!$G$4:$G$103,采购录入!$D$4:$D$103,A36,采购录入!$B$4:$B$103,TEXT($B$2,"yyyy-mm")))</f>
        <v/>
      </c>
      <c r="F36" s="17" t="str">
        <f>IF(A36="","",SUMIFS(采购录入!$I$4:$I$103,采购录入!$D$4:$D$103,A36,采购录入!$B$4:$B$103,TEXT($B$2,"yyyy-mm")))</f>
        <v/>
      </c>
      <c r="G36" s="17" t="str">
        <f>IF(A36="","",SUMIFS(销售录入!$G$4:$G$103,销售录入!$D$4:$D$103,A36,销售录入!$B$4:$B$103,TEXT($B$2,"yyyy-mm")))</f>
        <v/>
      </c>
      <c r="H36" s="17" t="str">
        <f>IF(A36="","",SUMIFS(销售录入!$K$4:$K$103,销售录入!$D$4:$D$103,A36,销售录入!$B$4:$B$103,TEXT($B$2,"yyyy-mm")))</f>
        <v/>
      </c>
      <c r="I36" s="17" t="str">
        <f t="shared" si="1"/>
        <v/>
      </c>
      <c r="J36" s="17" t="str">
        <f>IF(A36="","",SUMIFS(期初数据!$U$5:$U$14,期初数据!$P$5:$P$14,A36)+SUMIFS(采购录入!$I$4:$I$103,采购录入!$D$4:$D$103,A36,采购录入!$A$4:$A$103,"&lt;="&amp;EOMONTH($B$2,0))-SUMIFS(销售录入!$K$4:$K$103,销售录入!$D$4:$D$103,A36,销售录入!$A$4:$A$103,"&lt;="&amp;EOMONTH($B$2,0)))</f>
        <v/>
      </c>
      <c r="K36" s="17" t="str">
        <f t="shared" si="2"/>
        <v/>
      </c>
      <c r="L36" s="17" t="str">
        <f>IF(A36="","",SUMIFS(销售录入!$I$4:$I$103,销售录入!$D$4:$D$103,A36,销售录入!$B$4:$B$103,TEXT($B$2,"yyyy-mm")))</f>
        <v/>
      </c>
      <c r="M36" s="17" t="str">
        <f t="shared" si="3"/>
        <v/>
      </c>
      <c r="N36" s="52" t="str">
        <f>IF(A36="","",IFERROR(IF(E36=0,0,(F36/E36)/VLOOKUP(A36,基础资料!$P$5:$T$104,5,FALSE)-1),0))</f>
        <v/>
      </c>
      <c r="O36" s="52" t="str">
        <f t="shared" si="4"/>
        <v/>
      </c>
      <c r="P36" t="str">
        <f t="shared" si="5"/>
        <v/>
      </c>
      <c r="Q36" t="str">
        <f t="shared" si="6"/>
        <v/>
      </c>
    </row>
    <row r="37" spans="2:17">
      <c r="B37" t="str">
        <f>IF(A37="","",IFERROR(VLOOKUP(A37,基础资料!$P$5:$R$104,2,FALSE),""))</f>
        <v/>
      </c>
      <c r="C37" t="str">
        <f>IF(A37="","",IFERROR(VLOOKUP(A37,基础资料!$P$5:$R$104,3,FALSE),""))</f>
        <v/>
      </c>
      <c r="D37" s="17" t="str">
        <f>IF(A37="","",SUMIFS(期初数据!$S$5:$S$14,期初数据!$P$5:$P$14,A37)+SUMIFS(采购录入!$G$4:$G$103,采购录入!$D$4:$D$103,A37,采购录入!$A$4:$A$103,"&lt;"&amp;EOMONTH($B$2,-1)+1)-SUMIFS(销售录入!$G$4:$G$103,销售录入!$D$4:$D$103,A37,销售录入!$A$4:$A$103,"&lt;"&amp;EOMONTH($B$2,-1)+1))</f>
        <v/>
      </c>
      <c r="E37" s="17" t="str">
        <f>IF(A37="","",SUMIFS(采购录入!$G$4:$G$103,采购录入!$D$4:$D$103,A37,采购录入!$B$4:$B$103,TEXT($B$2,"yyyy-mm")))</f>
        <v/>
      </c>
      <c r="F37" s="17" t="str">
        <f>IF(A37="","",SUMIFS(采购录入!$I$4:$I$103,采购录入!$D$4:$D$103,A37,采购录入!$B$4:$B$103,TEXT($B$2,"yyyy-mm")))</f>
        <v/>
      </c>
      <c r="G37" s="17" t="str">
        <f>IF(A37="","",SUMIFS(销售录入!$G$4:$G$103,销售录入!$D$4:$D$103,A37,销售录入!$B$4:$B$103,TEXT($B$2,"yyyy-mm")))</f>
        <v/>
      </c>
      <c r="H37" s="17" t="str">
        <f>IF(A37="","",SUMIFS(销售录入!$K$4:$K$103,销售录入!$D$4:$D$103,A37,销售录入!$B$4:$B$103,TEXT($B$2,"yyyy-mm")))</f>
        <v/>
      </c>
      <c r="I37" s="17" t="str">
        <f t="shared" si="1"/>
        <v/>
      </c>
      <c r="J37" s="17" t="str">
        <f>IF(A37="","",SUMIFS(期初数据!$U$5:$U$14,期初数据!$P$5:$P$14,A37)+SUMIFS(采购录入!$I$4:$I$103,采购录入!$D$4:$D$103,A37,采购录入!$A$4:$A$103,"&lt;="&amp;EOMONTH($B$2,0))-SUMIFS(销售录入!$K$4:$K$103,销售录入!$D$4:$D$103,A37,销售录入!$A$4:$A$103,"&lt;="&amp;EOMONTH($B$2,0)))</f>
        <v/>
      </c>
      <c r="K37" s="17" t="str">
        <f t="shared" si="2"/>
        <v/>
      </c>
      <c r="L37" s="17" t="str">
        <f>IF(A37="","",SUMIFS(销售录入!$I$4:$I$103,销售录入!$D$4:$D$103,A37,销售录入!$B$4:$B$103,TEXT($B$2,"yyyy-mm")))</f>
        <v/>
      </c>
      <c r="M37" s="17" t="str">
        <f t="shared" si="3"/>
        <v/>
      </c>
      <c r="N37" s="52" t="str">
        <f>IF(A37="","",IFERROR(IF(E37=0,0,(F37/E37)/VLOOKUP(A37,基础资料!$P$5:$T$104,5,FALSE)-1),0))</f>
        <v/>
      </c>
      <c r="O37" s="52" t="str">
        <f t="shared" si="4"/>
        <v/>
      </c>
      <c r="P37" t="str">
        <f t="shared" si="5"/>
        <v/>
      </c>
      <c r="Q37" t="str">
        <f t="shared" si="6"/>
        <v/>
      </c>
    </row>
    <row r="38" spans="2:17">
      <c r="B38" t="str">
        <f>IF(A38="","",IFERROR(VLOOKUP(A38,基础资料!$P$5:$R$104,2,FALSE),""))</f>
        <v/>
      </c>
      <c r="C38" t="str">
        <f>IF(A38="","",IFERROR(VLOOKUP(A38,基础资料!$P$5:$R$104,3,FALSE),""))</f>
        <v/>
      </c>
      <c r="D38" s="17" t="str">
        <f>IF(A38="","",SUMIFS(期初数据!$S$5:$S$14,期初数据!$P$5:$P$14,A38)+SUMIFS(采购录入!$G$4:$G$103,采购录入!$D$4:$D$103,A38,采购录入!$A$4:$A$103,"&lt;"&amp;EOMONTH($B$2,-1)+1)-SUMIFS(销售录入!$G$4:$G$103,销售录入!$D$4:$D$103,A38,销售录入!$A$4:$A$103,"&lt;"&amp;EOMONTH($B$2,-1)+1))</f>
        <v/>
      </c>
      <c r="E38" s="17" t="str">
        <f>IF(A38="","",SUMIFS(采购录入!$G$4:$G$103,采购录入!$D$4:$D$103,A38,采购录入!$B$4:$B$103,TEXT($B$2,"yyyy-mm")))</f>
        <v/>
      </c>
      <c r="F38" s="17" t="str">
        <f>IF(A38="","",SUMIFS(采购录入!$I$4:$I$103,采购录入!$D$4:$D$103,A38,采购录入!$B$4:$B$103,TEXT($B$2,"yyyy-mm")))</f>
        <v/>
      </c>
      <c r="G38" s="17" t="str">
        <f>IF(A38="","",SUMIFS(销售录入!$G$4:$G$103,销售录入!$D$4:$D$103,A38,销售录入!$B$4:$B$103,TEXT($B$2,"yyyy-mm")))</f>
        <v/>
      </c>
      <c r="H38" s="17" t="str">
        <f>IF(A38="","",SUMIFS(销售录入!$K$4:$K$103,销售录入!$D$4:$D$103,A38,销售录入!$B$4:$B$103,TEXT($B$2,"yyyy-mm")))</f>
        <v/>
      </c>
      <c r="I38" s="17" t="str">
        <f t="shared" si="1"/>
        <v/>
      </c>
      <c r="J38" s="17" t="str">
        <f>IF(A38="","",SUMIFS(期初数据!$U$5:$U$14,期初数据!$P$5:$P$14,A38)+SUMIFS(采购录入!$I$4:$I$103,采购录入!$D$4:$D$103,A38,采购录入!$A$4:$A$103,"&lt;="&amp;EOMONTH($B$2,0))-SUMIFS(销售录入!$K$4:$K$103,销售录入!$D$4:$D$103,A38,销售录入!$A$4:$A$103,"&lt;="&amp;EOMONTH($B$2,0)))</f>
        <v/>
      </c>
      <c r="K38" s="17" t="str">
        <f t="shared" si="2"/>
        <v/>
      </c>
      <c r="L38" s="17" t="str">
        <f>IF(A38="","",SUMIFS(销售录入!$I$4:$I$103,销售录入!$D$4:$D$103,A38,销售录入!$B$4:$B$103,TEXT($B$2,"yyyy-mm")))</f>
        <v/>
      </c>
      <c r="M38" s="17" t="str">
        <f t="shared" si="3"/>
        <v/>
      </c>
      <c r="N38" s="52" t="str">
        <f>IF(A38="","",IFERROR(IF(E38=0,0,(F38/E38)/VLOOKUP(A38,基础资料!$P$5:$T$104,5,FALSE)-1),0))</f>
        <v/>
      </c>
      <c r="O38" s="52" t="str">
        <f t="shared" si="4"/>
        <v/>
      </c>
      <c r="P38" t="str">
        <f t="shared" si="5"/>
        <v/>
      </c>
      <c r="Q38" t="str">
        <f t="shared" si="6"/>
        <v/>
      </c>
    </row>
    <row r="39" spans="2:17">
      <c r="B39" t="str">
        <f>IF(A39="","",IFERROR(VLOOKUP(A39,基础资料!$P$5:$R$104,2,FALSE),""))</f>
        <v/>
      </c>
      <c r="C39" t="str">
        <f>IF(A39="","",IFERROR(VLOOKUP(A39,基础资料!$P$5:$R$104,3,FALSE),""))</f>
        <v/>
      </c>
      <c r="D39" s="17" t="str">
        <f>IF(A39="","",SUMIFS(期初数据!$S$5:$S$14,期初数据!$P$5:$P$14,A39)+SUMIFS(采购录入!$G$4:$G$103,采购录入!$D$4:$D$103,A39,采购录入!$A$4:$A$103,"&lt;"&amp;EOMONTH($B$2,-1)+1)-SUMIFS(销售录入!$G$4:$G$103,销售录入!$D$4:$D$103,A39,销售录入!$A$4:$A$103,"&lt;"&amp;EOMONTH($B$2,-1)+1))</f>
        <v/>
      </c>
      <c r="E39" s="17" t="str">
        <f>IF(A39="","",SUMIFS(采购录入!$G$4:$G$103,采购录入!$D$4:$D$103,A39,采购录入!$B$4:$B$103,TEXT($B$2,"yyyy-mm")))</f>
        <v/>
      </c>
      <c r="F39" s="17" t="str">
        <f>IF(A39="","",SUMIFS(采购录入!$I$4:$I$103,采购录入!$D$4:$D$103,A39,采购录入!$B$4:$B$103,TEXT($B$2,"yyyy-mm")))</f>
        <v/>
      </c>
      <c r="G39" s="17" t="str">
        <f>IF(A39="","",SUMIFS(销售录入!$G$4:$G$103,销售录入!$D$4:$D$103,A39,销售录入!$B$4:$B$103,TEXT($B$2,"yyyy-mm")))</f>
        <v/>
      </c>
      <c r="H39" s="17" t="str">
        <f>IF(A39="","",SUMIFS(销售录入!$K$4:$K$103,销售录入!$D$4:$D$103,A39,销售录入!$B$4:$B$103,TEXT($B$2,"yyyy-mm")))</f>
        <v/>
      </c>
      <c r="I39" s="17" t="str">
        <f t="shared" si="1"/>
        <v/>
      </c>
      <c r="J39" s="17" t="str">
        <f>IF(A39="","",SUMIFS(期初数据!$U$5:$U$14,期初数据!$P$5:$P$14,A39)+SUMIFS(采购录入!$I$4:$I$103,采购录入!$D$4:$D$103,A39,采购录入!$A$4:$A$103,"&lt;="&amp;EOMONTH($B$2,0))-SUMIFS(销售录入!$K$4:$K$103,销售录入!$D$4:$D$103,A39,销售录入!$A$4:$A$103,"&lt;="&amp;EOMONTH($B$2,0)))</f>
        <v/>
      </c>
      <c r="K39" s="17" t="str">
        <f t="shared" si="2"/>
        <v/>
      </c>
      <c r="L39" s="17" t="str">
        <f>IF(A39="","",SUMIFS(销售录入!$I$4:$I$103,销售录入!$D$4:$D$103,A39,销售录入!$B$4:$B$103,TEXT($B$2,"yyyy-mm")))</f>
        <v/>
      </c>
      <c r="M39" s="17" t="str">
        <f t="shared" si="3"/>
        <v/>
      </c>
      <c r="N39" s="52" t="str">
        <f>IF(A39="","",IFERROR(IF(E39=0,0,(F39/E39)/VLOOKUP(A39,基础资料!$P$5:$T$104,5,FALSE)-1),0))</f>
        <v/>
      </c>
      <c r="O39" s="52" t="str">
        <f t="shared" si="4"/>
        <v/>
      </c>
      <c r="P39" t="str">
        <f t="shared" si="5"/>
        <v/>
      </c>
      <c r="Q39" t="str">
        <f t="shared" si="6"/>
        <v/>
      </c>
    </row>
    <row r="40" spans="2:17">
      <c r="B40" t="str">
        <f>IF(A40="","",IFERROR(VLOOKUP(A40,基础资料!$P$5:$R$104,2,FALSE),""))</f>
        <v/>
      </c>
      <c r="C40" t="str">
        <f>IF(A40="","",IFERROR(VLOOKUP(A40,基础资料!$P$5:$R$104,3,FALSE),""))</f>
        <v/>
      </c>
      <c r="D40" s="17" t="str">
        <f>IF(A40="","",SUMIFS(期初数据!$S$5:$S$14,期初数据!$P$5:$P$14,A40)+SUMIFS(采购录入!$G$4:$G$103,采购录入!$D$4:$D$103,A40,采购录入!$A$4:$A$103,"&lt;"&amp;EOMONTH($B$2,-1)+1)-SUMIFS(销售录入!$G$4:$G$103,销售录入!$D$4:$D$103,A40,销售录入!$A$4:$A$103,"&lt;"&amp;EOMONTH($B$2,-1)+1))</f>
        <v/>
      </c>
      <c r="E40" s="17" t="str">
        <f>IF(A40="","",SUMIFS(采购录入!$G$4:$G$103,采购录入!$D$4:$D$103,A40,采购录入!$B$4:$B$103,TEXT($B$2,"yyyy-mm")))</f>
        <v/>
      </c>
      <c r="F40" s="17" t="str">
        <f>IF(A40="","",SUMIFS(采购录入!$I$4:$I$103,采购录入!$D$4:$D$103,A40,采购录入!$B$4:$B$103,TEXT($B$2,"yyyy-mm")))</f>
        <v/>
      </c>
      <c r="G40" s="17" t="str">
        <f>IF(A40="","",SUMIFS(销售录入!$G$4:$G$103,销售录入!$D$4:$D$103,A40,销售录入!$B$4:$B$103,TEXT($B$2,"yyyy-mm")))</f>
        <v/>
      </c>
      <c r="H40" s="17" t="str">
        <f>IF(A40="","",SUMIFS(销售录入!$K$4:$K$103,销售录入!$D$4:$D$103,A40,销售录入!$B$4:$B$103,TEXT($B$2,"yyyy-mm")))</f>
        <v/>
      </c>
      <c r="I40" s="17" t="str">
        <f t="shared" si="1"/>
        <v/>
      </c>
      <c r="J40" s="17" t="str">
        <f>IF(A40="","",SUMIFS(期初数据!$U$5:$U$14,期初数据!$P$5:$P$14,A40)+SUMIFS(采购录入!$I$4:$I$103,采购录入!$D$4:$D$103,A40,采购录入!$A$4:$A$103,"&lt;="&amp;EOMONTH($B$2,0))-SUMIFS(销售录入!$K$4:$K$103,销售录入!$D$4:$D$103,A40,销售录入!$A$4:$A$103,"&lt;="&amp;EOMONTH($B$2,0)))</f>
        <v/>
      </c>
      <c r="K40" s="17" t="str">
        <f t="shared" si="2"/>
        <v/>
      </c>
      <c r="L40" s="17" t="str">
        <f>IF(A40="","",SUMIFS(销售录入!$I$4:$I$103,销售录入!$D$4:$D$103,A40,销售录入!$B$4:$B$103,TEXT($B$2,"yyyy-mm")))</f>
        <v/>
      </c>
      <c r="M40" s="17" t="str">
        <f t="shared" si="3"/>
        <v/>
      </c>
      <c r="N40" s="52" t="str">
        <f>IF(A40="","",IFERROR(IF(E40=0,0,(F40/E40)/VLOOKUP(A40,基础资料!$P$5:$T$104,5,FALSE)-1),0))</f>
        <v/>
      </c>
      <c r="O40" s="52" t="str">
        <f t="shared" si="4"/>
        <v/>
      </c>
      <c r="P40" t="str">
        <f t="shared" si="5"/>
        <v/>
      </c>
      <c r="Q40" t="str">
        <f t="shared" si="6"/>
        <v/>
      </c>
    </row>
    <row r="41" spans="2:17">
      <c r="B41" t="str">
        <f>IF(A41="","",IFERROR(VLOOKUP(A41,基础资料!$P$5:$R$104,2,FALSE),""))</f>
        <v/>
      </c>
      <c r="C41" t="str">
        <f>IF(A41="","",IFERROR(VLOOKUP(A41,基础资料!$P$5:$R$104,3,FALSE),""))</f>
        <v/>
      </c>
      <c r="D41" s="17" t="str">
        <f>IF(A41="","",SUMIFS(期初数据!$S$5:$S$14,期初数据!$P$5:$P$14,A41)+SUMIFS(采购录入!$G$4:$G$103,采购录入!$D$4:$D$103,A41,采购录入!$A$4:$A$103,"&lt;"&amp;EOMONTH($B$2,-1)+1)-SUMIFS(销售录入!$G$4:$G$103,销售录入!$D$4:$D$103,A41,销售录入!$A$4:$A$103,"&lt;"&amp;EOMONTH($B$2,-1)+1))</f>
        <v/>
      </c>
      <c r="E41" s="17" t="str">
        <f>IF(A41="","",SUMIFS(采购录入!$G$4:$G$103,采购录入!$D$4:$D$103,A41,采购录入!$B$4:$B$103,TEXT($B$2,"yyyy-mm")))</f>
        <v/>
      </c>
      <c r="F41" s="17" t="str">
        <f>IF(A41="","",SUMIFS(采购录入!$I$4:$I$103,采购录入!$D$4:$D$103,A41,采购录入!$B$4:$B$103,TEXT($B$2,"yyyy-mm")))</f>
        <v/>
      </c>
      <c r="G41" s="17" t="str">
        <f>IF(A41="","",SUMIFS(销售录入!$G$4:$G$103,销售录入!$D$4:$D$103,A41,销售录入!$B$4:$B$103,TEXT($B$2,"yyyy-mm")))</f>
        <v/>
      </c>
      <c r="H41" s="17" t="str">
        <f>IF(A41="","",SUMIFS(销售录入!$K$4:$K$103,销售录入!$D$4:$D$103,A41,销售录入!$B$4:$B$103,TEXT($B$2,"yyyy-mm")))</f>
        <v/>
      </c>
      <c r="I41" s="17" t="str">
        <f t="shared" si="1"/>
        <v/>
      </c>
      <c r="J41" s="17" t="str">
        <f>IF(A41="","",SUMIFS(期初数据!$U$5:$U$14,期初数据!$P$5:$P$14,A41)+SUMIFS(采购录入!$I$4:$I$103,采购录入!$D$4:$D$103,A41,采购录入!$A$4:$A$103,"&lt;="&amp;EOMONTH($B$2,0))-SUMIFS(销售录入!$K$4:$K$103,销售录入!$D$4:$D$103,A41,销售录入!$A$4:$A$103,"&lt;="&amp;EOMONTH($B$2,0)))</f>
        <v/>
      </c>
      <c r="K41" s="17" t="str">
        <f t="shared" si="2"/>
        <v/>
      </c>
      <c r="L41" s="17" t="str">
        <f>IF(A41="","",SUMIFS(销售录入!$I$4:$I$103,销售录入!$D$4:$D$103,A41,销售录入!$B$4:$B$103,TEXT($B$2,"yyyy-mm")))</f>
        <v/>
      </c>
      <c r="M41" s="17" t="str">
        <f t="shared" si="3"/>
        <v/>
      </c>
      <c r="N41" s="52" t="str">
        <f>IF(A41="","",IFERROR(IF(E41=0,0,(F41/E41)/VLOOKUP(A41,基础资料!$P$5:$T$104,5,FALSE)-1),0))</f>
        <v/>
      </c>
      <c r="O41" s="52" t="str">
        <f t="shared" si="4"/>
        <v/>
      </c>
      <c r="P41" t="str">
        <f t="shared" si="5"/>
        <v/>
      </c>
      <c r="Q41" t="str">
        <f t="shared" si="6"/>
        <v/>
      </c>
    </row>
    <row r="42" spans="2:17">
      <c r="B42" t="str">
        <f>IF(A42="","",IFERROR(VLOOKUP(A42,基础资料!$P$5:$R$104,2,FALSE),""))</f>
        <v/>
      </c>
      <c r="C42" t="str">
        <f>IF(A42="","",IFERROR(VLOOKUP(A42,基础资料!$P$5:$R$104,3,FALSE),""))</f>
        <v/>
      </c>
      <c r="D42" s="17" t="str">
        <f>IF(A42="","",SUMIFS(期初数据!$S$5:$S$14,期初数据!$P$5:$P$14,A42)+SUMIFS(采购录入!$G$4:$G$103,采购录入!$D$4:$D$103,A42,采购录入!$A$4:$A$103,"&lt;"&amp;EOMONTH($B$2,-1)+1)-SUMIFS(销售录入!$G$4:$G$103,销售录入!$D$4:$D$103,A42,销售录入!$A$4:$A$103,"&lt;"&amp;EOMONTH($B$2,-1)+1))</f>
        <v/>
      </c>
      <c r="E42" s="17" t="str">
        <f>IF(A42="","",SUMIFS(采购录入!$G$4:$G$103,采购录入!$D$4:$D$103,A42,采购录入!$B$4:$B$103,TEXT($B$2,"yyyy-mm")))</f>
        <v/>
      </c>
      <c r="F42" s="17" t="str">
        <f>IF(A42="","",SUMIFS(采购录入!$I$4:$I$103,采购录入!$D$4:$D$103,A42,采购录入!$B$4:$B$103,TEXT($B$2,"yyyy-mm")))</f>
        <v/>
      </c>
      <c r="G42" s="17" t="str">
        <f>IF(A42="","",SUMIFS(销售录入!$G$4:$G$103,销售录入!$D$4:$D$103,A42,销售录入!$B$4:$B$103,TEXT($B$2,"yyyy-mm")))</f>
        <v/>
      </c>
      <c r="H42" s="17" t="str">
        <f>IF(A42="","",SUMIFS(销售录入!$K$4:$K$103,销售录入!$D$4:$D$103,A42,销售录入!$B$4:$B$103,TEXT($B$2,"yyyy-mm")))</f>
        <v/>
      </c>
      <c r="I42" s="17" t="str">
        <f t="shared" si="1"/>
        <v/>
      </c>
      <c r="J42" s="17" t="str">
        <f>IF(A42="","",SUMIFS(期初数据!$U$5:$U$14,期初数据!$P$5:$P$14,A42)+SUMIFS(采购录入!$I$4:$I$103,采购录入!$D$4:$D$103,A42,采购录入!$A$4:$A$103,"&lt;="&amp;EOMONTH($B$2,0))-SUMIFS(销售录入!$K$4:$K$103,销售录入!$D$4:$D$103,A42,销售录入!$A$4:$A$103,"&lt;="&amp;EOMONTH($B$2,0)))</f>
        <v/>
      </c>
      <c r="K42" s="17" t="str">
        <f t="shared" si="2"/>
        <v/>
      </c>
      <c r="L42" s="17" t="str">
        <f>IF(A42="","",SUMIFS(销售录入!$I$4:$I$103,销售录入!$D$4:$D$103,A42,销售录入!$B$4:$B$103,TEXT($B$2,"yyyy-mm")))</f>
        <v/>
      </c>
      <c r="M42" s="17" t="str">
        <f t="shared" si="3"/>
        <v/>
      </c>
      <c r="N42" s="52" t="str">
        <f>IF(A42="","",IFERROR(IF(E42=0,0,(F42/E42)/VLOOKUP(A42,基础资料!$P$5:$T$104,5,FALSE)-1),0))</f>
        <v/>
      </c>
      <c r="O42" s="52" t="str">
        <f t="shared" si="4"/>
        <v/>
      </c>
      <c r="P42" t="str">
        <f t="shared" si="5"/>
        <v/>
      </c>
      <c r="Q42" t="str">
        <f t="shared" si="6"/>
        <v/>
      </c>
    </row>
    <row r="43" spans="2:17">
      <c r="B43" t="str">
        <f>IF(A43="","",IFERROR(VLOOKUP(A43,基础资料!$P$5:$R$104,2,FALSE),""))</f>
        <v/>
      </c>
      <c r="C43" t="str">
        <f>IF(A43="","",IFERROR(VLOOKUP(A43,基础资料!$P$5:$R$104,3,FALSE),""))</f>
        <v/>
      </c>
      <c r="D43" s="17" t="str">
        <f>IF(A43="","",SUMIFS(期初数据!$S$5:$S$14,期初数据!$P$5:$P$14,A43)+SUMIFS(采购录入!$G$4:$G$103,采购录入!$D$4:$D$103,A43,采购录入!$A$4:$A$103,"&lt;"&amp;EOMONTH($B$2,-1)+1)-SUMIFS(销售录入!$G$4:$G$103,销售录入!$D$4:$D$103,A43,销售录入!$A$4:$A$103,"&lt;"&amp;EOMONTH($B$2,-1)+1))</f>
        <v/>
      </c>
      <c r="E43" s="17" t="str">
        <f>IF(A43="","",SUMIFS(采购录入!$G$4:$G$103,采购录入!$D$4:$D$103,A43,采购录入!$B$4:$B$103,TEXT($B$2,"yyyy-mm")))</f>
        <v/>
      </c>
      <c r="F43" s="17" t="str">
        <f>IF(A43="","",SUMIFS(采购录入!$I$4:$I$103,采购录入!$D$4:$D$103,A43,采购录入!$B$4:$B$103,TEXT($B$2,"yyyy-mm")))</f>
        <v/>
      </c>
      <c r="G43" s="17" t="str">
        <f>IF(A43="","",SUMIFS(销售录入!$G$4:$G$103,销售录入!$D$4:$D$103,A43,销售录入!$B$4:$B$103,TEXT($B$2,"yyyy-mm")))</f>
        <v/>
      </c>
      <c r="H43" s="17" t="str">
        <f>IF(A43="","",SUMIFS(销售录入!$K$4:$K$103,销售录入!$D$4:$D$103,A43,销售录入!$B$4:$B$103,TEXT($B$2,"yyyy-mm")))</f>
        <v/>
      </c>
      <c r="I43" s="17" t="str">
        <f t="shared" si="1"/>
        <v/>
      </c>
      <c r="J43" s="17" t="str">
        <f>IF(A43="","",SUMIFS(期初数据!$U$5:$U$14,期初数据!$P$5:$P$14,A43)+SUMIFS(采购录入!$I$4:$I$103,采购录入!$D$4:$D$103,A43,采购录入!$A$4:$A$103,"&lt;="&amp;EOMONTH($B$2,0))-SUMIFS(销售录入!$K$4:$K$103,销售录入!$D$4:$D$103,A43,销售录入!$A$4:$A$103,"&lt;="&amp;EOMONTH($B$2,0)))</f>
        <v/>
      </c>
      <c r="K43" s="17" t="str">
        <f t="shared" si="2"/>
        <v/>
      </c>
      <c r="L43" s="17" t="str">
        <f>IF(A43="","",SUMIFS(销售录入!$I$4:$I$103,销售录入!$D$4:$D$103,A43,销售录入!$B$4:$B$103,TEXT($B$2,"yyyy-mm")))</f>
        <v/>
      </c>
      <c r="M43" s="17" t="str">
        <f t="shared" si="3"/>
        <v/>
      </c>
      <c r="N43" s="52" t="str">
        <f>IF(A43="","",IFERROR(IF(E43=0,0,(F43/E43)/VLOOKUP(A43,基础资料!$P$5:$T$104,5,FALSE)-1),0))</f>
        <v/>
      </c>
      <c r="O43" s="52" t="str">
        <f t="shared" si="4"/>
        <v/>
      </c>
      <c r="P43" t="str">
        <f t="shared" si="5"/>
        <v/>
      </c>
      <c r="Q43" t="str">
        <f t="shared" si="6"/>
        <v/>
      </c>
    </row>
    <row r="44" spans="2:17">
      <c r="B44" t="str">
        <f>IF(A44="","",IFERROR(VLOOKUP(A44,基础资料!$P$5:$R$104,2,FALSE),""))</f>
        <v/>
      </c>
      <c r="C44" t="str">
        <f>IF(A44="","",IFERROR(VLOOKUP(A44,基础资料!$P$5:$R$104,3,FALSE),""))</f>
        <v/>
      </c>
      <c r="D44" s="17" t="str">
        <f>IF(A44="","",SUMIFS(期初数据!$S$5:$S$14,期初数据!$P$5:$P$14,A44)+SUMIFS(采购录入!$G$4:$G$103,采购录入!$D$4:$D$103,A44,采购录入!$A$4:$A$103,"&lt;"&amp;EOMONTH($B$2,-1)+1)-SUMIFS(销售录入!$G$4:$G$103,销售录入!$D$4:$D$103,A44,销售录入!$A$4:$A$103,"&lt;"&amp;EOMONTH($B$2,-1)+1))</f>
        <v/>
      </c>
      <c r="E44" s="17" t="str">
        <f>IF(A44="","",SUMIFS(采购录入!$G$4:$G$103,采购录入!$D$4:$D$103,A44,采购录入!$B$4:$B$103,TEXT($B$2,"yyyy-mm")))</f>
        <v/>
      </c>
      <c r="F44" s="17" t="str">
        <f>IF(A44="","",SUMIFS(采购录入!$I$4:$I$103,采购录入!$D$4:$D$103,A44,采购录入!$B$4:$B$103,TEXT($B$2,"yyyy-mm")))</f>
        <v/>
      </c>
      <c r="G44" s="17" t="str">
        <f>IF(A44="","",SUMIFS(销售录入!$G$4:$G$103,销售录入!$D$4:$D$103,A44,销售录入!$B$4:$B$103,TEXT($B$2,"yyyy-mm")))</f>
        <v/>
      </c>
      <c r="H44" s="17" t="str">
        <f>IF(A44="","",SUMIFS(销售录入!$K$4:$K$103,销售录入!$D$4:$D$103,A44,销售录入!$B$4:$B$103,TEXT($B$2,"yyyy-mm")))</f>
        <v/>
      </c>
      <c r="I44" s="17" t="str">
        <f t="shared" si="1"/>
        <v/>
      </c>
      <c r="J44" s="17" t="str">
        <f>IF(A44="","",SUMIFS(期初数据!$U$5:$U$14,期初数据!$P$5:$P$14,A44)+SUMIFS(采购录入!$I$4:$I$103,采购录入!$D$4:$D$103,A44,采购录入!$A$4:$A$103,"&lt;="&amp;EOMONTH($B$2,0))-SUMIFS(销售录入!$K$4:$K$103,销售录入!$D$4:$D$103,A44,销售录入!$A$4:$A$103,"&lt;="&amp;EOMONTH($B$2,0)))</f>
        <v/>
      </c>
      <c r="K44" s="17" t="str">
        <f t="shared" si="2"/>
        <v/>
      </c>
      <c r="L44" s="17" t="str">
        <f>IF(A44="","",SUMIFS(销售录入!$I$4:$I$103,销售录入!$D$4:$D$103,A44,销售录入!$B$4:$B$103,TEXT($B$2,"yyyy-mm")))</f>
        <v/>
      </c>
      <c r="M44" s="17" t="str">
        <f t="shared" si="3"/>
        <v/>
      </c>
      <c r="N44" s="52" t="str">
        <f>IF(A44="","",IFERROR(IF(E44=0,0,(F44/E44)/VLOOKUP(A44,基础资料!$P$5:$T$104,5,FALSE)-1),0))</f>
        <v/>
      </c>
      <c r="O44" s="52" t="str">
        <f t="shared" si="4"/>
        <v/>
      </c>
      <c r="P44" t="str">
        <f t="shared" si="5"/>
        <v/>
      </c>
      <c r="Q44" t="str">
        <f t="shared" si="6"/>
        <v/>
      </c>
    </row>
    <row r="45" spans="2:17">
      <c r="B45" t="str">
        <f>IF(A45="","",IFERROR(VLOOKUP(A45,基础资料!$P$5:$R$104,2,FALSE),""))</f>
        <v/>
      </c>
      <c r="C45" t="str">
        <f>IF(A45="","",IFERROR(VLOOKUP(A45,基础资料!$P$5:$R$104,3,FALSE),""))</f>
        <v/>
      </c>
      <c r="D45" s="17" t="str">
        <f>IF(A45="","",SUMIFS(期初数据!$S$5:$S$14,期初数据!$P$5:$P$14,A45)+SUMIFS(采购录入!$G$4:$G$103,采购录入!$D$4:$D$103,A45,采购录入!$A$4:$A$103,"&lt;"&amp;EOMONTH($B$2,-1)+1)-SUMIFS(销售录入!$G$4:$G$103,销售录入!$D$4:$D$103,A45,销售录入!$A$4:$A$103,"&lt;"&amp;EOMONTH($B$2,-1)+1))</f>
        <v/>
      </c>
      <c r="E45" s="17" t="str">
        <f>IF(A45="","",SUMIFS(采购录入!$G$4:$G$103,采购录入!$D$4:$D$103,A45,采购录入!$B$4:$B$103,TEXT($B$2,"yyyy-mm")))</f>
        <v/>
      </c>
      <c r="F45" s="17" t="str">
        <f>IF(A45="","",SUMIFS(采购录入!$I$4:$I$103,采购录入!$D$4:$D$103,A45,采购录入!$B$4:$B$103,TEXT($B$2,"yyyy-mm")))</f>
        <v/>
      </c>
      <c r="G45" s="17" t="str">
        <f>IF(A45="","",SUMIFS(销售录入!$G$4:$G$103,销售录入!$D$4:$D$103,A45,销售录入!$B$4:$B$103,TEXT($B$2,"yyyy-mm")))</f>
        <v/>
      </c>
      <c r="H45" s="17" t="str">
        <f>IF(A45="","",SUMIFS(销售录入!$K$4:$K$103,销售录入!$D$4:$D$103,A45,销售录入!$B$4:$B$103,TEXT($B$2,"yyyy-mm")))</f>
        <v/>
      </c>
      <c r="I45" s="17" t="str">
        <f t="shared" si="1"/>
        <v/>
      </c>
      <c r="J45" s="17" t="str">
        <f>IF(A45="","",SUMIFS(期初数据!$U$5:$U$14,期初数据!$P$5:$P$14,A45)+SUMIFS(采购录入!$I$4:$I$103,采购录入!$D$4:$D$103,A45,采购录入!$A$4:$A$103,"&lt;="&amp;EOMONTH($B$2,0))-SUMIFS(销售录入!$K$4:$K$103,销售录入!$D$4:$D$103,A45,销售录入!$A$4:$A$103,"&lt;="&amp;EOMONTH($B$2,0)))</f>
        <v/>
      </c>
      <c r="K45" s="17" t="str">
        <f t="shared" si="2"/>
        <v/>
      </c>
      <c r="L45" s="17" t="str">
        <f>IF(A45="","",SUMIFS(销售录入!$I$4:$I$103,销售录入!$D$4:$D$103,A45,销售录入!$B$4:$B$103,TEXT($B$2,"yyyy-mm")))</f>
        <v/>
      </c>
      <c r="M45" s="17" t="str">
        <f t="shared" si="3"/>
        <v/>
      </c>
      <c r="N45" s="52" t="str">
        <f>IF(A45="","",IFERROR(IF(E45=0,0,(F45/E45)/VLOOKUP(A45,基础资料!$P$5:$T$104,5,FALSE)-1),0))</f>
        <v/>
      </c>
      <c r="O45" s="52" t="str">
        <f t="shared" si="4"/>
        <v/>
      </c>
      <c r="P45" t="str">
        <f t="shared" si="5"/>
        <v/>
      </c>
      <c r="Q45" t="str">
        <f t="shared" si="6"/>
        <v/>
      </c>
    </row>
    <row r="46" spans="2:17">
      <c r="B46" t="str">
        <f>IF(A46="","",IFERROR(VLOOKUP(A46,基础资料!$P$5:$R$104,2,FALSE),""))</f>
        <v/>
      </c>
      <c r="C46" t="str">
        <f>IF(A46="","",IFERROR(VLOOKUP(A46,基础资料!$P$5:$R$104,3,FALSE),""))</f>
        <v/>
      </c>
      <c r="D46" s="17" t="str">
        <f>IF(A46="","",SUMIFS(期初数据!$S$5:$S$14,期初数据!$P$5:$P$14,A46)+SUMIFS(采购录入!$G$4:$G$103,采购录入!$D$4:$D$103,A46,采购录入!$A$4:$A$103,"&lt;"&amp;EOMONTH($B$2,-1)+1)-SUMIFS(销售录入!$G$4:$G$103,销售录入!$D$4:$D$103,A46,销售录入!$A$4:$A$103,"&lt;"&amp;EOMONTH($B$2,-1)+1))</f>
        <v/>
      </c>
      <c r="E46" s="17" t="str">
        <f>IF(A46="","",SUMIFS(采购录入!$G$4:$G$103,采购录入!$D$4:$D$103,A46,采购录入!$B$4:$B$103,TEXT($B$2,"yyyy-mm")))</f>
        <v/>
      </c>
      <c r="F46" s="17" t="str">
        <f>IF(A46="","",SUMIFS(采购录入!$I$4:$I$103,采购录入!$D$4:$D$103,A46,采购录入!$B$4:$B$103,TEXT($B$2,"yyyy-mm")))</f>
        <v/>
      </c>
      <c r="G46" s="17" t="str">
        <f>IF(A46="","",SUMIFS(销售录入!$G$4:$G$103,销售录入!$D$4:$D$103,A46,销售录入!$B$4:$B$103,TEXT($B$2,"yyyy-mm")))</f>
        <v/>
      </c>
      <c r="H46" s="17" t="str">
        <f>IF(A46="","",SUMIFS(销售录入!$K$4:$K$103,销售录入!$D$4:$D$103,A46,销售录入!$B$4:$B$103,TEXT($B$2,"yyyy-mm")))</f>
        <v/>
      </c>
      <c r="I46" s="17" t="str">
        <f t="shared" si="1"/>
        <v/>
      </c>
      <c r="J46" s="17" t="str">
        <f>IF(A46="","",SUMIFS(期初数据!$U$5:$U$14,期初数据!$P$5:$P$14,A46)+SUMIFS(采购录入!$I$4:$I$103,采购录入!$D$4:$D$103,A46,采购录入!$A$4:$A$103,"&lt;="&amp;EOMONTH($B$2,0))-SUMIFS(销售录入!$K$4:$K$103,销售录入!$D$4:$D$103,A46,销售录入!$A$4:$A$103,"&lt;="&amp;EOMONTH($B$2,0)))</f>
        <v/>
      </c>
      <c r="K46" s="17" t="str">
        <f t="shared" si="2"/>
        <v/>
      </c>
      <c r="L46" s="17" t="str">
        <f>IF(A46="","",SUMIFS(销售录入!$I$4:$I$103,销售录入!$D$4:$D$103,A46,销售录入!$B$4:$B$103,TEXT($B$2,"yyyy-mm")))</f>
        <v/>
      </c>
      <c r="M46" s="17" t="str">
        <f t="shared" si="3"/>
        <v/>
      </c>
      <c r="N46" s="52" t="str">
        <f>IF(A46="","",IFERROR(IF(E46=0,0,(F46/E46)/VLOOKUP(A46,基础资料!$P$5:$T$104,5,FALSE)-1),0))</f>
        <v/>
      </c>
      <c r="O46" s="52" t="str">
        <f t="shared" si="4"/>
        <v/>
      </c>
      <c r="P46" t="str">
        <f t="shared" si="5"/>
        <v/>
      </c>
      <c r="Q46" t="str">
        <f t="shared" si="6"/>
        <v/>
      </c>
    </row>
    <row r="47" spans="2:17">
      <c r="B47" t="str">
        <f>IF(A47="","",IFERROR(VLOOKUP(A47,基础资料!$P$5:$R$104,2,FALSE),""))</f>
        <v/>
      </c>
      <c r="C47" t="str">
        <f>IF(A47="","",IFERROR(VLOOKUP(A47,基础资料!$P$5:$R$104,3,FALSE),""))</f>
        <v/>
      </c>
      <c r="D47" s="17" t="str">
        <f>IF(A47="","",SUMIFS(期初数据!$S$5:$S$14,期初数据!$P$5:$P$14,A47)+SUMIFS(采购录入!$G$4:$G$103,采购录入!$D$4:$D$103,A47,采购录入!$A$4:$A$103,"&lt;"&amp;EOMONTH($B$2,-1)+1)-SUMIFS(销售录入!$G$4:$G$103,销售录入!$D$4:$D$103,A47,销售录入!$A$4:$A$103,"&lt;"&amp;EOMONTH($B$2,-1)+1))</f>
        <v/>
      </c>
      <c r="E47" s="17" t="str">
        <f>IF(A47="","",SUMIFS(采购录入!$G$4:$G$103,采购录入!$D$4:$D$103,A47,采购录入!$B$4:$B$103,TEXT($B$2,"yyyy-mm")))</f>
        <v/>
      </c>
      <c r="F47" s="17" t="str">
        <f>IF(A47="","",SUMIFS(采购录入!$I$4:$I$103,采购录入!$D$4:$D$103,A47,采购录入!$B$4:$B$103,TEXT($B$2,"yyyy-mm")))</f>
        <v/>
      </c>
      <c r="G47" s="17" t="str">
        <f>IF(A47="","",SUMIFS(销售录入!$G$4:$G$103,销售录入!$D$4:$D$103,A47,销售录入!$B$4:$B$103,TEXT($B$2,"yyyy-mm")))</f>
        <v/>
      </c>
      <c r="H47" s="17" t="str">
        <f>IF(A47="","",SUMIFS(销售录入!$K$4:$K$103,销售录入!$D$4:$D$103,A47,销售录入!$B$4:$B$103,TEXT($B$2,"yyyy-mm")))</f>
        <v/>
      </c>
      <c r="I47" s="17" t="str">
        <f t="shared" si="1"/>
        <v/>
      </c>
      <c r="J47" s="17" t="str">
        <f>IF(A47="","",SUMIFS(期初数据!$U$5:$U$14,期初数据!$P$5:$P$14,A47)+SUMIFS(采购录入!$I$4:$I$103,采购录入!$D$4:$D$103,A47,采购录入!$A$4:$A$103,"&lt;="&amp;EOMONTH($B$2,0))-SUMIFS(销售录入!$K$4:$K$103,销售录入!$D$4:$D$103,A47,销售录入!$A$4:$A$103,"&lt;="&amp;EOMONTH($B$2,0)))</f>
        <v/>
      </c>
      <c r="K47" s="17" t="str">
        <f t="shared" si="2"/>
        <v/>
      </c>
      <c r="L47" s="17" t="str">
        <f>IF(A47="","",SUMIFS(销售录入!$I$4:$I$103,销售录入!$D$4:$D$103,A47,销售录入!$B$4:$B$103,TEXT($B$2,"yyyy-mm")))</f>
        <v/>
      </c>
      <c r="M47" s="17" t="str">
        <f t="shared" si="3"/>
        <v/>
      </c>
      <c r="N47" s="52" t="str">
        <f>IF(A47="","",IFERROR(IF(E47=0,0,(F47/E47)/VLOOKUP(A47,基础资料!$P$5:$T$104,5,FALSE)-1),0))</f>
        <v/>
      </c>
      <c r="O47" s="52" t="str">
        <f t="shared" si="4"/>
        <v/>
      </c>
      <c r="P47" t="str">
        <f t="shared" si="5"/>
        <v/>
      </c>
      <c r="Q47" t="str">
        <f t="shared" si="6"/>
        <v/>
      </c>
    </row>
    <row r="48" spans="2:17">
      <c r="B48" t="str">
        <f>IF(A48="","",IFERROR(VLOOKUP(A48,基础资料!$P$5:$R$104,2,FALSE),""))</f>
        <v/>
      </c>
      <c r="C48" t="str">
        <f>IF(A48="","",IFERROR(VLOOKUP(A48,基础资料!$P$5:$R$104,3,FALSE),""))</f>
        <v/>
      </c>
      <c r="D48" s="17" t="str">
        <f>IF(A48="","",SUMIFS(期初数据!$S$5:$S$14,期初数据!$P$5:$P$14,A48)+SUMIFS(采购录入!$G$4:$G$103,采购录入!$D$4:$D$103,A48,采购录入!$A$4:$A$103,"&lt;"&amp;EOMONTH($B$2,-1)+1)-SUMIFS(销售录入!$G$4:$G$103,销售录入!$D$4:$D$103,A48,销售录入!$A$4:$A$103,"&lt;"&amp;EOMONTH($B$2,-1)+1))</f>
        <v/>
      </c>
      <c r="E48" s="17" t="str">
        <f>IF(A48="","",SUMIFS(采购录入!$G$4:$G$103,采购录入!$D$4:$D$103,A48,采购录入!$B$4:$B$103,TEXT($B$2,"yyyy-mm")))</f>
        <v/>
      </c>
      <c r="F48" s="17" t="str">
        <f>IF(A48="","",SUMIFS(采购录入!$I$4:$I$103,采购录入!$D$4:$D$103,A48,采购录入!$B$4:$B$103,TEXT($B$2,"yyyy-mm")))</f>
        <v/>
      </c>
      <c r="G48" s="17" t="str">
        <f>IF(A48="","",SUMIFS(销售录入!$G$4:$G$103,销售录入!$D$4:$D$103,A48,销售录入!$B$4:$B$103,TEXT($B$2,"yyyy-mm")))</f>
        <v/>
      </c>
      <c r="H48" s="17" t="str">
        <f>IF(A48="","",SUMIFS(销售录入!$K$4:$K$103,销售录入!$D$4:$D$103,A48,销售录入!$B$4:$B$103,TEXT($B$2,"yyyy-mm")))</f>
        <v/>
      </c>
      <c r="I48" s="17" t="str">
        <f t="shared" si="1"/>
        <v/>
      </c>
      <c r="J48" s="17" t="str">
        <f>IF(A48="","",SUMIFS(期初数据!$U$5:$U$14,期初数据!$P$5:$P$14,A48)+SUMIFS(采购录入!$I$4:$I$103,采购录入!$D$4:$D$103,A48,采购录入!$A$4:$A$103,"&lt;="&amp;EOMONTH($B$2,0))-SUMIFS(销售录入!$K$4:$K$103,销售录入!$D$4:$D$103,A48,销售录入!$A$4:$A$103,"&lt;="&amp;EOMONTH($B$2,0)))</f>
        <v/>
      </c>
      <c r="K48" s="17" t="str">
        <f t="shared" si="2"/>
        <v/>
      </c>
      <c r="L48" s="17" t="str">
        <f>IF(A48="","",SUMIFS(销售录入!$I$4:$I$103,销售录入!$D$4:$D$103,A48,销售录入!$B$4:$B$103,TEXT($B$2,"yyyy-mm")))</f>
        <v/>
      </c>
      <c r="M48" s="17" t="str">
        <f t="shared" si="3"/>
        <v/>
      </c>
      <c r="N48" s="52" t="str">
        <f>IF(A48="","",IFERROR(IF(E48=0,0,(F48/E48)/VLOOKUP(A48,基础资料!$P$5:$T$104,5,FALSE)-1),0))</f>
        <v/>
      </c>
      <c r="O48" s="52" t="str">
        <f t="shared" si="4"/>
        <v/>
      </c>
      <c r="P48" t="str">
        <f t="shared" si="5"/>
        <v/>
      </c>
      <c r="Q48" t="str">
        <f t="shared" si="6"/>
        <v/>
      </c>
    </row>
    <row r="49" spans="2:17">
      <c r="B49" t="str">
        <f>IF(A49="","",IFERROR(VLOOKUP(A49,基础资料!$P$5:$R$104,2,FALSE),""))</f>
        <v/>
      </c>
      <c r="C49" t="str">
        <f>IF(A49="","",IFERROR(VLOOKUP(A49,基础资料!$P$5:$R$104,3,FALSE),""))</f>
        <v/>
      </c>
      <c r="D49" s="17" t="str">
        <f>IF(A49="","",SUMIFS(期初数据!$S$5:$S$14,期初数据!$P$5:$P$14,A49)+SUMIFS(采购录入!$G$4:$G$103,采购录入!$D$4:$D$103,A49,采购录入!$A$4:$A$103,"&lt;"&amp;EOMONTH($B$2,-1)+1)-SUMIFS(销售录入!$G$4:$G$103,销售录入!$D$4:$D$103,A49,销售录入!$A$4:$A$103,"&lt;"&amp;EOMONTH($B$2,-1)+1))</f>
        <v/>
      </c>
      <c r="E49" s="17" t="str">
        <f>IF(A49="","",SUMIFS(采购录入!$G$4:$G$103,采购录入!$D$4:$D$103,A49,采购录入!$B$4:$B$103,TEXT($B$2,"yyyy-mm")))</f>
        <v/>
      </c>
      <c r="F49" s="17" t="str">
        <f>IF(A49="","",SUMIFS(采购录入!$I$4:$I$103,采购录入!$D$4:$D$103,A49,采购录入!$B$4:$B$103,TEXT($B$2,"yyyy-mm")))</f>
        <v/>
      </c>
      <c r="G49" s="17" t="str">
        <f>IF(A49="","",SUMIFS(销售录入!$G$4:$G$103,销售录入!$D$4:$D$103,A49,销售录入!$B$4:$B$103,TEXT($B$2,"yyyy-mm")))</f>
        <v/>
      </c>
      <c r="H49" s="17" t="str">
        <f>IF(A49="","",SUMIFS(销售录入!$K$4:$K$103,销售录入!$D$4:$D$103,A49,销售录入!$B$4:$B$103,TEXT($B$2,"yyyy-mm")))</f>
        <v/>
      </c>
      <c r="I49" s="17" t="str">
        <f t="shared" si="1"/>
        <v/>
      </c>
      <c r="J49" s="17" t="str">
        <f>IF(A49="","",SUMIFS(期初数据!$U$5:$U$14,期初数据!$P$5:$P$14,A49)+SUMIFS(采购录入!$I$4:$I$103,采购录入!$D$4:$D$103,A49,采购录入!$A$4:$A$103,"&lt;="&amp;EOMONTH($B$2,0))-SUMIFS(销售录入!$K$4:$K$103,销售录入!$D$4:$D$103,A49,销售录入!$A$4:$A$103,"&lt;="&amp;EOMONTH($B$2,0)))</f>
        <v/>
      </c>
      <c r="K49" s="17" t="str">
        <f t="shared" si="2"/>
        <v/>
      </c>
      <c r="L49" s="17" t="str">
        <f>IF(A49="","",SUMIFS(销售录入!$I$4:$I$103,销售录入!$D$4:$D$103,A49,销售录入!$B$4:$B$103,TEXT($B$2,"yyyy-mm")))</f>
        <v/>
      </c>
      <c r="M49" s="17" t="str">
        <f t="shared" si="3"/>
        <v/>
      </c>
      <c r="N49" s="52" t="str">
        <f>IF(A49="","",IFERROR(IF(E49=0,0,(F49/E49)/VLOOKUP(A49,基础资料!$P$5:$T$104,5,FALSE)-1),0))</f>
        <v/>
      </c>
      <c r="O49" s="52" t="str">
        <f t="shared" si="4"/>
        <v/>
      </c>
      <c r="P49" t="str">
        <f t="shared" si="5"/>
        <v/>
      </c>
      <c r="Q49" t="str">
        <f t="shared" si="6"/>
        <v/>
      </c>
    </row>
    <row r="50" spans="2:17">
      <c r="B50" t="str">
        <f>IF(A50="","",IFERROR(VLOOKUP(A50,基础资料!$P$5:$R$104,2,FALSE),""))</f>
        <v/>
      </c>
      <c r="C50" t="str">
        <f>IF(A50="","",IFERROR(VLOOKUP(A50,基础资料!$P$5:$R$104,3,FALSE),""))</f>
        <v/>
      </c>
      <c r="D50" s="17" t="str">
        <f>IF(A50="","",SUMIFS(期初数据!$S$5:$S$14,期初数据!$P$5:$P$14,A50)+SUMIFS(采购录入!$G$4:$G$103,采购录入!$D$4:$D$103,A50,采购录入!$A$4:$A$103,"&lt;"&amp;EOMONTH($B$2,-1)+1)-SUMIFS(销售录入!$G$4:$G$103,销售录入!$D$4:$D$103,A50,销售录入!$A$4:$A$103,"&lt;"&amp;EOMONTH($B$2,-1)+1))</f>
        <v/>
      </c>
      <c r="E50" s="17" t="str">
        <f>IF(A50="","",SUMIFS(采购录入!$G$4:$G$103,采购录入!$D$4:$D$103,A50,采购录入!$B$4:$B$103,TEXT($B$2,"yyyy-mm")))</f>
        <v/>
      </c>
      <c r="F50" s="17" t="str">
        <f>IF(A50="","",SUMIFS(采购录入!$I$4:$I$103,采购录入!$D$4:$D$103,A50,采购录入!$B$4:$B$103,TEXT($B$2,"yyyy-mm")))</f>
        <v/>
      </c>
      <c r="G50" s="17" t="str">
        <f>IF(A50="","",SUMIFS(销售录入!$G$4:$G$103,销售录入!$D$4:$D$103,A50,销售录入!$B$4:$B$103,TEXT($B$2,"yyyy-mm")))</f>
        <v/>
      </c>
      <c r="H50" s="17" t="str">
        <f>IF(A50="","",SUMIFS(销售录入!$K$4:$K$103,销售录入!$D$4:$D$103,A50,销售录入!$B$4:$B$103,TEXT($B$2,"yyyy-mm")))</f>
        <v/>
      </c>
      <c r="I50" s="17" t="str">
        <f t="shared" si="1"/>
        <v/>
      </c>
      <c r="J50" s="17" t="str">
        <f>IF(A50="","",SUMIFS(期初数据!$U$5:$U$14,期初数据!$P$5:$P$14,A50)+SUMIFS(采购录入!$I$4:$I$103,采购录入!$D$4:$D$103,A50,采购录入!$A$4:$A$103,"&lt;="&amp;EOMONTH($B$2,0))-SUMIFS(销售录入!$K$4:$K$103,销售录入!$D$4:$D$103,A50,销售录入!$A$4:$A$103,"&lt;="&amp;EOMONTH($B$2,0)))</f>
        <v/>
      </c>
      <c r="K50" s="17" t="str">
        <f t="shared" si="2"/>
        <v/>
      </c>
      <c r="L50" s="17" t="str">
        <f>IF(A50="","",SUMIFS(销售录入!$I$4:$I$103,销售录入!$D$4:$D$103,A50,销售录入!$B$4:$B$103,TEXT($B$2,"yyyy-mm")))</f>
        <v/>
      </c>
      <c r="M50" s="17" t="str">
        <f t="shared" si="3"/>
        <v/>
      </c>
      <c r="N50" s="52" t="str">
        <f>IF(A50="","",IFERROR(IF(E50=0,0,(F50/E50)/VLOOKUP(A50,基础资料!$P$5:$T$104,5,FALSE)-1),0))</f>
        <v/>
      </c>
      <c r="O50" s="52" t="str">
        <f t="shared" si="4"/>
        <v/>
      </c>
      <c r="P50" t="str">
        <f t="shared" si="5"/>
        <v/>
      </c>
      <c r="Q50" t="str">
        <f t="shared" si="6"/>
        <v/>
      </c>
    </row>
    <row r="51" spans="2:17">
      <c r="B51" t="str">
        <f>IF(A51="","",IFERROR(VLOOKUP(A51,基础资料!$P$5:$R$104,2,FALSE),""))</f>
        <v/>
      </c>
      <c r="C51" t="str">
        <f>IF(A51="","",IFERROR(VLOOKUP(A51,基础资料!$P$5:$R$104,3,FALSE),""))</f>
        <v/>
      </c>
      <c r="D51" s="17" t="str">
        <f>IF(A51="","",SUMIFS(期初数据!$S$5:$S$14,期初数据!$P$5:$P$14,A51)+SUMIFS(采购录入!$G$4:$G$103,采购录入!$D$4:$D$103,A51,采购录入!$A$4:$A$103,"&lt;"&amp;EOMONTH($B$2,-1)+1)-SUMIFS(销售录入!$G$4:$G$103,销售录入!$D$4:$D$103,A51,销售录入!$A$4:$A$103,"&lt;"&amp;EOMONTH($B$2,-1)+1))</f>
        <v/>
      </c>
      <c r="E51" s="17" t="str">
        <f>IF(A51="","",SUMIFS(采购录入!$G$4:$G$103,采购录入!$D$4:$D$103,A51,采购录入!$B$4:$B$103,TEXT($B$2,"yyyy-mm")))</f>
        <v/>
      </c>
      <c r="F51" s="17" t="str">
        <f>IF(A51="","",SUMIFS(采购录入!$I$4:$I$103,采购录入!$D$4:$D$103,A51,采购录入!$B$4:$B$103,TEXT($B$2,"yyyy-mm")))</f>
        <v/>
      </c>
      <c r="G51" s="17" t="str">
        <f>IF(A51="","",SUMIFS(销售录入!$G$4:$G$103,销售录入!$D$4:$D$103,A51,销售录入!$B$4:$B$103,TEXT($B$2,"yyyy-mm")))</f>
        <v/>
      </c>
      <c r="H51" s="17" t="str">
        <f>IF(A51="","",SUMIFS(销售录入!$K$4:$K$103,销售录入!$D$4:$D$103,A51,销售录入!$B$4:$B$103,TEXT($B$2,"yyyy-mm")))</f>
        <v/>
      </c>
      <c r="I51" s="17" t="str">
        <f t="shared" si="1"/>
        <v/>
      </c>
      <c r="J51" s="17" t="str">
        <f>IF(A51="","",SUMIFS(期初数据!$U$5:$U$14,期初数据!$P$5:$P$14,A51)+SUMIFS(采购录入!$I$4:$I$103,采购录入!$D$4:$D$103,A51,采购录入!$A$4:$A$103,"&lt;="&amp;EOMONTH($B$2,0))-SUMIFS(销售录入!$K$4:$K$103,销售录入!$D$4:$D$103,A51,销售录入!$A$4:$A$103,"&lt;="&amp;EOMONTH($B$2,0)))</f>
        <v/>
      </c>
      <c r="K51" s="17" t="str">
        <f t="shared" si="2"/>
        <v/>
      </c>
      <c r="L51" s="17" t="str">
        <f>IF(A51="","",SUMIFS(销售录入!$I$4:$I$103,销售录入!$D$4:$D$103,A51,销售录入!$B$4:$B$103,TEXT($B$2,"yyyy-mm")))</f>
        <v/>
      </c>
      <c r="M51" s="17" t="str">
        <f t="shared" si="3"/>
        <v/>
      </c>
      <c r="N51" s="52" t="str">
        <f>IF(A51="","",IFERROR(IF(E51=0,0,(F51/E51)/VLOOKUP(A51,基础资料!$P$5:$T$104,5,FALSE)-1),0))</f>
        <v/>
      </c>
      <c r="O51" s="52" t="str">
        <f t="shared" si="4"/>
        <v/>
      </c>
      <c r="P51" t="str">
        <f t="shared" si="5"/>
        <v/>
      </c>
      <c r="Q51" t="str">
        <f t="shared" si="6"/>
        <v/>
      </c>
    </row>
    <row r="52" spans="2:17">
      <c r="B52" t="str">
        <f>IF(A52="","",IFERROR(VLOOKUP(A52,基础资料!$P$5:$R$104,2,FALSE),""))</f>
        <v/>
      </c>
      <c r="C52" t="str">
        <f>IF(A52="","",IFERROR(VLOOKUP(A52,基础资料!$P$5:$R$104,3,FALSE),""))</f>
        <v/>
      </c>
      <c r="D52" s="17" t="str">
        <f>IF(A52="","",SUMIFS(期初数据!$S$5:$S$14,期初数据!$P$5:$P$14,A52)+SUMIFS(采购录入!$G$4:$G$103,采购录入!$D$4:$D$103,A52,采购录入!$A$4:$A$103,"&lt;"&amp;EOMONTH($B$2,-1)+1)-SUMIFS(销售录入!$G$4:$G$103,销售录入!$D$4:$D$103,A52,销售录入!$A$4:$A$103,"&lt;"&amp;EOMONTH($B$2,-1)+1))</f>
        <v/>
      </c>
      <c r="E52" s="17" t="str">
        <f>IF(A52="","",SUMIFS(采购录入!$G$4:$G$103,采购录入!$D$4:$D$103,A52,采购录入!$B$4:$B$103,TEXT($B$2,"yyyy-mm")))</f>
        <v/>
      </c>
      <c r="F52" s="17" t="str">
        <f>IF(A52="","",SUMIFS(采购录入!$I$4:$I$103,采购录入!$D$4:$D$103,A52,采购录入!$B$4:$B$103,TEXT($B$2,"yyyy-mm")))</f>
        <v/>
      </c>
      <c r="G52" s="17" t="str">
        <f>IF(A52="","",SUMIFS(销售录入!$G$4:$G$103,销售录入!$D$4:$D$103,A52,销售录入!$B$4:$B$103,TEXT($B$2,"yyyy-mm")))</f>
        <v/>
      </c>
      <c r="H52" s="17" t="str">
        <f>IF(A52="","",SUMIFS(销售录入!$K$4:$K$103,销售录入!$D$4:$D$103,A52,销售录入!$B$4:$B$103,TEXT($B$2,"yyyy-mm")))</f>
        <v/>
      </c>
      <c r="I52" s="17" t="str">
        <f t="shared" si="1"/>
        <v/>
      </c>
      <c r="J52" s="17" t="str">
        <f>IF(A52="","",SUMIFS(期初数据!$U$5:$U$14,期初数据!$P$5:$P$14,A52)+SUMIFS(采购录入!$I$4:$I$103,采购录入!$D$4:$D$103,A52,采购录入!$A$4:$A$103,"&lt;="&amp;EOMONTH($B$2,0))-SUMIFS(销售录入!$K$4:$K$103,销售录入!$D$4:$D$103,A52,销售录入!$A$4:$A$103,"&lt;="&amp;EOMONTH($B$2,0)))</f>
        <v/>
      </c>
      <c r="K52" s="17" t="str">
        <f t="shared" si="2"/>
        <v/>
      </c>
      <c r="L52" s="17" t="str">
        <f>IF(A52="","",SUMIFS(销售录入!$I$4:$I$103,销售录入!$D$4:$D$103,A52,销售录入!$B$4:$B$103,TEXT($B$2,"yyyy-mm")))</f>
        <v/>
      </c>
      <c r="M52" s="17" t="str">
        <f t="shared" si="3"/>
        <v/>
      </c>
      <c r="N52" s="52" t="str">
        <f>IF(A52="","",IFERROR(IF(E52=0,0,(F52/E52)/VLOOKUP(A52,基础资料!$P$5:$T$104,5,FALSE)-1),0))</f>
        <v/>
      </c>
      <c r="O52" s="52" t="str">
        <f t="shared" si="4"/>
        <v/>
      </c>
      <c r="P52" t="str">
        <f t="shared" si="5"/>
        <v/>
      </c>
      <c r="Q52" t="str">
        <f t="shared" si="6"/>
        <v/>
      </c>
    </row>
    <row r="53" spans="2:17">
      <c r="B53" t="str">
        <f>IF(A53="","",IFERROR(VLOOKUP(A53,基础资料!$P$5:$R$104,2,FALSE),""))</f>
        <v/>
      </c>
      <c r="C53" t="str">
        <f>IF(A53="","",IFERROR(VLOOKUP(A53,基础资料!$P$5:$R$104,3,FALSE),""))</f>
        <v/>
      </c>
      <c r="D53" s="17" t="str">
        <f>IF(A53="","",SUMIFS(期初数据!$S$5:$S$14,期初数据!$P$5:$P$14,A53)+SUMIFS(采购录入!$G$4:$G$103,采购录入!$D$4:$D$103,A53,采购录入!$A$4:$A$103,"&lt;"&amp;EOMONTH($B$2,-1)+1)-SUMIFS(销售录入!$G$4:$G$103,销售录入!$D$4:$D$103,A53,销售录入!$A$4:$A$103,"&lt;"&amp;EOMONTH($B$2,-1)+1))</f>
        <v/>
      </c>
      <c r="E53" s="17" t="str">
        <f>IF(A53="","",SUMIFS(采购录入!$G$4:$G$103,采购录入!$D$4:$D$103,A53,采购录入!$B$4:$B$103,TEXT($B$2,"yyyy-mm")))</f>
        <v/>
      </c>
      <c r="F53" s="17" t="str">
        <f>IF(A53="","",SUMIFS(采购录入!$I$4:$I$103,采购录入!$D$4:$D$103,A53,采购录入!$B$4:$B$103,TEXT($B$2,"yyyy-mm")))</f>
        <v/>
      </c>
      <c r="G53" s="17" t="str">
        <f>IF(A53="","",SUMIFS(销售录入!$G$4:$G$103,销售录入!$D$4:$D$103,A53,销售录入!$B$4:$B$103,TEXT($B$2,"yyyy-mm")))</f>
        <v/>
      </c>
      <c r="H53" s="17" t="str">
        <f>IF(A53="","",SUMIFS(销售录入!$K$4:$K$103,销售录入!$D$4:$D$103,A53,销售录入!$B$4:$B$103,TEXT($B$2,"yyyy-mm")))</f>
        <v/>
      </c>
      <c r="I53" s="17" t="str">
        <f t="shared" si="1"/>
        <v/>
      </c>
      <c r="J53" s="17" t="str">
        <f>IF(A53="","",SUMIFS(期初数据!$U$5:$U$14,期初数据!$P$5:$P$14,A53)+SUMIFS(采购录入!$I$4:$I$103,采购录入!$D$4:$D$103,A53,采购录入!$A$4:$A$103,"&lt;="&amp;EOMONTH($B$2,0))-SUMIFS(销售录入!$K$4:$K$103,销售录入!$D$4:$D$103,A53,销售录入!$A$4:$A$103,"&lt;="&amp;EOMONTH($B$2,0)))</f>
        <v/>
      </c>
      <c r="K53" s="17" t="str">
        <f t="shared" si="2"/>
        <v/>
      </c>
      <c r="L53" s="17" t="str">
        <f>IF(A53="","",SUMIFS(销售录入!$I$4:$I$103,销售录入!$D$4:$D$103,A53,销售录入!$B$4:$B$103,TEXT($B$2,"yyyy-mm")))</f>
        <v/>
      </c>
      <c r="M53" s="17" t="str">
        <f t="shared" si="3"/>
        <v/>
      </c>
      <c r="N53" s="52" t="str">
        <f>IF(A53="","",IFERROR(IF(E53=0,0,(F53/E53)/VLOOKUP(A53,基础资料!$P$5:$T$104,5,FALSE)-1),0))</f>
        <v/>
      </c>
      <c r="O53" s="52" t="str">
        <f t="shared" si="4"/>
        <v/>
      </c>
      <c r="P53" t="str">
        <f t="shared" si="5"/>
        <v/>
      </c>
      <c r="Q53" t="str">
        <f t="shared" si="6"/>
        <v/>
      </c>
    </row>
    <row r="54" spans="2:17">
      <c r="B54" t="str">
        <f>IF(A54="","",IFERROR(VLOOKUP(A54,基础资料!$P$5:$R$104,2,FALSE),""))</f>
        <v/>
      </c>
      <c r="C54" t="str">
        <f>IF(A54="","",IFERROR(VLOOKUP(A54,基础资料!$P$5:$R$104,3,FALSE),""))</f>
        <v/>
      </c>
      <c r="D54" s="17" t="str">
        <f>IF(A54="","",SUMIFS(期初数据!$S$5:$S$14,期初数据!$P$5:$P$14,A54)+SUMIFS(采购录入!$G$4:$G$103,采购录入!$D$4:$D$103,A54,采购录入!$A$4:$A$103,"&lt;"&amp;EOMONTH($B$2,-1)+1)-SUMIFS(销售录入!$G$4:$G$103,销售录入!$D$4:$D$103,A54,销售录入!$A$4:$A$103,"&lt;"&amp;EOMONTH($B$2,-1)+1))</f>
        <v/>
      </c>
      <c r="E54" s="17" t="str">
        <f>IF(A54="","",SUMIFS(采购录入!$G$4:$G$103,采购录入!$D$4:$D$103,A54,采购录入!$B$4:$B$103,TEXT($B$2,"yyyy-mm")))</f>
        <v/>
      </c>
      <c r="F54" s="17" t="str">
        <f>IF(A54="","",SUMIFS(采购录入!$I$4:$I$103,采购录入!$D$4:$D$103,A54,采购录入!$B$4:$B$103,TEXT($B$2,"yyyy-mm")))</f>
        <v/>
      </c>
      <c r="G54" s="17" t="str">
        <f>IF(A54="","",SUMIFS(销售录入!$G$4:$G$103,销售录入!$D$4:$D$103,A54,销售录入!$B$4:$B$103,TEXT($B$2,"yyyy-mm")))</f>
        <v/>
      </c>
      <c r="H54" s="17" t="str">
        <f>IF(A54="","",SUMIFS(销售录入!$K$4:$K$103,销售录入!$D$4:$D$103,A54,销售录入!$B$4:$B$103,TEXT($B$2,"yyyy-mm")))</f>
        <v/>
      </c>
      <c r="I54" s="17" t="str">
        <f t="shared" si="1"/>
        <v/>
      </c>
      <c r="J54" s="17" t="str">
        <f>IF(A54="","",SUMIFS(期初数据!$U$5:$U$14,期初数据!$P$5:$P$14,A54)+SUMIFS(采购录入!$I$4:$I$103,采购录入!$D$4:$D$103,A54,采购录入!$A$4:$A$103,"&lt;="&amp;EOMONTH($B$2,0))-SUMIFS(销售录入!$K$4:$K$103,销售录入!$D$4:$D$103,A54,销售录入!$A$4:$A$103,"&lt;="&amp;EOMONTH($B$2,0)))</f>
        <v/>
      </c>
      <c r="K54" s="17" t="str">
        <f t="shared" si="2"/>
        <v/>
      </c>
      <c r="L54" s="17" t="str">
        <f>IF(A54="","",SUMIFS(销售录入!$I$4:$I$103,销售录入!$D$4:$D$103,A54,销售录入!$B$4:$B$103,TEXT($B$2,"yyyy-mm")))</f>
        <v/>
      </c>
      <c r="M54" s="17" t="str">
        <f t="shared" si="3"/>
        <v/>
      </c>
      <c r="N54" s="52" t="str">
        <f>IF(A54="","",IFERROR(IF(E54=0,0,(F54/E54)/VLOOKUP(A54,基础资料!$P$5:$T$104,5,FALSE)-1),0))</f>
        <v/>
      </c>
      <c r="O54" s="52" t="str">
        <f t="shared" si="4"/>
        <v/>
      </c>
      <c r="P54" t="str">
        <f t="shared" si="5"/>
        <v/>
      </c>
      <c r="Q54" t="str">
        <f t="shared" si="6"/>
        <v/>
      </c>
    </row>
    <row r="55" spans="2:17">
      <c r="B55" t="str">
        <f>IF(A55="","",IFERROR(VLOOKUP(A55,基础资料!$P$5:$R$104,2,FALSE),""))</f>
        <v/>
      </c>
      <c r="C55" t="str">
        <f>IF(A55="","",IFERROR(VLOOKUP(A55,基础资料!$P$5:$R$104,3,FALSE),""))</f>
        <v/>
      </c>
      <c r="D55" s="17" t="str">
        <f>IF(A55="","",SUMIFS(期初数据!$S$5:$S$14,期初数据!$P$5:$P$14,A55)+SUMIFS(采购录入!$G$4:$G$103,采购录入!$D$4:$D$103,A55,采购录入!$A$4:$A$103,"&lt;"&amp;EOMONTH($B$2,-1)+1)-SUMIFS(销售录入!$G$4:$G$103,销售录入!$D$4:$D$103,A55,销售录入!$A$4:$A$103,"&lt;"&amp;EOMONTH($B$2,-1)+1))</f>
        <v/>
      </c>
      <c r="E55" s="17" t="str">
        <f>IF(A55="","",SUMIFS(采购录入!$G$4:$G$103,采购录入!$D$4:$D$103,A55,采购录入!$B$4:$B$103,TEXT($B$2,"yyyy-mm")))</f>
        <v/>
      </c>
      <c r="F55" s="17" t="str">
        <f>IF(A55="","",SUMIFS(采购录入!$I$4:$I$103,采购录入!$D$4:$D$103,A55,采购录入!$B$4:$B$103,TEXT($B$2,"yyyy-mm")))</f>
        <v/>
      </c>
      <c r="G55" s="17" t="str">
        <f>IF(A55="","",SUMIFS(销售录入!$G$4:$G$103,销售录入!$D$4:$D$103,A55,销售录入!$B$4:$B$103,TEXT($B$2,"yyyy-mm")))</f>
        <v/>
      </c>
      <c r="H55" s="17" t="str">
        <f>IF(A55="","",SUMIFS(销售录入!$K$4:$K$103,销售录入!$D$4:$D$103,A55,销售录入!$B$4:$B$103,TEXT($B$2,"yyyy-mm")))</f>
        <v/>
      </c>
      <c r="I55" s="17" t="str">
        <f t="shared" si="1"/>
        <v/>
      </c>
      <c r="J55" s="17" t="str">
        <f>IF(A55="","",SUMIFS(期初数据!$U$5:$U$14,期初数据!$P$5:$P$14,A55)+SUMIFS(采购录入!$I$4:$I$103,采购录入!$D$4:$D$103,A55,采购录入!$A$4:$A$103,"&lt;="&amp;EOMONTH($B$2,0))-SUMIFS(销售录入!$K$4:$K$103,销售录入!$D$4:$D$103,A55,销售录入!$A$4:$A$103,"&lt;="&amp;EOMONTH($B$2,0)))</f>
        <v/>
      </c>
      <c r="K55" s="17" t="str">
        <f t="shared" si="2"/>
        <v/>
      </c>
      <c r="L55" s="17" t="str">
        <f>IF(A55="","",SUMIFS(销售录入!$I$4:$I$103,销售录入!$D$4:$D$103,A55,销售录入!$B$4:$B$103,TEXT($B$2,"yyyy-mm")))</f>
        <v/>
      </c>
      <c r="M55" s="17" t="str">
        <f t="shared" si="3"/>
        <v/>
      </c>
      <c r="N55" s="52" t="str">
        <f>IF(A55="","",IFERROR(IF(E55=0,0,(F55/E55)/VLOOKUP(A55,基础资料!$P$5:$T$104,5,FALSE)-1),0))</f>
        <v/>
      </c>
      <c r="O55" s="52" t="str">
        <f t="shared" si="4"/>
        <v/>
      </c>
      <c r="P55" t="str">
        <f t="shared" si="5"/>
        <v/>
      </c>
      <c r="Q55" t="str">
        <f t="shared" si="6"/>
        <v/>
      </c>
    </row>
    <row r="56" spans="2:17">
      <c r="B56" t="str">
        <f>IF(A56="","",IFERROR(VLOOKUP(A56,基础资料!$P$5:$R$104,2,FALSE),""))</f>
        <v/>
      </c>
      <c r="C56" t="str">
        <f>IF(A56="","",IFERROR(VLOOKUP(A56,基础资料!$P$5:$R$104,3,FALSE),""))</f>
        <v/>
      </c>
      <c r="D56" s="17" t="str">
        <f>IF(A56="","",SUMIFS(期初数据!$S$5:$S$14,期初数据!$P$5:$P$14,A56)+SUMIFS(采购录入!$G$4:$G$103,采购录入!$D$4:$D$103,A56,采购录入!$A$4:$A$103,"&lt;"&amp;EOMONTH($B$2,-1)+1)-SUMIFS(销售录入!$G$4:$G$103,销售录入!$D$4:$D$103,A56,销售录入!$A$4:$A$103,"&lt;"&amp;EOMONTH($B$2,-1)+1))</f>
        <v/>
      </c>
      <c r="E56" s="17" t="str">
        <f>IF(A56="","",SUMIFS(采购录入!$G$4:$G$103,采购录入!$D$4:$D$103,A56,采购录入!$B$4:$B$103,TEXT($B$2,"yyyy-mm")))</f>
        <v/>
      </c>
      <c r="F56" s="17" t="str">
        <f>IF(A56="","",SUMIFS(采购录入!$I$4:$I$103,采购录入!$D$4:$D$103,A56,采购录入!$B$4:$B$103,TEXT($B$2,"yyyy-mm")))</f>
        <v/>
      </c>
      <c r="G56" s="17" t="str">
        <f>IF(A56="","",SUMIFS(销售录入!$G$4:$G$103,销售录入!$D$4:$D$103,A56,销售录入!$B$4:$B$103,TEXT($B$2,"yyyy-mm")))</f>
        <v/>
      </c>
      <c r="H56" s="17" t="str">
        <f>IF(A56="","",SUMIFS(销售录入!$K$4:$K$103,销售录入!$D$4:$D$103,A56,销售录入!$B$4:$B$103,TEXT($B$2,"yyyy-mm")))</f>
        <v/>
      </c>
      <c r="I56" s="17" t="str">
        <f t="shared" si="1"/>
        <v/>
      </c>
      <c r="J56" s="17" t="str">
        <f>IF(A56="","",SUMIFS(期初数据!$U$5:$U$14,期初数据!$P$5:$P$14,A56)+SUMIFS(采购录入!$I$4:$I$103,采购录入!$D$4:$D$103,A56,采购录入!$A$4:$A$103,"&lt;="&amp;EOMONTH($B$2,0))-SUMIFS(销售录入!$K$4:$K$103,销售录入!$D$4:$D$103,A56,销售录入!$A$4:$A$103,"&lt;="&amp;EOMONTH($B$2,0)))</f>
        <v/>
      </c>
      <c r="K56" s="17" t="str">
        <f t="shared" si="2"/>
        <v/>
      </c>
      <c r="L56" s="17" t="str">
        <f>IF(A56="","",SUMIFS(销售录入!$I$4:$I$103,销售录入!$D$4:$D$103,A56,销售录入!$B$4:$B$103,TEXT($B$2,"yyyy-mm")))</f>
        <v/>
      </c>
      <c r="M56" s="17" t="str">
        <f t="shared" si="3"/>
        <v/>
      </c>
      <c r="N56" s="52" t="str">
        <f>IF(A56="","",IFERROR(IF(E56=0,0,(F56/E56)/VLOOKUP(A56,基础资料!$P$5:$T$104,5,FALSE)-1),0))</f>
        <v/>
      </c>
      <c r="O56" s="52" t="str">
        <f t="shared" si="4"/>
        <v/>
      </c>
      <c r="P56" t="str">
        <f t="shared" si="5"/>
        <v/>
      </c>
      <c r="Q56" t="str">
        <f t="shared" si="6"/>
        <v/>
      </c>
    </row>
    <row r="57" spans="2:17">
      <c r="B57" t="str">
        <f>IF(A57="","",IFERROR(VLOOKUP(A57,基础资料!$P$5:$R$104,2,FALSE),""))</f>
        <v/>
      </c>
      <c r="C57" t="str">
        <f>IF(A57="","",IFERROR(VLOOKUP(A57,基础资料!$P$5:$R$104,3,FALSE),""))</f>
        <v/>
      </c>
      <c r="D57" s="17" t="str">
        <f>IF(A57="","",SUMIFS(期初数据!$S$5:$S$14,期初数据!$P$5:$P$14,A57)+SUMIFS(采购录入!$G$4:$G$103,采购录入!$D$4:$D$103,A57,采购录入!$A$4:$A$103,"&lt;"&amp;EOMONTH($B$2,-1)+1)-SUMIFS(销售录入!$G$4:$G$103,销售录入!$D$4:$D$103,A57,销售录入!$A$4:$A$103,"&lt;"&amp;EOMONTH($B$2,-1)+1))</f>
        <v/>
      </c>
      <c r="E57" s="17" t="str">
        <f>IF(A57="","",SUMIFS(采购录入!$G$4:$G$103,采购录入!$D$4:$D$103,A57,采购录入!$B$4:$B$103,TEXT($B$2,"yyyy-mm")))</f>
        <v/>
      </c>
      <c r="F57" s="17" t="str">
        <f>IF(A57="","",SUMIFS(采购录入!$I$4:$I$103,采购录入!$D$4:$D$103,A57,采购录入!$B$4:$B$103,TEXT($B$2,"yyyy-mm")))</f>
        <v/>
      </c>
      <c r="G57" s="17" t="str">
        <f>IF(A57="","",SUMIFS(销售录入!$G$4:$G$103,销售录入!$D$4:$D$103,A57,销售录入!$B$4:$B$103,TEXT($B$2,"yyyy-mm")))</f>
        <v/>
      </c>
      <c r="H57" s="17" t="str">
        <f>IF(A57="","",SUMIFS(销售录入!$K$4:$K$103,销售录入!$D$4:$D$103,A57,销售录入!$B$4:$B$103,TEXT($B$2,"yyyy-mm")))</f>
        <v/>
      </c>
      <c r="I57" s="17" t="str">
        <f t="shared" si="1"/>
        <v/>
      </c>
      <c r="J57" s="17" t="str">
        <f>IF(A57="","",SUMIFS(期初数据!$U$5:$U$14,期初数据!$P$5:$P$14,A57)+SUMIFS(采购录入!$I$4:$I$103,采购录入!$D$4:$D$103,A57,采购录入!$A$4:$A$103,"&lt;="&amp;EOMONTH($B$2,0))-SUMIFS(销售录入!$K$4:$K$103,销售录入!$D$4:$D$103,A57,销售录入!$A$4:$A$103,"&lt;="&amp;EOMONTH($B$2,0)))</f>
        <v/>
      </c>
      <c r="K57" s="17" t="str">
        <f t="shared" si="2"/>
        <v/>
      </c>
      <c r="L57" s="17" t="str">
        <f>IF(A57="","",SUMIFS(销售录入!$I$4:$I$103,销售录入!$D$4:$D$103,A57,销售录入!$B$4:$B$103,TEXT($B$2,"yyyy-mm")))</f>
        <v/>
      </c>
      <c r="M57" s="17" t="str">
        <f t="shared" si="3"/>
        <v/>
      </c>
      <c r="N57" s="52" t="str">
        <f>IF(A57="","",IFERROR(IF(E57=0,0,(F57/E57)/VLOOKUP(A57,基础资料!$P$5:$T$104,5,FALSE)-1),0))</f>
        <v/>
      </c>
      <c r="O57" s="52" t="str">
        <f t="shared" si="4"/>
        <v/>
      </c>
      <c r="P57" t="str">
        <f t="shared" si="5"/>
        <v/>
      </c>
      <c r="Q57" t="str">
        <f t="shared" si="6"/>
        <v/>
      </c>
    </row>
    <row r="58" spans="2:17">
      <c r="B58" t="str">
        <f>IF(A58="","",IFERROR(VLOOKUP(A58,基础资料!$P$5:$R$104,2,FALSE),""))</f>
        <v/>
      </c>
      <c r="C58" t="str">
        <f>IF(A58="","",IFERROR(VLOOKUP(A58,基础资料!$P$5:$R$104,3,FALSE),""))</f>
        <v/>
      </c>
      <c r="D58" s="17" t="str">
        <f>IF(A58="","",SUMIFS(期初数据!$S$5:$S$14,期初数据!$P$5:$P$14,A58)+SUMIFS(采购录入!$G$4:$G$103,采购录入!$D$4:$D$103,A58,采购录入!$A$4:$A$103,"&lt;"&amp;EOMONTH($B$2,-1)+1)-SUMIFS(销售录入!$G$4:$G$103,销售录入!$D$4:$D$103,A58,销售录入!$A$4:$A$103,"&lt;"&amp;EOMONTH($B$2,-1)+1))</f>
        <v/>
      </c>
      <c r="E58" s="17" t="str">
        <f>IF(A58="","",SUMIFS(采购录入!$G$4:$G$103,采购录入!$D$4:$D$103,A58,采购录入!$B$4:$B$103,TEXT($B$2,"yyyy-mm")))</f>
        <v/>
      </c>
      <c r="F58" s="17" t="str">
        <f>IF(A58="","",SUMIFS(采购录入!$I$4:$I$103,采购录入!$D$4:$D$103,A58,采购录入!$B$4:$B$103,TEXT($B$2,"yyyy-mm")))</f>
        <v/>
      </c>
      <c r="G58" s="17" t="str">
        <f>IF(A58="","",SUMIFS(销售录入!$G$4:$G$103,销售录入!$D$4:$D$103,A58,销售录入!$B$4:$B$103,TEXT($B$2,"yyyy-mm")))</f>
        <v/>
      </c>
      <c r="H58" s="17" t="str">
        <f>IF(A58="","",SUMIFS(销售录入!$K$4:$K$103,销售录入!$D$4:$D$103,A58,销售录入!$B$4:$B$103,TEXT($B$2,"yyyy-mm")))</f>
        <v/>
      </c>
      <c r="I58" s="17" t="str">
        <f t="shared" si="1"/>
        <v/>
      </c>
      <c r="J58" s="17" t="str">
        <f>IF(A58="","",SUMIFS(期初数据!$U$5:$U$14,期初数据!$P$5:$P$14,A58)+SUMIFS(采购录入!$I$4:$I$103,采购录入!$D$4:$D$103,A58,采购录入!$A$4:$A$103,"&lt;="&amp;EOMONTH($B$2,0))-SUMIFS(销售录入!$K$4:$K$103,销售录入!$D$4:$D$103,A58,销售录入!$A$4:$A$103,"&lt;="&amp;EOMONTH($B$2,0)))</f>
        <v/>
      </c>
      <c r="K58" s="17" t="str">
        <f t="shared" si="2"/>
        <v/>
      </c>
      <c r="L58" s="17" t="str">
        <f>IF(A58="","",SUMIFS(销售录入!$I$4:$I$103,销售录入!$D$4:$D$103,A58,销售录入!$B$4:$B$103,TEXT($B$2,"yyyy-mm")))</f>
        <v/>
      </c>
      <c r="M58" s="17" t="str">
        <f t="shared" si="3"/>
        <v/>
      </c>
      <c r="N58" s="52" t="str">
        <f>IF(A58="","",IFERROR(IF(E58=0,0,(F58/E58)/VLOOKUP(A58,基础资料!$P$5:$T$104,5,FALSE)-1),0))</f>
        <v/>
      </c>
      <c r="O58" s="52" t="str">
        <f t="shared" si="4"/>
        <v/>
      </c>
      <c r="P58" t="str">
        <f t="shared" si="5"/>
        <v/>
      </c>
      <c r="Q58" t="str">
        <f t="shared" si="6"/>
        <v/>
      </c>
    </row>
    <row r="59" spans="2:17">
      <c r="B59" t="str">
        <f>IF(A59="","",IFERROR(VLOOKUP(A59,基础资料!$P$5:$R$104,2,FALSE),""))</f>
        <v/>
      </c>
      <c r="C59" t="str">
        <f>IF(A59="","",IFERROR(VLOOKUP(A59,基础资料!$P$5:$R$104,3,FALSE),""))</f>
        <v/>
      </c>
      <c r="D59" s="17" t="str">
        <f>IF(A59="","",SUMIFS(期初数据!$S$5:$S$14,期初数据!$P$5:$P$14,A59)+SUMIFS(采购录入!$G$4:$G$103,采购录入!$D$4:$D$103,A59,采购录入!$A$4:$A$103,"&lt;"&amp;EOMONTH($B$2,-1)+1)-SUMIFS(销售录入!$G$4:$G$103,销售录入!$D$4:$D$103,A59,销售录入!$A$4:$A$103,"&lt;"&amp;EOMONTH($B$2,-1)+1))</f>
        <v/>
      </c>
      <c r="E59" s="17" t="str">
        <f>IF(A59="","",SUMIFS(采购录入!$G$4:$G$103,采购录入!$D$4:$D$103,A59,采购录入!$B$4:$B$103,TEXT($B$2,"yyyy-mm")))</f>
        <v/>
      </c>
      <c r="F59" s="17" t="str">
        <f>IF(A59="","",SUMIFS(采购录入!$I$4:$I$103,采购录入!$D$4:$D$103,A59,采购录入!$B$4:$B$103,TEXT($B$2,"yyyy-mm")))</f>
        <v/>
      </c>
      <c r="G59" s="17" t="str">
        <f>IF(A59="","",SUMIFS(销售录入!$G$4:$G$103,销售录入!$D$4:$D$103,A59,销售录入!$B$4:$B$103,TEXT($B$2,"yyyy-mm")))</f>
        <v/>
      </c>
      <c r="H59" s="17" t="str">
        <f>IF(A59="","",SUMIFS(销售录入!$K$4:$K$103,销售录入!$D$4:$D$103,A59,销售录入!$B$4:$B$103,TEXT($B$2,"yyyy-mm")))</f>
        <v/>
      </c>
      <c r="I59" s="17" t="str">
        <f t="shared" si="1"/>
        <v/>
      </c>
      <c r="J59" s="17" t="str">
        <f>IF(A59="","",SUMIFS(期初数据!$U$5:$U$14,期初数据!$P$5:$P$14,A59)+SUMIFS(采购录入!$I$4:$I$103,采购录入!$D$4:$D$103,A59,采购录入!$A$4:$A$103,"&lt;="&amp;EOMONTH($B$2,0))-SUMIFS(销售录入!$K$4:$K$103,销售录入!$D$4:$D$103,A59,销售录入!$A$4:$A$103,"&lt;="&amp;EOMONTH($B$2,0)))</f>
        <v/>
      </c>
      <c r="K59" s="17" t="str">
        <f t="shared" si="2"/>
        <v/>
      </c>
      <c r="L59" s="17" t="str">
        <f>IF(A59="","",SUMIFS(销售录入!$I$4:$I$103,销售录入!$D$4:$D$103,A59,销售录入!$B$4:$B$103,TEXT($B$2,"yyyy-mm")))</f>
        <v/>
      </c>
      <c r="M59" s="17" t="str">
        <f t="shared" si="3"/>
        <v/>
      </c>
      <c r="N59" s="52" t="str">
        <f>IF(A59="","",IFERROR(IF(E59=0,0,(F59/E59)/VLOOKUP(A59,基础资料!$P$5:$T$104,5,FALSE)-1),0))</f>
        <v/>
      </c>
      <c r="O59" s="52" t="str">
        <f t="shared" si="4"/>
        <v/>
      </c>
      <c r="P59" t="str">
        <f t="shared" si="5"/>
        <v/>
      </c>
      <c r="Q59" t="str">
        <f t="shared" si="6"/>
        <v/>
      </c>
    </row>
    <row r="60" spans="2:17">
      <c r="B60" t="str">
        <f>IF(A60="","",IFERROR(VLOOKUP(A60,基础资料!$P$5:$R$104,2,FALSE),""))</f>
        <v/>
      </c>
      <c r="C60" t="str">
        <f>IF(A60="","",IFERROR(VLOOKUP(A60,基础资料!$P$5:$R$104,3,FALSE),""))</f>
        <v/>
      </c>
      <c r="D60" s="17" t="str">
        <f>IF(A60="","",SUMIFS(期初数据!$S$5:$S$14,期初数据!$P$5:$P$14,A60)+SUMIFS(采购录入!$G$4:$G$103,采购录入!$D$4:$D$103,A60,采购录入!$A$4:$A$103,"&lt;"&amp;EOMONTH($B$2,-1)+1)-SUMIFS(销售录入!$G$4:$G$103,销售录入!$D$4:$D$103,A60,销售录入!$A$4:$A$103,"&lt;"&amp;EOMONTH($B$2,-1)+1))</f>
        <v/>
      </c>
      <c r="E60" s="17" t="str">
        <f>IF(A60="","",SUMIFS(采购录入!$G$4:$G$103,采购录入!$D$4:$D$103,A60,采购录入!$B$4:$B$103,TEXT($B$2,"yyyy-mm")))</f>
        <v/>
      </c>
      <c r="F60" s="17" t="str">
        <f>IF(A60="","",SUMIFS(采购录入!$I$4:$I$103,采购录入!$D$4:$D$103,A60,采购录入!$B$4:$B$103,TEXT($B$2,"yyyy-mm")))</f>
        <v/>
      </c>
      <c r="G60" s="17" t="str">
        <f>IF(A60="","",SUMIFS(销售录入!$G$4:$G$103,销售录入!$D$4:$D$103,A60,销售录入!$B$4:$B$103,TEXT($B$2,"yyyy-mm")))</f>
        <v/>
      </c>
      <c r="H60" s="17" t="str">
        <f>IF(A60="","",SUMIFS(销售录入!$K$4:$K$103,销售录入!$D$4:$D$103,A60,销售录入!$B$4:$B$103,TEXT($B$2,"yyyy-mm")))</f>
        <v/>
      </c>
      <c r="I60" s="17" t="str">
        <f t="shared" si="1"/>
        <v/>
      </c>
      <c r="J60" s="17" t="str">
        <f>IF(A60="","",SUMIFS(期初数据!$U$5:$U$14,期初数据!$P$5:$P$14,A60)+SUMIFS(采购录入!$I$4:$I$103,采购录入!$D$4:$D$103,A60,采购录入!$A$4:$A$103,"&lt;="&amp;EOMONTH($B$2,0))-SUMIFS(销售录入!$K$4:$K$103,销售录入!$D$4:$D$103,A60,销售录入!$A$4:$A$103,"&lt;="&amp;EOMONTH($B$2,0)))</f>
        <v/>
      </c>
      <c r="K60" s="17" t="str">
        <f t="shared" si="2"/>
        <v/>
      </c>
      <c r="L60" s="17" t="str">
        <f>IF(A60="","",SUMIFS(销售录入!$I$4:$I$103,销售录入!$D$4:$D$103,A60,销售录入!$B$4:$B$103,TEXT($B$2,"yyyy-mm")))</f>
        <v/>
      </c>
      <c r="M60" s="17" t="str">
        <f t="shared" si="3"/>
        <v/>
      </c>
      <c r="N60" s="52" t="str">
        <f>IF(A60="","",IFERROR(IF(E60=0,0,(F60/E60)/VLOOKUP(A60,基础资料!$P$5:$T$104,5,FALSE)-1),0))</f>
        <v/>
      </c>
      <c r="O60" s="52" t="str">
        <f t="shared" si="4"/>
        <v/>
      </c>
      <c r="P60" t="str">
        <f t="shared" si="5"/>
        <v/>
      </c>
      <c r="Q60" t="str">
        <f t="shared" si="6"/>
        <v/>
      </c>
    </row>
    <row r="61" spans="2:17">
      <c r="B61" t="str">
        <f>IF(A61="","",IFERROR(VLOOKUP(A61,基础资料!$P$5:$R$104,2,FALSE),""))</f>
        <v/>
      </c>
      <c r="C61" t="str">
        <f>IF(A61="","",IFERROR(VLOOKUP(A61,基础资料!$P$5:$R$104,3,FALSE),""))</f>
        <v/>
      </c>
      <c r="D61" s="17" t="str">
        <f>IF(A61="","",SUMIFS(期初数据!$S$5:$S$14,期初数据!$P$5:$P$14,A61)+SUMIFS(采购录入!$G$4:$G$103,采购录入!$D$4:$D$103,A61,采购录入!$A$4:$A$103,"&lt;"&amp;EOMONTH($B$2,-1)+1)-SUMIFS(销售录入!$G$4:$G$103,销售录入!$D$4:$D$103,A61,销售录入!$A$4:$A$103,"&lt;"&amp;EOMONTH($B$2,-1)+1))</f>
        <v/>
      </c>
      <c r="E61" s="17" t="str">
        <f>IF(A61="","",SUMIFS(采购录入!$G$4:$G$103,采购录入!$D$4:$D$103,A61,采购录入!$B$4:$B$103,TEXT($B$2,"yyyy-mm")))</f>
        <v/>
      </c>
      <c r="F61" s="17" t="str">
        <f>IF(A61="","",SUMIFS(采购录入!$I$4:$I$103,采购录入!$D$4:$D$103,A61,采购录入!$B$4:$B$103,TEXT($B$2,"yyyy-mm")))</f>
        <v/>
      </c>
      <c r="G61" s="17" t="str">
        <f>IF(A61="","",SUMIFS(销售录入!$G$4:$G$103,销售录入!$D$4:$D$103,A61,销售录入!$B$4:$B$103,TEXT($B$2,"yyyy-mm")))</f>
        <v/>
      </c>
      <c r="H61" s="17" t="str">
        <f>IF(A61="","",SUMIFS(销售录入!$K$4:$K$103,销售录入!$D$4:$D$103,A61,销售录入!$B$4:$B$103,TEXT($B$2,"yyyy-mm")))</f>
        <v/>
      </c>
      <c r="I61" s="17" t="str">
        <f t="shared" si="1"/>
        <v/>
      </c>
      <c r="J61" s="17" t="str">
        <f>IF(A61="","",SUMIFS(期初数据!$U$5:$U$14,期初数据!$P$5:$P$14,A61)+SUMIFS(采购录入!$I$4:$I$103,采购录入!$D$4:$D$103,A61,采购录入!$A$4:$A$103,"&lt;="&amp;EOMONTH($B$2,0))-SUMIFS(销售录入!$K$4:$K$103,销售录入!$D$4:$D$103,A61,销售录入!$A$4:$A$103,"&lt;="&amp;EOMONTH($B$2,0)))</f>
        <v/>
      </c>
      <c r="K61" s="17" t="str">
        <f t="shared" si="2"/>
        <v/>
      </c>
      <c r="L61" s="17" t="str">
        <f>IF(A61="","",SUMIFS(销售录入!$I$4:$I$103,销售录入!$D$4:$D$103,A61,销售录入!$B$4:$B$103,TEXT($B$2,"yyyy-mm")))</f>
        <v/>
      </c>
      <c r="M61" s="17" t="str">
        <f t="shared" si="3"/>
        <v/>
      </c>
      <c r="N61" s="52" t="str">
        <f>IF(A61="","",IFERROR(IF(E61=0,0,(F61/E61)/VLOOKUP(A61,基础资料!$P$5:$T$104,5,FALSE)-1),0))</f>
        <v/>
      </c>
      <c r="O61" s="52" t="str">
        <f t="shared" si="4"/>
        <v/>
      </c>
      <c r="P61" t="str">
        <f t="shared" si="5"/>
        <v/>
      </c>
      <c r="Q61" t="str">
        <f t="shared" si="6"/>
        <v/>
      </c>
    </row>
    <row r="62" spans="2:17">
      <c r="B62" t="str">
        <f>IF(A62="","",IFERROR(VLOOKUP(A62,基础资料!$P$5:$R$104,2,FALSE),""))</f>
        <v/>
      </c>
      <c r="C62" t="str">
        <f>IF(A62="","",IFERROR(VLOOKUP(A62,基础资料!$P$5:$R$104,3,FALSE),""))</f>
        <v/>
      </c>
      <c r="D62" s="17" t="str">
        <f>IF(A62="","",SUMIFS(期初数据!$S$5:$S$14,期初数据!$P$5:$P$14,A62)+SUMIFS(采购录入!$G$4:$G$103,采购录入!$D$4:$D$103,A62,采购录入!$A$4:$A$103,"&lt;"&amp;EOMONTH($B$2,-1)+1)-SUMIFS(销售录入!$G$4:$G$103,销售录入!$D$4:$D$103,A62,销售录入!$A$4:$A$103,"&lt;"&amp;EOMONTH($B$2,-1)+1))</f>
        <v/>
      </c>
      <c r="E62" s="17" t="str">
        <f>IF(A62="","",SUMIFS(采购录入!$G$4:$G$103,采购录入!$D$4:$D$103,A62,采购录入!$B$4:$B$103,TEXT($B$2,"yyyy-mm")))</f>
        <v/>
      </c>
      <c r="F62" s="17" t="str">
        <f>IF(A62="","",SUMIFS(采购录入!$I$4:$I$103,采购录入!$D$4:$D$103,A62,采购录入!$B$4:$B$103,TEXT($B$2,"yyyy-mm")))</f>
        <v/>
      </c>
      <c r="G62" s="17" t="str">
        <f>IF(A62="","",SUMIFS(销售录入!$G$4:$G$103,销售录入!$D$4:$D$103,A62,销售录入!$B$4:$B$103,TEXT($B$2,"yyyy-mm")))</f>
        <v/>
      </c>
      <c r="H62" s="17" t="str">
        <f>IF(A62="","",SUMIFS(销售录入!$K$4:$K$103,销售录入!$D$4:$D$103,A62,销售录入!$B$4:$B$103,TEXT($B$2,"yyyy-mm")))</f>
        <v/>
      </c>
      <c r="I62" s="17" t="str">
        <f t="shared" si="1"/>
        <v/>
      </c>
      <c r="J62" s="17" t="str">
        <f>IF(A62="","",SUMIFS(期初数据!$U$5:$U$14,期初数据!$P$5:$P$14,A62)+SUMIFS(采购录入!$I$4:$I$103,采购录入!$D$4:$D$103,A62,采购录入!$A$4:$A$103,"&lt;="&amp;EOMONTH($B$2,0))-SUMIFS(销售录入!$K$4:$K$103,销售录入!$D$4:$D$103,A62,销售录入!$A$4:$A$103,"&lt;="&amp;EOMONTH($B$2,0)))</f>
        <v/>
      </c>
      <c r="K62" s="17" t="str">
        <f t="shared" si="2"/>
        <v/>
      </c>
      <c r="L62" s="17" t="str">
        <f>IF(A62="","",SUMIFS(销售录入!$I$4:$I$103,销售录入!$D$4:$D$103,A62,销售录入!$B$4:$B$103,TEXT($B$2,"yyyy-mm")))</f>
        <v/>
      </c>
      <c r="M62" s="17" t="str">
        <f t="shared" si="3"/>
        <v/>
      </c>
      <c r="N62" s="52" t="str">
        <f>IF(A62="","",IFERROR(IF(E62=0,0,(F62/E62)/VLOOKUP(A62,基础资料!$P$5:$T$104,5,FALSE)-1),0))</f>
        <v/>
      </c>
      <c r="O62" s="52" t="str">
        <f t="shared" si="4"/>
        <v/>
      </c>
      <c r="P62" t="str">
        <f t="shared" si="5"/>
        <v/>
      </c>
      <c r="Q62" t="str">
        <f t="shared" si="6"/>
        <v/>
      </c>
    </row>
    <row r="63" spans="2:17">
      <c r="B63" t="str">
        <f>IF(A63="","",IFERROR(VLOOKUP(A63,基础资料!$P$5:$R$104,2,FALSE),""))</f>
        <v/>
      </c>
      <c r="C63" t="str">
        <f>IF(A63="","",IFERROR(VLOOKUP(A63,基础资料!$P$5:$R$104,3,FALSE),""))</f>
        <v/>
      </c>
      <c r="D63" s="17" t="str">
        <f>IF(A63="","",SUMIFS(期初数据!$S$5:$S$14,期初数据!$P$5:$P$14,A63)+SUMIFS(采购录入!$G$4:$G$103,采购录入!$D$4:$D$103,A63,采购录入!$A$4:$A$103,"&lt;"&amp;EOMONTH($B$2,-1)+1)-SUMIFS(销售录入!$G$4:$G$103,销售录入!$D$4:$D$103,A63,销售录入!$A$4:$A$103,"&lt;"&amp;EOMONTH($B$2,-1)+1))</f>
        <v/>
      </c>
      <c r="E63" s="17" t="str">
        <f>IF(A63="","",SUMIFS(采购录入!$G$4:$G$103,采购录入!$D$4:$D$103,A63,采购录入!$B$4:$B$103,TEXT($B$2,"yyyy-mm")))</f>
        <v/>
      </c>
      <c r="F63" s="17" t="str">
        <f>IF(A63="","",SUMIFS(采购录入!$I$4:$I$103,采购录入!$D$4:$D$103,A63,采购录入!$B$4:$B$103,TEXT($B$2,"yyyy-mm")))</f>
        <v/>
      </c>
      <c r="G63" s="17" t="str">
        <f>IF(A63="","",SUMIFS(销售录入!$G$4:$G$103,销售录入!$D$4:$D$103,A63,销售录入!$B$4:$B$103,TEXT($B$2,"yyyy-mm")))</f>
        <v/>
      </c>
      <c r="H63" s="17" t="str">
        <f>IF(A63="","",SUMIFS(销售录入!$K$4:$K$103,销售录入!$D$4:$D$103,A63,销售录入!$B$4:$B$103,TEXT($B$2,"yyyy-mm")))</f>
        <v/>
      </c>
      <c r="I63" s="17" t="str">
        <f t="shared" si="1"/>
        <v/>
      </c>
      <c r="J63" s="17" t="str">
        <f>IF(A63="","",SUMIFS(期初数据!$U$5:$U$14,期初数据!$P$5:$P$14,A63)+SUMIFS(采购录入!$I$4:$I$103,采购录入!$D$4:$D$103,A63,采购录入!$A$4:$A$103,"&lt;="&amp;EOMONTH($B$2,0))-SUMIFS(销售录入!$K$4:$K$103,销售录入!$D$4:$D$103,A63,销售录入!$A$4:$A$103,"&lt;="&amp;EOMONTH($B$2,0)))</f>
        <v/>
      </c>
      <c r="K63" s="17" t="str">
        <f t="shared" si="2"/>
        <v/>
      </c>
      <c r="L63" s="17" t="str">
        <f>IF(A63="","",SUMIFS(销售录入!$I$4:$I$103,销售录入!$D$4:$D$103,A63,销售录入!$B$4:$B$103,TEXT($B$2,"yyyy-mm")))</f>
        <v/>
      </c>
      <c r="M63" s="17" t="str">
        <f t="shared" si="3"/>
        <v/>
      </c>
      <c r="N63" s="52" t="str">
        <f>IF(A63="","",IFERROR(IF(E63=0,0,(F63/E63)/VLOOKUP(A63,基础资料!$P$5:$T$104,5,FALSE)-1),0))</f>
        <v/>
      </c>
      <c r="O63" s="52" t="str">
        <f t="shared" si="4"/>
        <v/>
      </c>
      <c r="P63" t="str">
        <f t="shared" si="5"/>
        <v/>
      </c>
      <c r="Q63" t="str">
        <f t="shared" si="6"/>
        <v/>
      </c>
    </row>
    <row r="64" spans="2:17">
      <c r="B64" t="str">
        <f>IF(A64="","",IFERROR(VLOOKUP(A64,基础资料!$P$5:$R$104,2,FALSE),""))</f>
        <v/>
      </c>
      <c r="C64" t="str">
        <f>IF(A64="","",IFERROR(VLOOKUP(A64,基础资料!$P$5:$R$104,3,FALSE),""))</f>
        <v/>
      </c>
      <c r="D64" s="17" t="str">
        <f>IF(A64="","",SUMIFS(期初数据!$S$5:$S$14,期初数据!$P$5:$P$14,A64)+SUMIFS(采购录入!$G$4:$G$103,采购录入!$D$4:$D$103,A64,采购录入!$A$4:$A$103,"&lt;"&amp;EOMONTH($B$2,-1)+1)-SUMIFS(销售录入!$G$4:$G$103,销售录入!$D$4:$D$103,A64,销售录入!$A$4:$A$103,"&lt;"&amp;EOMONTH($B$2,-1)+1))</f>
        <v/>
      </c>
      <c r="E64" s="17" t="str">
        <f>IF(A64="","",SUMIFS(采购录入!$G$4:$G$103,采购录入!$D$4:$D$103,A64,采购录入!$B$4:$B$103,TEXT($B$2,"yyyy-mm")))</f>
        <v/>
      </c>
      <c r="F64" s="17" t="str">
        <f>IF(A64="","",SUMIFS(采购录入!$I$4:$I$103,采购录入!$D$4:$D$103,A64,采购录入!$B$4:$B$103,TEXT($B$2,"yyyy-mm")))</f>
        <v/>
      </c>
      <c r="G64" s="17" t="str">
        <f>IF(A64="","",SUMIFS(销售录入!$G$4:$G$103,销售录入!$D$4:$D$103,A64,销售录入!$B$4:$B$103,TEXT($B$2,"yyyy-mm")))</f>
        <v/>
      </c>
      <c r="H64" s="17" t="str">
        <f>IF(A64="","",SUMIFS(销售录入!$K$4:$K$103,销售录入!$D$4:$D$103,A64,销售录入!$B$4:$B$103,TEXT($B$2,"yyyy-mm")))</f>
        <v/>
      </c>
      <c r="I64" s="17" t="str">
        <f t="shared" si="1"/>
        <v/>
      </c>
      <c r="J64" s="17" t="str">
        <f>IF(A64="","",SUMIFS(期初数据!$U$5:$U$14,期初数据!$P$5:$P$14,A64)+SUMIFS(采购录入!$I$4:$I$103,采购录入!$D$4:$D$103,A64,采购录入!$A$4:$A$103,"&lt;="&amp;EOMONTH($B$2,0))-SUMIFS(销售录入!$K$4:$K$103,销售录入!$D$4:$D$103,A64,销售录入!$A$4:$A$103,"&lt;="&amp;EOMONTH($B$2,0)))</f>
        <v/>
      </c>
      <c r="K64" s="17" t="str">
        <f t="shared" si="2"/>
        <v/>
      </c>
      <c r="L64" s="17" t="str">
        <f>IF(A64="","",SUMIFS(销售录入!$I$4:$I$103,销售录入!$D$4:$D$103,A64,销售录入!$B$4:$B$103,TEXT($B$2,"yyyy-mm")))</f>
        <v/>
      </c>
      <c r="M64" s="17" t="str">
        <f t="shared" si="3"/>
        <v/>
      </c>
      <c r="N64" s="52" t="str">
        <f>IF(A64="","",IFERROR(IF(E64=0,0,(F64/E64)/VLOOKUP(A64,基础资料!$P$5:$T$104,5,FALSE)-1),0))</f>
        <v/>
      </c>
      <c r="O64" s="52" t="str">
        <f t="shared" si="4"/>
        <v/>
      </c>
      <c r="P64" t="str">
        <f t="shared" si="5"/>
        <v/>
      </c>
      <c r="Q64" t="str">
        <f t="shared" si="6"/>
        <v/>
      </c>
    </row>
    <row r="65" spans="2:17">
      <c r="B65" t="str">
        <f>IF(A65="","",IFERROR(VLOOKUP(A65,基础资料!$P$5:$R$104,2,FALSE),""))</f>
        <v/>
      </c>
      <c r="C65" t="str">
        <f>IF(A65="","",IFERROR(VLOOKUP(A65,基础资料!$P$5:$R$104,3,FALSE),""))</f>
        <v/>
      </c>
      <c r="D65" s="17" t="str">
        <f>IF(A65="","",SUMIFS(期初数据!$S$5:$S$14,期初数据!$P$5:$P$14,A65)+SUMIFS(采购录入!$G$4:$G$103,采购录入!$D$4:$D$103,A65,采购录入!$A$4:$A$103,"&lt;"&amp;EOMONTH($B$2,-1)+1)-SUMIFS(销售录入!$G$4:$G$103,销售录入!$D$4:$D$103,A65,销售录入!$A$4:$A$103,"&lt;"&amp;EOMONTH($B$2,-1)+1))</f>
        <v/>
      </c>
      <c r="E65" s="17" t="str">
        <f>IF(A65="","",SUMIFS(采购录入!$G$4:$G$103,采购录入!$D$4:$D$103,A65,采购录入!$B$4:$B$103,TEXT($B$2,"yyyy-mm")))</f>
        <v/>
      </c>
      <c r="F65" s="17" t="str">
        <f>IF(A65="","",SUMIFS(采购录入!$I$4:$I$103,采购录入!$D$4:$D$103,A65,采购录入!$B$4:$B$103,TEXT($B$2,"yyyy-mm")))</f>
        <v/>
      </c>
      <c r="G65" s="17" t="str">
        <f>IF(A65="","",SUMIFS(销售录入!$G$4:$G$103,销售录入!$D$4:$D$103,A65,销售录入!$B$4:$B$103,TEXT($B$2,"yyyy-mm")))</f>
        <v/>
      </c>
      <c r="H65" s="17" t="str">
        <f>IF(A65="","",SUMIFS(销售录入!$K$4:$K$103,销售录入!$D$4:$D$103,A65,销售录入!$B$4:$B$103,TEXT($B$2,"yyyy-mm")))</f>
        <v/>
      </c>
      <c r="I65" s="17" t="str">
        <f t="shared" si="1"/>
        <v/>
      </c>
      <c r="J65" s="17" t="str">
        <f>IF(A65="","",SUMIFS(期初数据!$U$5:$U$14,期初数据!$P$5:$P$14,A65)+SUMIFS(采购录入!$I$4:$I$103,采购录入!$D$4:$D$103,A65,采购录入!$A$4:$A$103,"&lt;="&amp;EOMONTH($B$2,0))-SUMIFS(销售录入!$K$4:$K$103,销售录入!$D$4:$D$103,A65,销售录入!$A$4:$A$103,"&lt;="&amp;EOMONTH($B$2,0)))</f>
        <v/>
      </c>
      <c r="K65" s="17" t="str">
        <f t="shared" si="2"/>
        <v/>
      </c>
      <c r="L65" s="17" t="str">
        <f>IF(A65="","",SUMIFS(销售录入!$I$4:$I$103,销售录入!$D$4:$D$103,A65,销售录入!$B$4:$B$103,TEXT($B$2,"yyyy-mm")))</f>
        <v/>
      </c>
      <c r="M65" s="17" t="str">
        <f t="shared" si="3"/>
        <v/>
      </c>
      <c r="N65" s="52" t="str">
        <f>IF(A65="","",IFERROR(IF(E65=0,0,(F65/E65)/VLOOKUP(A65,基础资料!$P$5:$T$104,5,FALSE)-1),0))</f>
        <v/>
      </c>
      <c r="O65" s="52" t="str">
        <f t="shared" si="4"/>
        <v/>
      </c>
      <c r="P65" t="str">
        <f t="shared" si="5"/>
        <v/>
      </c>
      <c r="Q65" t="str">
        <f t="shared" si="6"/>
        <v/>
      </c>
    </row>
    <row r="66" spans="2:17">
      <c r="B66" t="str">
        <f>IF(A66="","",IFERROR(VLOOKUP(A66,基础资料!$P$5:$R$104,2,FALSE),""))</f>
        <v/>
      </c>
      <c r="C66" t="str">
        <f>IF(A66="","",IFERROR(VLOOKUP(A66,基础资料!$P$5:$R$104,3,FALSE),""))</f>
        <v/>
      </c>
      <c r="D66" s="17" t="str">
        <f>IF(A66="","",SUMIFS(期初数据!$S$5:$S$14,期初数据!$P$5:$P$14,A66)+SUMIFS(采购录入!$G$4:$G$103,采购录入!$D$4:$D$103,A66,采购录入!$A$4:$A$103,"&lt;"&amp;EOMONTH($B$2,-1)+1)-SUMIFS(销售录入!$G$4:$G$103,销售录入!$D$4:$D$103,A66,销售录入!$A$4:$A$103,"&lt;"&amp;EOMONTH($B$2,-1)+1))</f>
        <v/>
      </c>
      <c r="E66" s="17" t="str">
        <f>IF(A66="","",SUMIFS(采购录入!$G$4:$G$103,采购录入!$D$4:$D$103,A66,采购录入!$B$4:$B$103,TEXT($B$2,"yyyy-mm")))</f>
        <v/>
      </c>
      <c r="F66" s="17" t="str">
        <f>IF(A66="","",SUMIFS(采购录入!$I$4:$I$103,采购录入!$D$4:$D$103,A66,采购录入!$B$4:$B$103,TEXT($B$2,"yyyy-mm")))</f>
        <v/>
      </c>
      <c r="G66" s="17" t="str">
        <f>IF(A66="","",SUMIFS(销售录入!$G$4:$G$103,销售录入!$D$4:$D$103,A66,销售录入!$B$4:$B$103,TEXT($B$2,"yyyy-mm")))</f>
        <v/>
      </c>
      <c r="H66" s="17" t="str">
        <f>IF(A66="","",SUMIFS(销售录入!$K$4:$K$103,销售录入!$D$4:$D$103,A66,销售录入!$B$4:$B$103,TEXT($B$2,"yyyy-mm")))</f>
        <v/>
      </c>
      <c r="I66" s="17" t="str">
        <f t="shared" si="1"/>
        <v/>
      </c>
      <c r="J66" s="17" t="str">
        <f>IF(A66="","",SUMIFS(期初数据!$U$5:$U$14,期初数据!$P$5:$P$14,A66)+SUMIFS(采购录入!$I$4:$I$103,采购录入!$D$4:$D$103,A66,采购录入!$A$4:$A$103,"&lt;="&amp;EOMONTH($B$2,0))-SUMIFS(销售录入!$K$4:$K$103,销售录入!$D$4:$D$103,A66,销售录入!$A$4:$A$103,"&lt;="&amp;EOMONTH($B$2,0)))</f>
        <v/>
      </c>
      <c r="K66" s="17" t="str">
        <f t="shared" si="2"/>
        <v/>
      </c>
      <c r="L66" s="17" t="str">
        <f>IF(A66="","",SUMIFS(销售录入!$I$4:$I$103,销售录入!$D$4:$D$103,A66,销售录入!$B$4:$B$103,TEXT($B$2,"yyyy-mm")))</f>
        <v/>
      </c>
      <c r="M66" s="17" t="str">
        <f t="shared" si="3"/>
        <v/>
      </c>
      <c r="N66" s="52" t="str">
        <f>IF(A66="","",IFERROR(IF(E66=0,0,(F66/E66)/VLOOKUP(A66,基础资料!$P$5:$T$104,5,FALSE)-1),0))</f>
        <v/>
      </c>
      <c r="O66" s="52" t="str">
        <f t="shared" si="4"/>
        <v/>
      </c>
      <c r="P66" t="str">
        <f t="shared" si="5"/>
        <v/>
      </c>
      <c r="Q66" t="str">
        <f t="shared" si="6"/>
        <v/>
      </c>
    </row>
    <row r="67" spans="2:17">
      <c r="B67" t="str">
        <f>IF(A67="","",IFERROR(VLOOKUP(A67,基础资料!$P$5:$R$104,2,FALSE),""))</f>
        <v/>
      </c>
      <c r="C67" t="str">
        <f>IF(A67="","",IFERROR(VLOOKUP(A67,基础资料!$P$5:$R$104,3,FALSE),""))</f>
        <v/>
      </c>
      <c r="D67" s="17" t="str">
        <f>IF(A67="","",SUMIFS(期初数据!$S$5:$S$14,期初数据!$P$5:$P$14,A67)+SUMIFS(采购录入!$G$4:$G$103,采购录入!$D$4:$D$103,A67,采购录入!$A$4:$A$103,"&lt;"&amp;EOMONTH($B$2,-1)+1)-SUMIFS(销售录入!$G$4:$G$103,销售录入!$D$4:$D$103,A67,销售录入!$A$4:$A$103,"&lt;"&amp;EOMONTH($B$2,-1)+1))</f>
        <v/>
      </c>
      <c r="E67" s="17" t="str">
        <f>IF(A67="","",SUMIFS(采购录入!$G$4:$G$103,采购录入!$D$4:$D$103,A67,采购录入!$B$4:$B$103,TEXT($B$2,"yyyy-mm")))</f>
        <v/>
      </c>
      <c r="F67" s="17" t="str">
        <f>IF(A67="","",SUMIFS(采购录入!$I$4:$I$103,采购录入!$D$4:$D$103,A67,采购录入!$B$4:$B$103,TEXT($B$2,"yyyy-mm")))</f>
        <v/>
      </c>
      <c r="G67" s="17" t="str">
        <f>IF(A67="","",SUMIFS(销售录入!$G$4:$G$103,销售录入!$D$4:$D$103,A67,销售录入!$B$4:$B$103,TEXT($B$2,"yyyy-mm")))</f>
        <v/>
      </c>
      <c r="H67" s="17" t="str">
        <f>IF(A67="","",SUMIFS(销售录入!$K$4:$K$103,销售录入!$D$4:$D$103,A67,销售录入!$B$4:$B$103,TEXT($B$2,"yyyy-mm")))</f>
        <v/>
      </c>
      <c r="I67" s="17" t="str">
        <f t="shared" si="1"/>
        <v/>
      </c>
      <c r="J67" s="17" t="str">
        <f>IF(A67="","",SUMIFS(期初数据!$U$5:$U$14,期初数据!$P$5:$P$14,A67)+SUMIFS(采购录入!$I$4:$I$103,采购录入!$D$4:$D$103,A67,采购录入!$A$4:$A$103,"&lt;="&amp;EOMONTH($B$2,0))-SUMIFS(销售录入!$K$4:$K$103,销售录入!$D$4:$D$103,A67,销售录入!$A$4:$A$103,"&lt;="&amp;EOMONTH($B$2,0)))</f>
        <v/>
      </c>
      <c r="K67" s="17" t="str">
        <f t="shared" si="2"/>
        <v/>
      </c>
      <c r="L67" s="17" t="str">
        <f>IF(A67="","",SUMIFS(销售录入!$I$4:$I$103,销售录入!$D$4:$D$103,A67,销售录入!$B$4:$B$103,TEXT($B$2,"yyyy-mm")))</f>
        <v/>
      </c>
      <c r="M67" s="17" t="str">
        <f t="shared" si="3"/>
        <v/>
      </c>
      <c r="N67" s="52" t="str">
        <f>IF(A67="","",IFERROR(IF(E67=0,0,(F67/E67)/VLOOKUP(A67,基础资料!$P$5:$T$104,5,FALSE)-1),0))</f>
        <v/>
      </c>
      <c r="O67" s="52" t="str">
        <f t="shared" si="4"/>
        <v/>
      </c>
      <c r="P67" t="str">
        <f t="shared" si="5"/>
        <v/>
      </c>
      <c r="Q67" t="str">
        <f t="shared" si="6"/>
        <v/>
      </c>
    </row>
    <row r="68" spans="2:17">
      <c r="B68" t="str">
        <f>IF(A68="","",IFERROR(VLOOKUP(A68,基础资料!$P$5:$R$104,2,FALSE),""))</f>
        <v/>
      </c>
      <c r="C68" t="str">
        <f>IF(A68="","",IFERROR(VLOOKUP(A68,基础资料!$P$5:$R$104,3,FALSE),""))</f>
        <v/>
      </c>
      <c r="D68" s="17" t="str">
        <f>IF(A68="","",SUMIFS(期初数据!$S$5:$S$14,期初数据!$P$5:$P$14,A68)+SUMIFS(采购录入!$G$4:$G$103,采购录入!$D$4:$D$103,A68,采购录入!$A$4:$A$103,"&lt;"&amp;EOMONTH($B$2,-1)+1)-SUMIFS(销售录入!$G$4:$G$103,销售录入!$D$4:$D$103,A68,销售录入!$A$4:$A$103,"&lt;"&amp;EOMONTH($B$2,-1)+1))</f>
        <v/>
      </c>
      <c r="E68" s="17" t="str">
        <f>IF(A68="","",SUMIFS(采购录入!$G$4:$G$103,采购录入!$D$4:$D$103,A68,采购录入!$B$4:$B$103,TEXT($B$2,"yyyy-mm")))</f>
        <v/>
      </c>
      <c r="F68" s="17" t="str">
        <f>IF(A68="","",SUMIFS(采购录入!$I$4:$I$103,采购录入!$D$4:$D$103,A68,采购录入!$B$4:$B$103,TEXT($B$2,"yyyy-mm")))</f>
        <v/>
      </c>
      <c r="G68" s="17" t="str">
        <f>IF(A68="","",SUMIFS(销售录入!$G$4:$G$103,销售录入!$D$4:$D$103,A68,销售录入!$B$4:$B$103,TEXT($B$2,"yyyy-mm")))</f>
        <v/>
      </c>
      <c r="H68" s="17" t="str">
        <f>IF(A68="","",SUMIFS(销售录入!$K$4:$K$103,销售录入!$D$4:$D$103,A68,销售录入!$B$4:$B$103,TEXT($B$2,"yyyy-mm")))</f>
        <v/>
      </c>
      <c r="I68" s="17" t="str">
        <f t="shared" si="1"/>
        <v/>
      </c>
      <c r="J68" s="17" t="str">
        <f>IF(A68="","",SUMIFS(期初数据!$U$5:$U$14,期初数据!$P$5:$P$14,A68)+SUMIFS(采购录入!$I$4:$I$103,采购录入!$D$4:$D$103,A68,采购录入!$A$4:$A$103,"&lt;="&amp;EOMONTH($B$2,0))-SUMIFS(销售录入!$K$4:$K$103,销售录入!$D$4:$D$103,A68,销售录入!$A$4:$A$103,"&lt;="&amp;EOMONTH($B$2,0)))</f>
        <v/>
      </c>
      <c r="K68" s="17" t="str">
        <f t="shared" si="2"/>
        <v/>
      </c>
      <c r="L68" s="17" t="str">
        <f>IF(A68="","",SUMIFS(销售录入!$I$4:$I$103,销售录入!$D$4:$D$103,A68,销售录入!$B$4:$B$103,TEXT($B$2,"yyyy-mm")))</f>
        <v/>
      </c>
      <c r="M68" s="17" t="str">
        <f t="shared" si="3"/>
        <v/>
      </c>
      <c r="N68" s="52" t="str">
        <f>IF(A68="","",IFERROR(IF(E68=0,0,(F68/E68)/VLOOKUP(A68,基础资料!$P$5:$T$104,5,FALSE)-1),0))</f>
        <v/>
      </c>
      <c r="O68" s="52" t="str">
        <f t="shared" si="4"/>
        <v/>
      </c>
      <c r="P68" t="str">
        <f t="shared" si="5"/>
        <v/>
      </c>
      <c r="Q68" t="str">
        <f t="shared" si="6"/>
        <v/>
      </c>
    </row>
    <row r="69" spans="2:17">
      <c r="B69" t="str">
        <f>IF(A69="","",IFERROR(VLOOKUP(A69,基础资料!$P$5:$R$104,2,FALSE),""))</f>
        <v/>
      </c>
      <c r="C69" t="str">
        <f>IF(A69="","",IFERROR(VLOOKUP(A69,基础资料!$P$5:$R$104,3,FALSE),""))</f>
        <v/>
      </c>
      <c r="D69" s="17" t="str">
        <f>IF(A69="","",SUMIFS(期初数据!$S$5:$S$14,期初数据!$P$5:$P$14,A69)+SUMIFS(采购录入!$G$4:$G$103,采购录入!$D$4:$D$103,A69,采购录入!$A$4:$A$103,"&lt;"&amp;EOMONTH($B$2,-1)+1)-SUMIFS(销售录入!$G$4:$G$103,销售录入!$D$4:$D$103,A69,销售录入!$A$4:$A$103,"&lt;"&amp;EOMONTH($B$2,-1)+1))</f>
        <v/>
      </c>
      <c r="E69" s="17" t="str">
        <f>IF(A69="","",SUMIFS(采购录入!$G$4:$G$103,采购录入!$D$4:$D$103,A69,采购录入!$B$4:$B$103,TEXT($B$2,"yyyy-mm")))</f>
        <v/>
      </c>
      <c r="F69" s="17" t="str">
        <f>IF(A69="","",SUMIFS(采购录入!$I$4:$I$103,采购录入!$D$4:$D$103,A69,采购录入!$B$4:$B$103,TEXT($B$2,"yyyy-mm")))</f>
        <v/>
      </c>
      <c r="G69" s="17" t="str">
        <f>IF(A69="","",SUMIFS(销售录入!$G$4:$G$103,销售录入!$D$4:$D$103,A69,销售录入!$B$4:$B$103,TEXT($B$2,"yyyy-mm")))</f>
        <v/>
      </c>
      <c r="H69" s="17" t="str">
        <f>IF(A69="","",SUMIFS(销售录入!$K$4:$K$103,销售录入!$D$4:$D$103,A69,销售录入!$B$4:$B$103,TEXT($B$2,"yyyy-mm")))</f>
        <v/>
      </c>
      <c r="I69" s="17" t="str">
        <f t="shared" ref="I69:I104" si="7">IF(A69="","",D69+E69-G69)</f>
        <v/>
      </c>
      <c r="J69" s="17" t="str">
        <f>IF(A69="","",SUMIFS(期初数据!$U$5:$U$14,期初数据!$P$5:$P$14,A69)+SUMIFS(采购录入!$I$4:$I$103,采购录入!$D$4:$D$103,A69,采购录入!$A$4:$A$103,"&lt;="&amp;EOMONTH($B$2,0))-SUMIFS(销售录入!$K$4:$K$103,销售录入!$D$4:$D$103,A69,销售录入!$A$4:$A$103,"&lt;="&amp;EOMONTH($B$2,0)))</f>
        <v/>
      </c>
      <c r="K69" s="17" t="str">
        <f t="shared" ref="K69:K104" si="8">IF(A69="","",IFERROR(J69/I69,0))</f>
        <v/>
      </c>
      <c r="L69" s="17" t="str">
        <f>IF(A69="","",SUMIFS(销售录入!$I$4:$I$103,销售录入!$D$4:$D$103,A69,销售录入!$B$4:$B$103,TEXT($B$2,"yyyy-mm")))</f>
        <v/>
      </c>
      <c r="M69" s="17" t="str">
        <f t="shared" ref="M69:M104" si="9">IF(A69="","",L69-H69)</f>
        <v/>
      </c>
      <c r="N69" s="52" t="str">
        <f>IF(A69="","",IFERROR(IF(E69=0,0,(F69/E69)/VLOOKUP(A69,基础资料!$P$5:$T$104,5,FALSE)-1),0))</f>
        <v/>
      </c>
      <c r="O69" s="52" t="str">
        <f t="shared" ref="O69:O104" si="10">IF(A69="","",IFERROR(M69/L69,0))</f>
        <v/>
      </c>
      <c r="P69" t="str">
        <f t="shared" ref="P69:P104" si="11">IF(A69="","",IF(I69&lt;0,"负库存",IF(I69=0,"零库存","正常")))</f>
        <v/>
      </c>
      <c r="Q69" t="str">
        <f t="shared" ref="Q69:Q104" si="12">IF(A69="","",IF(P69="负库存","高风险",IF(AND(L69&gt;0,O69&lt;0.1),"低毛利",IF(ABS(N69)&gt;0.2,"采购价异常","正常"))))</f>
        <v/>
      </c>
    </row>
    <row r="70" spans="2:17">
      <c r="B70" t="str">
        <f>IF(A70="","",IFERROR(VLOOKUP(A70,基础资料!$P$5:$R$104,2,FALSE),""))</f>
        <v/>
      </c>
      <c r="C70" t="str">
        <f>IF(A70="","",IFERROR(VLOOKUP(A70,基础资料!$P$5:$R$104,3,FALSE),""))</f>
        <v/>
      </c>
      <c r="D70" s="17" t="str">
        <f>IF(A70="","",SUMIFS(期初数据!$S$5:$S$14,期初数据!$P$5:$P$14,A70)+SUMIFS(采购录入!$G$4:$G$103,采购录入!$D$4:$D$103,A70,采购录入!$A$4:$A$103,"&lt;"&amp;EOMONTH($B$2,-1)+1)-SUMIFS(销售录入!$G$4:$G$103,销售录入!$D$4:$D$103,A70,销售录入!$A$4:$A$103,"&lt;"&amp;EOMONTH($B$2,-1)+1))</f>
        <v/>
      </c>
      <c r="E70" s="17" t="str">
        <f>IF(A70="","",SUMIFS(采购录入!$G$4:$G$103,采购录入!$D$4:$D$103,A70,采购录入!$B$4:$B$103,TEXT($B$2,"yyyy-mm")))</f>
        <v/>
      </c>
      <c r="F70" s="17" t="str">
        <f>IF(A70="","",SUMIFS(采购录入!$I$4:$I$103,采购录入!$D$4:$D$103,A70,采购录入!$B$4:$B$103,TEXT($B$2,"yyyy-mm")))</f>
        <v/>
      </c>
      <c r="G70" s="17" t="str">
        <f>IF(A70="","",SUMIFS(销售录入!$G$4:$G$103,销售录入!$D$4:$D$103,A70,销售录入!$B$4:$B$103,TEXT($B$2,"yyyy-mm")))</f>
        <v/>
      </c>
      <c r="H70" s="17" t="str">
        <f>IF(A70="","",SUMIFS(销售录入!$K$4:$K$103,销售录入!$D$4:$D$103,A70,销售录入!$B$4:$B$103,TEXT($B$2,"yyyy-mm")))</f>
        <v/>
      </c>
      <c r="I70" s="17" t="str">
        <f t="shared" si="7"/>
        <v/>
      </c>
      <c r="J70" s="17" t="str">
        <f>IF(A70="","",SUMIFS(期初数据!$U$5:$U$14,期初数据!$P$5:$P$14,A70)+SUMIFS(采购录入!$I$4:$I$103,采购录入!$D$4:$D$103,A70,采购录入!$A$4:$A$103,"&lt;="&amp;EOMONTH($B$2,0))-SUMIFS(销售录入!$K$4:$K$103,销售录入!$D$4:$D$103,A70,销售录入!$A$4:$A$103,"&lt;="&amp;EOMONTH($B$2,0)))</f>
        <v/>
      </c>
      <c r="K70" s="17" t="str">
        <f t="shared" si="8"/>
        <v/>
      </c>
      <c r="L70" s="17" t="str">
        <f>IF(A70="","",SUMIFS(销售录入!$I$4:$I$103,销售录入!$D$4:$D$103,A70,销售录入!$B$4:$B$103,TEXT($B$2,"yyyy-mm")))</f>
        <v/>
      </c>
      <c r="M70" s="17" t="str">
        <f t="shared" si="9"/>
        <v/>
      </c>
      <c r="N70" s="52" t="str">
        <f>IF(A70="","",IFERROR(IF(E70=0,0,(F70/E70)/VLOOKUP(A70,基础资料!$P$5:$T$104,5,FALSE)-1),0))</f>
        <v/>
      </c>
      <c r="O70" s="52" t="str">
        <f t="shared" si="10"/>
        <v/>
      </c>
      <c r="P70" t="str">
        <f t="shared" si="11"/>
        <v/>
      </c>
      <c r="Q70" t="str">
        <f t="shared" si="12"/>
        <v/>
      </c>
    </row>
    <row r="71" spans="2:17">
      <c r="B71" t="str">
        <f>IF(A71="","",IFERROR(VLOOKUP(A71,基础资料!$P$5:$R$104,2,FALSE),""))</f>
        <v/>
      </c>
      <c r="C71" t="str">
        <f>IF(A71="","",IFERROR(VLOOKUP(A71,基础资料!$P$5:$R$104,3,FALSE),""))</f>
        <v/>
      </c>
      <c r="D71" s="17" t="str">
        <f>IF(A71="","",SUMIFS(期初数据!$S$5:$S$14,期初数据!$P$5:$P$14,A71)+SUMIFS(采购录入!$G$4:$G$103,采购录入!$D$4:$D$103,A71,采购录入!$A$4:$A$103,"&lt;"&amp;EOMONTH($B$2,-1)+1)-SUMIFS(销售录入!$G$4:$G$103,销售录入!$D$4:$D$103,A71,销售录入!$A$4:$A$103,"&lt;"&amp;EOMONTH($B$2,-1)+1))</f>
        <v/>
      </c>
      <c r="E71" s="17" t="str">
        <f>IF(A71="","",SUMIFS(采购录入!$G$4:$G$103,采购录入!$D$4:$D$103,A71,采购录入!$B$4:$B$103,TEXT($B$2,"yyyy-mm")))</f>
        <v/>
      </c>
      <c r="F71" s="17" t="str">
        <f>IF(A71="","",SUMIFS(采购录入!$I$4:$I$103,采购录入!$D$4:$D$103,A71,采购录入!$B$4:$B$103,TEXT($B$2,"yyyy-mm")))</f>
        <v/>
      </c>
      <c r="G71" s="17" t="str">
        <f>IF(A71="","",SUMIFS(销售录入!$G$4:$G$103,销售录入!$D$4:$D$103,A71,销售录入!$B$4:$B$103,TEXT($B$2,"yyyy-mm")))</f>
        <v/>
      </c>
      <c r="H71" s="17" t="str">
        <f>IF(A71="","",SUMIFS(销售录入!$K$4:$K$103,销售录入!$D$4:$D$103,A71,销售录入!$B$4:$B$103,TEXT($B$2,"yyyy-mm")))</f>
        <v/>
      </c>
      <c r="I71" s="17" t="str">
        <f t="shared" si="7"/>
        <v/>
      </c>
      <c r="J71" s="17" t="str">
        <f>IF(A71="","",SUMIFS(期初数据!$U$5:$U$14,期初数据!$P$5:$P$14,A71)+SUMIFS(采购录入!$I$4:$I$103,采购录入!$D$4:$D$103,A71,采购录入!$A$4:$A$103,"&lt;="&amp;EOMONTH($B$2,0))-SUMIFS(销售录入!$K$4:$K$103,销售录入!$D$4:$D$103,A71,销售录入!$A$4:$A$103,"&lt;="&amp;EOMONTH($B$2,0)))</f>
        <v/>
      </c>
      <c r="K71" s="17" t="str">
        <f t="shared" si="8"/>
        <v/>
      </c>
      <c r="L71" s="17" t="str">
        <f>IF(A71="","",SUMIFS(销售录入!$I$4:$I$103,销售录入!$D$4:$D$103,A71,销售录入!$B$4:$B$103,TEXT($B$2,"yyyy-mm")))</f>
        <v/>
      </c>
      <c r="M71" s="17" t="str">
        <f t="shared" si="9"/>
        <v/>
      </c>
      <c r="N71" s="52" t="str">
        <f>IF(A71="","",IFERROR(IF(E71=0,0,(F71/E71)/VLOOKUP(A71,基础资料!$P$5:$T$104,5,FALSE)-1),0))</f>
        <v/>
      </c>
      <c r="O71" s="52" t="str">
        <f t="shared" si="10"/>
        <v/>
      </c>
      <c r="P71" t="str">
        <f t="shared" si="11"/>
        <v/>
      </c>
      <c r="Q71" t="str">
        <f t="shared" si="12"/>
        <v/>
      </c>
    </row>
    <row r="72" spans="2:17">
      <c r="B72" t="str">
        <f>IF(A72="","",IFERROR(VLOOKUP(A72,基础资料!$P$5:$R$104,2,FALSE),""))</f>
        <v/>
      </c>
      <c r="C72" t="str">
        <f>IF(A72="","",IFERROR(VLOOKUP(A72,基础资料!$P$5:$R$104,3,FALSE),""))</f>
        <v/>
      </c>
      <c r="D72" s="17" t="str">
        <f>IF(A72="","",SUMIFS(期初数据!$S$5:$S$14,期初数据!$P$5:$P$14,A72)+SUMIFS(采购录入!$G$4:$G$103,采购录入!$D$4:$D$103,A72,采购录入!$A$4:$A$103,"&lt;"&amp;EOMONTH($B$2,-1)+1)-SUMIFS(销售录入!$G$4:$G$103,销售录入!$D$4:$D$103,A72,销售录入!$A$4:$A$103,"&lt;"&amp;EOMONTH($B$2,-1)+1))</f>
        <v/>
      </c>
      <c r="E72" s="17" t="str">
        <f>IF(A72="","",SUMIFS(采购录入!$G$4:$G$103,采购录入!$D$4:$D$103,A72,采购录入!$B$4:$B$103,TEXT($B$2,"yyyy-mm")))</f>
        <v/>
      </c>
      <c r="F72" s="17" t="str">
        <f>IF(A72="","",SUMIFS(采购录入!$I$4:$I$103,采购录入!$D$4:$D$103,A72,采购录入!$B$4:$B$103,TEXT($B$2,"yyyy-mm")))</f>
        <v/>
      </c>
      <c r="G72" s="17" t="str">
        <f>IF(A72="","",SUMIFS(销售录入!$G$4:$G$103,销售录入!$D$4:$D$103,A72,销售录入!$B$4:$B$103,TEXT($B$2,"yyyy-mm")))</f>
        <v/>
      </c>
      <c r="H72" s="17" t="str">
        <f>IF(A72="","",SUMIFS(销售录入!$K$4:$K$103,销售录入!$D$4:$D$103,A72,销售录入!$B$4:$B$103,TEXT($B$2,"yyyy-mm")))</f>
        <v/>
      </c>
      <c r="I72" s="17" t="str">
        <f t="shared" si="7"/>
        <v/>
      </c>
      <c r="J72" s="17" t="str">
        <f>IF(A72="","",SUMIFS(期初数据!$U$5:$U$14,期初数据!$P$5:$P$14,A72)+SUMIFS(采购录入!$I$4:$I$103,采购录入!$D$4:$D$103,A72,采购录入!$A$4:$A$103,"&lt;="&amp;EOMONTH($B$2,0))-SUMIFS(销售录入!$K$4:$K$103,销售录入!$D$4:$D$103,A72,销售录入!$A$4:$A$103,"&lt;="&amp;EOMONTH($B$2,0)))</f>
        <v/>
      </c>
      <c r="K72" s="17" t="str">
        <f t="shared" si="8"/>
        <v/>
      </c>
      <c r="L72" s="17" t="str">
        <f>IF(A72="","",SUMIFS(销售录入!$I$4:$I$103,销售录入!$D$4:$D$103,A72,销售录入!$B$4:$B$103,TEXT($B$2,"yyyy-mm")))</f>
        <v/>
      </c>
      <c r="M72" s="17" t="str">
        <f t="shared" si="9"/>
        <v/>
      </c>
      <c r="N72" s="52" t="str">
        <f>IF(A72="","",IFERROR(IF(E72=0,0,(F72/E72)/VLOOKUP(A72,基础资料!$P$5:$T$104,5,FALSE)-1),0))</f>
        <v/>
      </c>
      <c r="O72" s="52" t="str">
        <f t="shared" si="10"/>
        <v/>
      </c>
      <c r="P72" t="str">
        <f t="shared" si="11"/>
        <v/>
      </c>
      <c r="Q72" t="str">
        <f t="shared" si="12"/>
        <v/>
      </c>
    </row>
    <row r="73" spans="2:17">
      <c r="B73" t="str">
        <f>IF(A73="","",IFERROR(VLOOKUP(A73,基础资料!$P$5:$R$104,2,FALSE),""))</f>
        <v/>
      </c>
      <c r="C73" t="str">
        <f>IF(A73="","",IFERROR(VLOOKUP(A73,基础资料!$P$5:$R$104,3,FALSE),""))</f>
        <v/>
      </c>
      <c r="D73" s="17" t="str">
        <f>IF(A73="","",SUMIFS(期初数据!$S$5:$S$14,期初数据!$P$5:$P$14,A73)+SUMIFS(采购录入!$G$4:$G$103,采购录入!$D$4:$D$103,A73,采购录入!$A$4:$A$103,"&lt;"&amp;EOMONTH($B$2,-1)+1)-SUMIFS(销售录入!$G$4:$G$103,销售录入!$D$4:$D$103,A73,销售录入!$A$4:$A$103,"&lt;"&amp;EOMONTH($B$2,-1)+1))</f>
        <v/>
      </c>
      <c r="E73" s="17" t="str">
        <f>IF(A73="","",SUMIFS(采购录入!$G$4:$G$103,采购录入!$D$4:$D$103,A73,采购录入!$B$4:$B$103,TEXT($B$2,"yyyy-mm")))</f>
        <v/>
      </c>
      <c r="F73" s="17" t="str">
        <f>IF(A73="","",SUMIFS(采购录入!$I$4:$I$103,采购录入!$D$4:$D$103,A73,采购录入!$B$4:$B$103,TEXT($B$2,"yyyy-mm")))</f>
        <v/>
      </c>
      <c r="G73" s="17" t="str">
        <f>IF(A73="","",SUMIFS(销售录入!$G$4:$G$103,销售录入!$D$4:$D$103,A73,销售录入!$B$4:$B$103,TEXT($B$2,"yyyy-mm")))</f>
        <v/>
      </c>
      <c r="H73" s="17" t="str">
        <f>IF(A73="","",SUMIFS(销售录入!$K$4:$K$103,销售录入!$D$4:$D$103,A73,销售录入!$B$4:$B$103,TEXT($B$2,"yyyy-mm")))</f>
        <v/>
      </c>
      <c r="I73" s="17" t="str">
        <f t="shared" si="7"/>
        <v/>
      </c>
      <c r="J73" s="17" t="str">
        <f>IF(A73="","",SUMIFS(期初数据!$U$5:$U$14,期初数据!$P$5:$P$14,A73)+SUMIFS(采购录入!$I$4:$I$103,采购录入!$D$4:$D$103,A73,采购录入!$A$4:$A$103,"&lt;="&amp;EOMONTH($B$2,0))-SUMIFS(销售录入!$K$4:$K$103,销售录入!$D$4:$D$103,A73,销售录入!$A$4:$A$103,"&lt;="&amp;EOMONTH($B$2,0)))</f>
        <v/>
      </c>
      <c r="K73" s="17" t="str">
        <f t="shared" si="8"/>
        <v/>
      </c>
      <c r="L73" s="17" t="str">
        <f>IF(A73="","",SUMIFS(销售录入!$I$4:$I$103,销售录入!$D$4:$D$103,A73,销售录入!$B$4:$B$103,TEXT($B$2,"yyyy-mm")))</f>
        <v/>
      </c>
      <c r="M73" s="17" t="str">
        <f t="shared" si="9"/>
        <v/>
      </c>
      <c r="N73" s="52" t="str">
        <f>IF(A73="","",IFERROR(IF(E73=0,0,(F73/E73)/VLOOKUP(A73,基础资料!$P$5:$T$104,5,FALSE)-1),0))</f>
        <v/>
      </c>
      <c r="O73" s="52" t="str">
        <f t="shared" si="10"/>
        <v/>
      </c>
      <c r="P73" t="str">
        <f t="shared" si="11"/>
        <v/>
      </c>
      <c r="Q73" t="str">
        <f t="shared" si="12"/>
        <v/>
      </c>
    </row>
    <row r="74" spans="2:17">
      <c r="B74" t="str">
        <f>IF(A74="","",IFERROR(VLOOKUP(A74,基础资料!$P$5:$R$104,2,FALSE),""))</f>
        <v/>
      </c>
      <c r="C74" t="str">
        <f>IF(A74="","",IFERROR(VLOOKUP(A74,基础资料!$P$5:$R$104,3,FALSE),""))</f>
        <v/>
      </c>
      <c r="D74" s="17" t="str">
        <f>IF(A74="","",SUMIFS(期初数据!$S$5:$S$14,期初数据!$P$5:$P$14,A74)+SUMIFS(采购录入!$G$4:$G$103,采购录入!$D$4:$D$103,A74,采购录入!$A$4:$A$103,"&lt;"&amp;EOMONTH($B$2,-1)+1)-SUMIFS(销售录入!$G$4:$G$103,销售录入!$D$4:$D$103,A74,销售录入!$A$4:$A$103,"&lt;"&amp;EOMONTH($B$2,-1)+1))</f>
        <v/>
      </c>
      <c r="E74" s="17" t="str">
        <f>IF(A74="","",SUMIFS(采购录入!$G$4:$G$103,采购录入!$D$4:$D$103,A74,采购录入!$B$4:$B$103,TEXT($B$2,"yyyy-mm")))</f>
        <v/>
      </c>
      <c r="F74" s="17" t="str">
        <f>IF(A74="","",SUMIFS(采购录入!$I$4:$I$103,采购录入!$D$4:$D$103,A74,采购录入!$B$4:$B$103,TEXT($B$2,"yyyy-mm")))</f>
        <v/>
      </c>
      <c r="G74" s="17" t="str">
        <f>IF(A74="","",SUMIFS(销售录入!$G$4:$G$103,销售录入!$D$4:$D$103,A74,销售录入!$B$4:$B$103,TEXT($B$2,"yyyy-mm")))</f>
        <v/>
      </c>
      <c r="H74" s="17" t="str">
        <f>IF(A74="","",SUMIFS(销售录入!$K$4:$K$103,销售录入!$D$4:$D$103,A74,销售录入!$B$4:$B$103,TEXT($B$2,"yyyy-mm")))</f>
        <v/>
      </c>
      <c r="I74" s="17" t="str">
        <f t="shared" si="7"/>
        <v/>
      </c>
      <c r="J74" s="17" t="str">
        <f>IF(A74="","",SUMIFS(期初数据!$U$5:$U$14,期初数据!$P$5:$P$14,A74)+SUMIFS(采购录入!$I$4:$I$103,采购录入!$D$4:$D$103,A74,采购录入!$A$4:$A$103,"&lt;="&amp;EOMONTH($B$2,0))-SUMIFS(销售录入!$K$4:$K$103,销售录入!$D$4:$D$103,A74,销售录入!$A$4:$A$103,"&lt;="&amp;EOMONTH($B$2,0)))</f>
        <v/>
      </c>
      <c r="K74" s="17" t="str">
        <f t="shared" si="8"/>
        <v/>
      </c>
      <c r="L74" s="17" t="str">
        <f>IF(A74="","",SUMIFS(销售录入!$I$4:$I$103,销售录入!$D$4:$D$103,A74,销售录入!$B$4:$B$103,TEXT($B$2,"yyyy-mm")))</f>
        <v/>
      </c>
      <c r="M74" s="17" t="str">
        <f t="shared" si="9"/>
        <v/>
      </c>
      <c r="N74" s="52" t="str">
        <f>IF(A74="","",IFERROR(IF(E74=0,0,(F74/E74)/VLOOKUP(A74,基础资料!$P$5:$T$104,5,FALSE)-1),0))</f>
        <v/>
      </c>
      <c r="O74" s="52" t="str">
        <f t="shared" si="10"/>
        <v/>
      </c>
      <c r="P74" t="str">
        <f t="shared" si="11"/>
        <v/>
      </c>
      <c r="Q74" t="str">
        <f t="shared" si="12"/>
        <v/>
      </c>
    </row>
    <row r="75" spans="2:17">
      <c r="B75" t="str">
        <f>IF(A75="","",IFERROR(VLOOKUP(A75,基础资料!$P$5:$R$104,2,FALSE),""))</f>
        <v/>
      </c>
      <c r="C75" t="str">
        <f>IF(A75="","",IFERROR(VLOOKUP(A75,基础资料!$P$5:$R$104,3,FALSE),""))</f>
        <v/>
      </c>
      <c r="D75" s="17" t="str">
        <f>IF(A75="","",SUMIFS(期初数据!$S$5:$S$14,期初数据!$P$5:$P$14,A75)+SUMIFS(采购录入!$G$4:$G$103,采购录入!$D$4:$D$103,A75,采购录入!$A$4:$A$103,"&lt;"&amp;EOMONTH($B$2,-1)+1)-SUMIFS(销售录入!$G$4:$G$103,销售录入!$D$4:$D$103,A75,销售录入!$A$4:$A$103,"&lt;"&amp;EOMONTH($B$2,-1)+1))</f>
        <v/>
      </c>
      <c r="E75" s="17" t="str">
        <f>IF(A75="","",SUMIFS(采购录入!$G$4:$G$103,采购录入!$D$4:$D$103,A75,采购录入!$B$4:$B$103,TEXT($B$2,"yyyy-mm")))</f>
        <v/>
      </c>
      <c r="F75" s="17" t="str">
        <f>IF(A75="","",SUMIFS(采购录入!$I$4:$I$103,采购录入!$D$4:$D$103,A75,采购录入!$B$4:$B$103,TEXT($B$2,"yyyy-mm")))</f>
        <v/>
      </c>
      <c r="G75" s="17" t="str">
        <f>IF(A75="","",SUMIFS(销售录入!$G$4:$G$103,销售录入!$D$4:$D$103,A75,销售录入!$B$4:$B$103,TEXT($B$2,"yyyy-mm")))</f>
        <v/>
      </c>
      <c r="H75" s="17" t="str">
        <f>IF(A75="","",SUMIFS(销售录入!$K$4:$K$103,销售录入!$D$4:$D$103,A75,销售录入!$B$4:$B$103,TEXT($B$2,"yyyy-mm")))</f>
        <v/>
      </c>
      <c r="I75" s="17" t="str">
        <f t="shared" si="7"/>
        <v/>
      </c>
      <c r="J75" s="17" t="str">
        <f>IF(A75="","",SUMIFS(期初数据!$U$5:$U$14,期初数据!$P$5:$P$14,A75)+SUMIFS(采购录入!$I$4:$I$103,采购录入!$D$4:$D$103,A75,采购录入!$A$4:$A$103,"&lt;="&amp;EOMONTH($B$2,0))-SUMIFS(销售录入!$K$4:$K$103,销售录入!$D$4:$D$103,A75,销售录入!$A$4:$A$103,"&lt;="&amp;EOMONTH($B$2,0)))</f>
        <v/>
      </c>
      <c r="K75" s="17" t="str">
        <f t="shared" si="8"/>
        <v/>
      </c>
      <c r="L75" s="17" t="str">
        <f>IF(A75="","",SUMIFS(销售录入!$I$4:$I$103,销售录入!$D$4:$D$103,A75,销售录入!$B$4:$B$103,TEXT($B$2,"yyyy-mm")))</f>
        <v/>
      </c>
      <c r="M75" s="17" t="str">
        <f t="shared" si="9"/>
        <v/>
      </c>
      <c r="N75" s="52" t="str">
        <f>IF(A75="","",IFERROR(IF(E75=0,0,(F75/E75)/VLOOKUP(A75,基础资料!$P$5:$T$104,5,FALSE)-1),0))</f>
        <v/>
      </c>
      <c r="O75" s="52" t="str">
        <f t="shared" si="10"/>
        <v/>
      </c>
      <c r="P75" t="str">
        <f t="shared" si="11"/>
        <v/>
      </c>
      <c r="Q75" t="str">
        <f t="shared" si="12"/>
        <v/>
      </c>
    </row>
    <row r="76" spans="2:17">
      <c r="B76" t="str">
        <f>IF(A76="","",IFERROR(VLOOKUP(A76,基础资料!$P$5:$R$104,2,FALSE),""))</f>
        <v/>
      </c>
      <c r="C76" t="str">
        <f>IF(A76="","",IFERROR(VLOOKUP(A76,基础资料!$P$5:$R$104,3,FALSE),""))</f>
        <v/>
      </c>
      <c r="D76" s="17" t="str">
        <f>IF(A76="","",SUMIFS(期初数据!$S$5:$S$14,期初数据!$P$5:$P$14,A76)+SUMIFS(采购录入!$G$4:$G$103,采购录入!$D$4:$D$103,A76,采购录入!$A$4:$A$103,"&lt;"&amp;EOMONTH($B$2,-1)+1)-SUMIFS(销售录入!$G$4:$G$103,销售录入!$D$4:$D$103,A76,销售录入!$A$4:$A$103,"&lt;"&amp;EOMONTH($B$2,-1)+1))</f>
        <v/>
      </c>
      <c r="E76" s="17" t="str">
        <f>IF(A76="","",SUMIFS(采购录入!$G$4:$G$103,采购录入!$D$4:$D$103,A76,采购录入!$B$4:$B$103,TEXT($B$2,"yyyy-mm")))</f>
        <v/>
      </c>
      <c r="F76" s="17" t="str">
        <f>IF(A76="","",SUMIFS(采购录入!$I$4:$I$103,采购录入!$D$4:$D$103,A76,采购录入!$B$4:$B$103,TEXT($B$2,"yyyy-mm")))</f>
        <v/>
      </c>
      <c r="G76" s="17" t="str">
        <f>IF(A76="","",SUMIFS(销售录入!$G$4:$G$103,销售录入!$D$4:$D$103,A76,销售录入!$B$4:$B$103,TEXT($B$2,"yyyy-mm")))</f>
        <v/>
      </c>
      <c r="H76" s="17" t="str">
        <f>IF(A76="","",SUMIFS(销售录入!$K$4:$K$103,销售录入!$D$4:$D$103,A76,销售录入!$B$4:$B$103,TEXT($B$2,"yyyy-mm")))</f>
        <v/>
      </c>
      <c r="I76" s="17" t="str">
        <f t="shared" si="7"/>
        <v/>
      </c>
      <c r="J76" s="17" t="str">
        <f>IF(A76="","",SUMIFS(期初数据!$U$5:$U$14,期初数据!$P$5:$P$14,A76)+SUMIFS(采购录入!$I$4:$I$103,采购录入!$D$4:$D$103,A76,采购录入!$A$4:$A$103,"&lt;="&amp;EOMONTH($B$2,0))-SUMIFS(销售录入!$K$4:$K$103,销售录入!$D$4:$D$103,A76,销售录入!$A$4:$A$103,"&lt;="&amp;EOMONTH($B$2,0)))</f>
        <v/>
      </c>
      <c r="K76" s="17" t="str">
        <f t="shared" si="8"/>
        <v/>
      </c>
      <c r="L76" s="17" t="str">
        <f>IF(A76="","",SUMIFS(销售录入!$I$4:$I$103,销售录入!$D$4:$D$103,A76,销售录入!$B$4:$B$103,TEXT($B$2,"yyyy-mm")))</f>
        <v/>
      </c>
      <c r="M76" s="17" t="str">
        <f t="shared" si="9"/>
        <v/>
      </c>
      <c r="N76" s="52" t="str">
        <f>IF(A76="","",IFERROR(IF(E76=0,0,(F76/E76)/VLOOKUP(A76,基础资料!$P$5:$T$104,5,FALSE)-1),0))</f>
        <v/>
      </c>
      <c r="O76" s="52" t="str">
        <f t="shared" si="10"/>
        <v/>
      </c>
      <c r="P76" t="str">
        <f t="shared" si="11"/>
        <v/>
      </c>
      <c r="Q76" t="str">
        <f t="shared" si="12"/>
        <v/>
      </c>
    </row>
    <row r="77" spans="2:17">
      <c r="B77" t="str">
        <f>IF(A77="","",IFERROR(VLOOKUP(A77,基础资料!$P$5:$R$104,2,FALSE),""))</f>
        <v/>
      </c>
      <c r="C77" t="str">
        <f>IF(A77="","",IFERROR(VLOOKUP(A77,基础资料!$P$5:$R$104,3,FALSE),""))</f>
        <v/>
      </c>
      <c r="D77" s="17" t="str">
        <f>IF(A77="","",SUMIFS(期初数据!$S$5:$S$14,期初数据!$P$5:$P$14,A77)+SUMIFS(采购录入!$G$4:$G$103,采购录入!$D$4:$D$103,A77,采购录入!$A$4:$A$103,"&lt;"&amp;EOMONTH($B$2,-1)+1)-SUMIFS(销售录入!$G$4:$G$103,销售录入!$D$4:$D$103,A77,销售录入!$A$4:$A$103,"&lt;"&amp;EOMONTH($B$2,-1)+1))</f>
        <v/>
      </c>
      <c r="E77" s="17" t="str">
        <f>IF(A77="","",SUMIFS(采购录入!$G$4:$G$103,采购录入!$D$4:$D$103,A77,采购录入!$B$4:$B$103,TEXT($B$2,"yyyy-mm")))</f>
        <v/>
      </c>
      <c r="F77" s="17" t="str">
        <f>IF(A77="","",SUMIFS(采购录入!$I$4:$I$103,采购录入!$D$4:$D$103,A77,采购录入!$B$4:$B$103,TEXT($B$2,"yyyy-mm")))</f>
        <v/>
      </c>
      <c r="G77" s="17" t="str">
        <f>IF(A77="","",SUMIFS(销售录入!$G$4:$G$103,销售录入!$D$4:$D$103,A77,销售录入!$B$4:$B$103,TEXT($B$2,"yyyy-mm")))</f>
        <v/>
      </c>
      <c r="H77" s="17" t="str">
        <f>IF(A77="","",SUMIFS(销售录入!$K$4:$K$103,销售录入!$D$4:$D$103,A77,销售录入!$B$4:$B$103,TEXT($B$2,"yyyy-mm")))</f>
        <v/>
      </c>
      <c r="I77" s="17" t="str">
        <f t="shared" si="7"/>
        <v/>
      </c>
      <c r="J77" s="17" t="str">
        <f>IF(A77="","",SUMIFS(期初数据!$U$5:$U$14,期初数据!$P$5:$P$14,A77)+SUMIFS(采购录入!$I$4:$I$103,采购录入!$D$4:$D$103,A77,采购录入!$A$4:$A$103,"&lt;="&amp;EOMONTH($B$2,0))-SUMIFS(销售录入!$K$4:$K$103,销售录入!$D$4:$D$103,A77,销售录入!$A$4:$A$103,"&lt;="&amp;EOMONTH($B$2,0)))</f>
        <v/>
      </c>
      <c r="K77" s="17" t="str">
        <f t="shared" si="8"/>
        <v/>
      </c>
      <c r="L77" s="17" t="str">
        <f>IF(A77="","",SUMIFS(销售录入!$I$4:$I$103,销售录入!$D$4:$D$103,A77,销售录入!$B$4:$B$103,TEXT($B$2,"yyyy-mm")))</f>
        <v/>
      </c>
      <c r="M77" s="17" t="str">
        <f t="shared" si="9"/>
        <v/>
      </c>
      <c r="N77" s="52" t="str">
        <f>IF(A77="","",IFERROR(IF(E77=0,0,(F77/E77)/VLOOKUP(A77,基础资料!$P$5:$T$104,5,FALSE)-1),0))</f>
        <v/>
      </c>
      <c r="O77" s="52" t="str">
        <f t="shared" si="10"/>
        <v/>
      </c>
      <c r="P77" t="str">
        <f t="shared" si="11"/>
        <v/>
      </c>
      <c r="Q77" t="str">
        <f t="shared" si="12"/>
        <v/>
      </c>
    </row>
    <row r="78" spans="2:17">
      <c r="B78" t="str">
        <f>IF(A78="","",IFERROR(VLOOKUP(A78,基础资料!$P$5:$R$104,2,FALSE),""))</f>
        <v/>
      </c>
      <c r="C78" t="str">
        <f>IF(A78="","",IFERROR(VLOOKUP(A78,基础资料!$P$5:$R$104,3,FALSE),""))</f>
        <v/>
      </c>
      <c r="D78" s="17" t="str">
        <f>IF(A78="","",SUMIFS(期初数据!$S$5:$S$14,期初数据!$P$5:$P$14,A78)+SUMIFS(采购录入!$G$4:$G$103,采购录入!$D$4:$D$103,A78,采购录入!$A$4:$A$103,"&lt;"&amp;EOMONTH($B$2,-1)+1)-SUMIFS(销售录入!$G$4:$G$103,销售录入!$D$4:$D$103,A78,销售录入!$A$4:$A$103,"&lt;"&amp;EOMONTH($B$2,-1)+1))</f>
        <v/>
      </c>
      <c r="E78" s="17" t="str">
        <f>IF(A78="","",SUMIFS(采购录入!$G$4:$G$103,采购录入!$D$4:$D$103,A78,采购录入!$B$4:$B$103,TEXT($B$2,"yyyy-mm")))</f>
        <v/>
      </c>
      <c r="F78" s="17" t="str">
        <f>IF(A78="","",SUMIFS(采购录入!$I$4:$I$103,采购录入!$D$4:$D$103,A78,采购录入!$B$4:$B$103,TEXT($B$2,"yyyy-mm")))</f>
        <v/>
      </c>
      <c r="G78" s="17" t="str">
        <f>IF(A78="","",SUMIFS(销售录入!$G$4:$G$103,销售录入!$D$4:$D$103,A78,销售录入!$B$4:$B$103,TEXT($B$2,"yyyy-mm")))</f>
        <v/>
      </c>
      <c r="H78" s="17" t="str">
        <f>IF(A78="","",SUMIFS(销售录入!$K$4:$K$103,销售录入!$D$4:$D$103,A78,销售录入!$B$4:$B$103,TEXT($B$2,"yyyy-mm")))</f>
        <v/>
      </c>
      <c r="I78" s="17" t="str">
        <f t="shared" si="7"/>
        <v/>
      </c>
      <c r="J78" s="17" t="str">
        <f>IF(A78="","",SUMIFS(期初数据!$U$5:$U$14,期初数据!$P$5:$P$14,A78)+SUMIFS(采购录入!$I$4:$I$103,采购录入!$D$4:$D$103,A78,采购录入!$A$4:$A$103,"&lt;="&amp;EOMONTH($B$2,0))-SUMIFS(销售录入!$K$4:$K$103,销售录入!$D$4:$D$103,A78,销售录入!$A$4:$A$103,"&lt;="&amp;EOMONTH($B$2,0)))</f>
        <v/>
      </c>
      <c r="K78" s="17" t="str">
        <f t="shared" si="8"/>
        <v/>
      </c>
      <c r="L78" s="17" t="str">
        <f>IF(A78="","",SUMIFS(销售录入!$I$4:$I$103,销售录入!$D$4:$D$103,A78,销售录入!$B$4:$B$103,TEXT($B$2,"yyyy-mm")))</f>
        <v/>
      </c>
      <c r="M78" s="17" t="str">
        <f t="shared" si="9"/>
        <v/>
      </c>
      <c r="N78" s="52" t="str">
        <f>IF(A78="","",IFERROR(IF(E78=0,0,(F78/E78)/VLOOKUP(A78,基础资料!$P$5:$T$104,5,FALSE)-1),0))</f>
        <v/>
      </c>
      <c r="O78" s="52" t="str">
        <f t="shared" si="10"/>
        <v/>
      </c>
      <c r="P78" t="str">
        <f t="shared" si="11"/>
        <v/>
      </c>
      <c r="Q78" t="str">
        <f t="shared" si="12"/>
        <v/>
      </c>
    </row>
    <row r="79" spans="2:17">
      <c r="B79" t="str">
        <f>IF(A79="","",IFERROR(VLOOKUP(A79,基础资料!$P$5:$R$104,2,FALSE),""))</f>
        <v/>
      </c>
      <c r="C79" t="str">
        <f>IF(A79="","",IFERROR(VLOOKUP(A79,基础资料!$P$5:$R$104,3,FALSE),""))</f>
        <v/>
      </c>
      <c r="D79" s="17" t="str">
        <f>IF(A79="","",SUMIFS(期初数据!$S$5:$S$14,期初数据!$P$5:$P$14,A79)+SUMIFS(采购录入!$G$4:$G$103,采购录入!$D$4:$D$103,A79,采购录入!$A$4:$A$103,"&lt;"&amp;EOMONTH($B$2,-1)+1)-SUMIFS(销售录入!$G$4:$G$103,销售录入!$D$4:$D$103,A79,销售录入!$A$4:$A$103,"&lt;"&amp;EOMONTH($B$2,-1)+1))</f>
        <v/>
      </c>
      <c r="E79" s="17" t="str">
        <f>IF(A79="","",SUMIFS(采购录入!$G$4:$G$103,采购录入!$D$4:$D$103,A79,采购录入!$B$4:$B$103,TEXT($B$2,"yyyy-mm")))</f>
        <v/>
      </c>
      <c r="F79" s="17" t="str">
        <f>IF(A79="","",SUMIFS(采购录入!$I$4:$I$103,采购录入!$D$4:$D$103,A79,采购录入!$B$4:$B$103,TEXT($B$2,"yyyy-mm")))</f>
        <v/>
      </c>
      <c r="G79" s="17" t="str">
        <f>IF(A79="","",SUMIFS(销售录入!$G$4:$G$103,销售录入!$D$4:$D$103,A79,销售录入!$B$4:$B$103,TEXT($B$2,"yyyy-mm")))</f>
        <v/>
      </c>
      <c r="H79" s="17" t="str">
        <f>IF(A79="","",SUMIFS(销售录入!$K$4:$K$103,销售录入!$D$4:$D$103,A79,销售录入!$B$4:$B$103,TEXT($B$2,"yyyy-mm")))</f>
        <v/>
      </c>
      <c r="I79" s="17" t="str">
        <f t="shared" si="7"/>
        <v/>
      </c>
      <c r="J79" s="17" t="str">
        <f>IF(A79="","",SUMIFS(期初数据!$U$5:$U$14,期初数据!$P$5:$P$14,A79)+SUMIFS(采购录入!$I$4:$I$103,采购录入!$D$4:$D$103,A79,采购录入!$A$4:$A$103,"&lt;="&amp;EOMONTH($B$2,0))-SUMIFS(销售录入!$K$4:$K$103,销售录入!$D$4:$D$103,A79,销售录入!$A$4:$A$103,"&lt;="&amp;EOMONTH($B$2,0)))</f>
        <v/>
      </c>
      <c r="K79" s="17" t="str">
        <f t="shared" si="8"/>
        <v/>
      </c>
      <c r="L79" s="17" t="str">
        <f>IF(A79="","",SUMIFS(销售录入!$I$4:$I$103,销售录入!$D$4:$D$103,A79,销售录入!$B$4:$B$103,TEXT($B$2,"yyyy-mm")))</f>
        <v/>
      </c>
      <c r="M79" s="17" t="str">
        <f t="shared" si="9"/>
        <v/>
      </c>
      <c r="N79" s="52" t="str">
        <f>IF(A79="","",IFERROR(IF(E79=0,0,(F79/E79)/VLOOKUP(A79,基础资料!$P$5:$T$104,5,FALSE)-1),0))</f>
        <v/>
      </c>
      <c r="O79" s="52" t="str">
        <f t="shared" si="10"/>
        <v/>
      </c>
      <c r="P79" t="str">
        <f t="shared" si="11"/>
        <v/>
      </c>
      <c r="Q79" t="str">
        <f t="shared" si="12"/>
        <v/>
      </c>
    </row>
    <row r="80" spans="2:17">
      <c r="B80" t="str">
        <f>IF(A80="","",IFERROR(VLOOKUP(A80,基础资料!$P$5:$R$104,2,FALSE),""))</f>
        <v/>
      </c>
      <c r="C80" t="str">
        <f>IF(A80="","",IFERROR(VLOOKUP(A80,基础资料!$P$5:$R$104,3,FALSE),""))</f>
        <v/>
      </c>
      <c r="D80" s="17" t="str">
        <f>IF(A80="","",SUMIFS(期初数据!$S$5:$S$14,期初数据!$P$5:$P$14,A80)+SUMIFS(采购录入!$G$4:$G$103,采购录入!$D$4:$D$103,A80,采购录入!$A$4:$A$103,"&lt;"&amp;EOMONTH($B$2,-1)+1)-SUMIFS(销售录入!$G$4:$G$103,销售录入!$D$4:$D$103,A80,销售录入!$A$4:$A$103,"&lt;"&amp;EOMONTH($B$2,-1)+1))</f>
        <v/>
      </c>
      <c r="E80" s="17" t="str">
        <f>IF(A80="","",SUMIFS(采购录入!$G$4:$G$103,采购录入!$D$4:$D$103,A80,采购录入!$B$4:$B$103,TEXT($B$2,"yyyy-mm")))</f>
        <v/>
      </c>
      <c r="F80" s="17" t="str">
        <f>IF(A80="","",SUMIFS(采购录入!$I$4:$I$103,采购录入!$D$4:$D$103,A80,采购录入!$B$4:$B$103,TEXT($B$2,"yyyy-mm")))</f>
        <v/>
      </c>
      <c r="G80" s="17" t="str">
        <f>IF(A80="","",SUMIFS(销售录入!$G$4:$G$103,销售录入!$D$4:$D$103,A80,销售录入!$B$4:$B$103,TEXT($B$2,"yyyy-mm")))</f>
        <v/>
      </c>
      <c r="H80" s="17" t="str">
        <f>IF(A80="","",SUMIFS(销售录入!$K$4:$K$103,销售录入!$D$4:$D$103,A80,销售录入!$B$4:$B$103,TEXT($B$2,"yyyy-mm")))</f>
        <v/>
      </c>
      <c r="I80" s="17" t="str">
        <f t="shared" si="7"/>
        <v/>
      </c>
      <c r="J80" s="17" t="str">
        <f>IF(A80="","",SUMIFS(期初数据!$U$5:$U$14,期初数据!$P$5:$P$14,A80)+SUMIFS(采购录入!$I$4:$I$103,采购录入!$D$4:$D$103,A80,采购录入!$A$4:$A$103,"&lt;="&amp;EOMONTH($B$2,0))-SUMIFS(销售录入!$K$4:$K$103,销售录入!$D$4:$D$103,A80,销售录入!$A$4:$A$103,"&lt;="&amp;EOMONTH($B$2,0)))</f>
        <v/>
      </c>
      <c r="K80" s="17" t="str">
        <f t="shared" si="8"/>
        <v/>
      </c>
      <c r="L80" s="17" t="str">
        <f>IF(A80="","",SUMIFS(销售录入!$I$4:$I$103,销售录入!$D$4:$D$103,A80,销售录入!$B$4:$B$103,TEXT($B$2,"yyyy-mm")))</f>
        <v/>
      </c>
      <c r="M80" s="17" t="str">
        <f t="shared" si="9"/>
        <v/>
      </c>
      <c r="N80" s="52" t="str">
        <f>IF(A80="","",IFERROR(IF(E80=0,0,(F80/E80)/VLOOKUP(A80,基础资料!$P$5:$T$104,5,FALSE)-1),0))</f>
        <v/>
      </c>
      <c r="O80" s="52" t="str">
        <f t="shared" si="10"/>
        <v/>
      </c>
      <c r="P80" t="str">
        <f t="shared" si="11"/>
        <v/>
      </c>
      <c r="Q80" t="str">
        <f t="shared" si="12"/>
        <v/>
      </c>
    </row>
    <row r="81" spans="2:17">
      <c r="B81" t="str">
        <f>IF(A81="","",IFERROR(VLOOKUP(A81,基础资料!$P$5:$R$104,2,FALSE),""))</f>
        <v/>
      </c>
      <c r="C81" t="str">
        <f>IF(A81="","",IFERROR(VLOOKUP(A81,基础资料!$P$5:$R$104,3,FALSE),""))</f>
        <v/>
      </c>
      <c r="D81" s="17" t="str">
        <f>IF(A81="","",SUMIFS(期初数据!$S$5:$S$14,期初数据!$P$5:$P$14,A81)+SUMIFS(采购录入!$G$4:$G$103,采购录入!$D$4:$D$103,A81,采购录入!$A$4:$A$103,"&lt;"&amp;EOMONTH($B$2,-1)+1)-SUMIFS(销售录入!$G$4:$G$103,销售录入!$D$4:$D$103,A81,销售录入!$A$4:$A$103,"&lt;"&amp;EOMONTH($B$2,-1)+1))</f>
        <v/>
      </c>
      <c r="E81" s="17" t="str">
        <f>IF(A81="","",SUMIFS(采购录入!$G$4:$G$103,采购录入!$D$4:$D$103,A81,采购录入!$B$4:$B$103,TEXT($B$2,"yyyy-mm")))</f>
        <v/>
      </c>
      <c r="F81" s="17" t="str">
        <f>IF(A81="","",SUMIFS(采购录入!$I$4:$I$103,采购录入!$D$4:$D$103,A81,采购录入!$B$4:$B$103,TEXT($B$2,"yyyy-mm")))</f>
        <v/>
      </c>
      <c r="G81" s="17" t="str">
        <f>IF(A81="","",SUMIFS(销售录入!$G$4:$G$103,销售录入!$D$4:$D$103,A81,销售录入!$B$4:$B$103,TEXT($B$2,"yyyy-mm")))</f>
        <v/>
      </c>
      <c r="H81" s="17" t="str">
        <f>IF(A81="","",SUMIFS(销售录入!$K$4:$K$103,销售录入!$D$4:$D$103,A81,销售录入!$B$4:$B$103,TEXT($B$2,"yyyy-mm")))</f>
        <v/>
      </c>
      <c r="I81" s="17" t="str">
        <f t="shared" si="7"/>
        <v/>
      </c>
      <c r="J81" s="17" t="str">
        <f>IF(A81="","",SUMIFS(期初数据!$U$5:$U$14,期初数据!$P$5:$P$14,A81)+SUMIFS(采购录入!$I$4:$I$103,采购录入!$D$4:$D$103,A81,采购录入!$A$4:$A$103,"&lt;="&amp;EOMONTH($B$2,0))-SUMIFS(销售录入!$K$4:$K$103,销售录入!$D$4:$D$103,A81,销售录入!$A$4:$A$103,"&lt;="&amp;EOMONTH($B$2,0)))</f>
        <v/>
      </c>
      <c r="K81" s="17" t="str">
        <f t="shared" si="8"/>
        <v/>
      </c>
      <c r="L81" s="17" t="str">
        <f>IF(A81="","",SUMIFS(销售录入!$I$4:$I$103,销售录入!$D$4:$D$103,A81,销售录入!$B$4:$B$103,TEXT($B$2,"yyyy-mm")))</f>
        <v/>
      </c>
      <c r="M81" s="17" t="str">
        <f t="shared" si="9"/>
        <v/>
      </c>
      <c r="N81" s="52" t="str">
        <f>IF(A81="","",IFERROR(IF(E81=0,0,(F81/E81)/VLOOKUP(A81,基础资料!$P$5:$T$104,5,FALSE)-1),0))</f>
        <v/>
      </c>
      <c r="O81" s="52" t="str">
        <f t="shared" si="10"/>
        <v/>
      </c>
      <c r="P81" t="str">
        <f t="shared" si="11"/>
        <v/>
      </c>
      <c r="Q81" t="str">
        <f t="shared" si="12"/>
        <v/>
      </c>
    </row>
    <row r="82" spans="2:17">
      <c r="B82" t="str">
        <f>IF(A82="","",IFERROR(VLOOKUP(A82,基础资料!$P$5:$R$104,2,FALSE),""))</f>
        <v/>
      </c>
      <c r="C82" t="str">
        <f>IF(A82="","",IFERROR(VLOOKUP(A82,基础资料!$P$5:$R$104,3,FALSE),""))</f>
        <v/>
      </c>
      <c r="D82" s="17" t="str">
        <f>IF(A82="","",SUMIFS(期初数据!$S$5:$S$14,期初数据!$P$5:$P$14,A82)+SUMIFS(采购录入!$G$4:$G$103,采购录入!$D$4:$D$103,A82,采购录入!$A$4:$A$103,"&lt;"&amp;EOMONTH($B$2,-1)+1)-SUMIFS(销售录入!$G$4:$G$103,销售录入!$D$4:$D$103,A82,销售录入!$A$4:$A$103,"&lt;"&amp;EOMONTH($B$2,-1)+1))</f>
        <v/>
      </c>
      <c r="E82" s="17" t="str">
        <f>IF(A82="","",SUMIFS(采购录入!$G$4:$G$103,采购录入!$D$4:$D$103,A82,采购录入!$B$4:$B$103,TEXT($B$2,"yyyy-mm")))</f>
        <v/>
      </c>
      <c r="F82" s="17" t="str">
        <f>IF(A82="","",SUMIFS(采购录入!$I$4:$I$103,采购录入!$D$4:$D$103,A82,采购录入!$B$4:$B$103,TEXT($B$2,"yyyy-mm")))</f>
        <v/>
      </c>
      <c r="G82" s="17" t="str">
        <f>IF(A82="","",SUMIFS(销售录入!$G$4:$G$103,销售录入!$D$4:$D$103,A82,销售录入!$B$4:$B$103,TEXT($B$2,"yyyy-mm")))</f>
        <v/>
      </c>
      <c r="H82" s="17" t="str">
        <f>IF(A82="","",SUMIFS(销售录入!$K$4:$K$103,销售录入!$D$4:$D$103,A82,销售录入!$B$4:$B$103,TEXT($B$2,"yyyy-mm")))</f>
        <v/>
      </c>
      <c r="I82" s="17" t="str">
        <f t="shared" si="7"/>
        <v/>
      </c>
      <c r="J82" s="17" t="str">
        <f>IF(A82="","",SUMIFS(期初数据!$U$5:$U$14,期初数据!$P$5:$P$14,A82)+SUMIFS(采购录入!$I$4:$I$103,采购录入!$D$4:$D$103,A82,采购录入!$A$4:$A$103,"&lt;="&amp;EOMONTH($B$2,0))-SUMIFS(销售录入!$K$4:$K$103,销售录入!$D$4:$D$103,A82,销售录入!$A$4:$A$103,"&lt;="&amp;EOMONTH($B$2,0)))</f>
        <v/>
      </c>
      <c r="K82" s="17" t="str">
        <f t="shared" si="8"/>
        <v/>
      </c>
      <c r="L82" s="17" t="str">
        <f>IF(A82="","",SUMIFS(销售录入!$I$4:$I$103,销售录入!$D$4:$D$103,A82,销售录入!$B$4:$B$103,TEXT($B$2,"yyyy-mm")))</f>
        <v/>
      </c>
      <c r="M82" s="17" t="str">
        <f t="shared" si="9"/>
        <v/>
      </c>
      <c r="N82" s="52" t="str">
        <f>IF(A82="","",IFERROR(IF(E82=0,0,(F82/E82)/VLOOKUP(A82,基础资料!$P$5:$T$104,5,FALSE)-1),0))</f>
        <v/>
      </c>
      <c r="O82" s="52" t="str">
        <f t="shared" si="10"/>
        <v/>
      </c>
      <c r="P82" t="str">
        <f t="shared" si="11"/>
        <v/>
      </c>
      <c r="Q82" t="str">
        <f t="shared" si="12"/>
        <v/>
      </c>
    </row>
    <row r="83" spans="2:17">
      <c r="B83" t="str">
        <f>IF(A83="","",IFERROR(VLOOKUP(A83,基础资料!$P$5:$R$104,2,FALSE),""))</f>
        <v/>
      </c>
      <c r="C83" t="str">
        <f>IF(A83="","",IFERROR(VLOOKUP(A83,基础资料!$P$5:$R$104,3,FALSE),""))</f>
        <v/>
      </c>
      <c r="D83" s="17" t="str">
        <f>IF(A83="","",SUMIFS(期初数据!$S$5:$S$14,期初数据!$P$5:$P$14,A83)+SUMIFS(采购录入!$G$4:$G$103,采购录入!$D$4:$D$103,A83,采购录入!$A$4:$A$103,"&lt;"&amp;EOMONTH($B$2,-1)+1)-SUMIFS(销售录入!$G$4:$G$103,销售录入!$D$4:$D$103,A83,销售录入!$A$4:$A$103,"&lt;"&amp;EOMONTH($B$2,-1)+1))</f>
        <v/>
      </c>
      <c r="E83" s="17" t="str">
        <f>IF(A83="","",SUMIFS(采购录入!$G$4:$G$103,采购录入!$D$4:$D$103,A83,采购录入!$B$4:$B$103,TEXT($B$2,"yyyy-mm")))</f>
        <v/>
      </c>
      <c r="F83" s="17" t="str">
        <f>IF(A83="","",SUMIFS(采购录入!$I$4:$I$103,采购录入!$D$4:$D$103,A83,采购录入!$B$4:$B$103,TEXT($B$2,"yyyy-mm")))</f>
        <v/>
      </c>
      <c r="G83" s="17" t="str">
        <f>IF(A83="","",SUMIFS(销售录入!$G$4:$G$103,销售录入!$D$4:$D$103,A83,销售录入!$B$4:$B$103,TEXT($B$2,"yyyy-mm")))</f>
        <v/>
      </c>
      <c r="H83" s="17" t="str">
        <f>IF(A83="","",SUMIFS(销售录入!$K$4:$K$103,销售录入!$D$4:$D$103,A83,销售录入!$B$4:$B$103,TEXT($B$2,"yyyy-mm")))</f>
        <v/>
      </c>
      <c r="I83" s="17" t="str">
        <f t="shared" si="7"/>
        <v/>
      </c>
      <c r="J83" s="17" t="str">
        <f>IF(A83="","",SUMIFS(期初数据!$U$5:$U$14,期初数据!$P$5:$P$14,A83)+SUMIFS(采购录入!$I$4:$I$103,采购录入!$D$4:$D$103,A83,采购录入!$A$4:$A$103,"&lt;="&amp;EOMONTH($B$2,0))-SUMIFS(销售录入!$K$4:$K$103,销售录入!$D$4:$D$103,A83,销售录入!$A$4:$A$103,"&lt;="&amp;EOMONTH($B$2,0)))</f>
        <v/>
      </c>
      <c r="K83" s="17" t="str">
        <f t="shared" si="8"/>
        <v/>
      </c>
      <c r="L83" s="17" t="str">
        <f>IF(A83="","",SUMIFS(销售录入!$I$4:$I$103,销售录入!$D$4:$D$103,A83,销售录入!$B$4:$B$103,TEXT($B$2,"yyyy-mm")))</f>
        <v/>
      </c>
      <c r="M83" s="17" t="str">
        <f t="shared" si="9"/>
        <v/>
      </c>
      <c r="N83" s="52" t="str">
        <f>IF(A83="","",IFERROR(IF(E83=0,0,(F83/E83)/VLOOKUP(A83,基础资料!$P$5:$T$104,5,FALSE)-1),0))</f>
        <v/>
      </c>
      <c r="O83" s="52" t="str">
        <f t="shared" si="10"/>
        <v/>
      </c>
      <c r="P83" t="str">
        <f t="shared" si="11"/>
        <v/>
      </c>
      <c r="Q83" t="str">
        <f t="shared" si="12"/>
        <v/>
      </c>
    </row>
    <row r="84" spans="2:17">
      <c r="B84" t="str">
        <f>IF(A84="","",IFERROR(VLOOKUP(A84,基础资料!$P$5:$R$104,2,FALSE),""))</f>
        <v/>
      </c>
      <c r="C84" t="str">
        <f>IF(A84="","",IFERROR(VLOOKUP(A84,基础资料!$P$5:$R$104,3,FALSE),""))</f>
        <v/>
      </c>
      <c r="D84" s="17" t="str">
        <f>IF(A84="","",SUMIFS(期初数据!$S$5:$S$14,期初数据!$P$5:$P$14,A84)+SUMIFS(采购录入!$G$4:$G$103,采购录入!$D$4:$D$103,A84,采购录入!$A$4:$A$103,"&lt;"&amp;EOMONTH($B$2,-1)+1)-SUMIFS(销售录入!$G$4:$G$103,销售录入!$D$4:$D$103,A84,销售录入!$A$4:$A$103,"&lt;"&amp;EOMONTH($B$2,-1)+1))</f>
        <v/>
      </c>
      <c r="E84" s="17" t="str">
        <f>IF(A84="","",SUMIFS(采购录入!$G$4:$G$103,采购录入!$D$4:$D$103,A84,采购录入!$B$4:$B$103,TEXT($B$2,"yyyy-mm")))</f>
        <v/>
      </c>
      <c r="F84" s="17" t="str">
        <f>IF(A84="","",SUMIFS(采购录入!$I$4:$I$103,采购录入!$D$4:$D$103,A84,采购录入!$B$4:$B$103,TEXT($B$2,"yyyy-mm")))</f>
        <v/>
      </c>
      <c r="G84" s="17" t="str">
        <f>IF(A84="","",SUMIFS(销售录入!$G$4:$G$103,销售录入!$D$4:$D$103,A84,销售录入!$B$4:$B$103,TEXT($B$2,"yyyy-mm")))</f>
        <v/>
      </c>
      <c r="H84" s="17" t="str">
        <f>IF(A84="","",SUMIFS(销售录入!$K$4:$K$103,销售录入!$D$4:$D$103,A84,销售录入!$B$4:$B$103,TEXT($B$2,"yyyy-mm")))</f>
        <v/>
      </c>
      <c r="I84" s="17" t="str">
        <f t="shared" si="7"/>
        <v/>
      </c>
      <c r="J84" s="17" t="str">
        <f>IF(A84="","",SUMIFS(期初数据!$U$5:$U$14,期初数据!$P$5:$P$14,A84)+SUMIFS(采购录入!$I$4:$I$103,采购录入!$D$4:$D$103,A84,采购录入!$A$4:$A$103,"&lt;="&amp;EOMONTH($B$2,0))-SUMIFS(销售录入!$K$4:$K$103,销售录入!$D$4:$D$103,A84,销售录入!$A$4:$A$103,"&lt;="&amp;EOMONTH($B$2,0)))</f>
        <v/>
      </c>
      <c r="K84" s="17" t="str">
        <f t="shared" si="8"/>
        <v/>
      </c>
      <c r="L84" s="17" t="str">
        <f>IF(A84="","",SUMIFS(销售录入!$I$4:$I$103,销售录入!$D$4:$D$103,A84,销售录入!$B$4:$B$103,TEXT($B$2,"yyyy-mm")))</f>
        <v/>
      </c>
      <c r="M84" s="17" t="str">
        <f t="shared" si="9"/>
        <v/>
      </c>
      <c r="N84" s="52" t="str">
        <f>IF(A84="","",IFERROR(IF(E84=0,0,(F84/E84)/VLOOKUP(A84,基础资料!$P$5:$T$104,5,FALSE)-1),0))</f>
        <v/>
      </c>
      <c r="O84" s="52" t="str">
        <f t="shared" si="10"/>
        <v/>
      </c>
      <c r="P84" t="str">
        <f t="shared" si="11"/>
        <v/>
      </c>
      <c r="Q84" t="str">
        <f t="shared" si="12"/>
        <v/>
      </c>
    </row>
    <row r="85" spans="2:17">
      <c r="B85" t="str">
        <f>IF(A85="","",IFERROR(VLOOKUP(A85,基础资料!$P$5:$R$104,2,FALSE),""))</f>
        <v/>
      </c>
      <c r="C85" t="str">
        <f>IF(A85="","",IFERROR(VLOOKUP(A85,基础资料!$P$5:$R$104,3,FALSE),""))</f>
        <v/>
      </c>
      <c r="D85" s="17" t="str">
        <f>IF(A85="","",SUMIFS(期初数据!$S$5:$S$14,期初数据!$P$5:$P$14,A85)+SUMIFS(采购录入!$G$4:$G$103,采购录入!$D$4:$D$103,A85,采购录入!$A$4:$A$103,"&lt;"&amp;EOMONTH($B$2,-1)+1)-SUMIFS(销售录入!$G$4:$G$103,销售录入!$D$4:$D$103,A85,销售录入!$A$4:$A$103,"&lt;"&amp;EOMONTH($B$2,-1)+1))</f>
        <v/>
      </c>
      <c r="E85" s="17" t="str">
        <f>IF(A85="","",SUMIFS(采购录入!$G$4:$G$103,采购录入!$D$4:$D$103,A85,采购录入!$B$4:$B$103,TEXT($B$2,"yyyy-mm")))</f>
        <v/>
      </c>
      <c r="F85" s="17" t="str">
        <f>IF(A85="","",SUMIFS(采购录入!$I$4:$I$103,采购录入!$D$4:$D$103,A85,采购录入!$B$4:$B$103,TEXT($B$2,"yyyy-mm")))</f>
        <v/>
      </c>
      <c r="G85" s="17" t="str">
        <f>IF(A85="","",SUMIFS(销售录入!$G$4:$G$103,销售录入!$D$4:$D$103,A85,销售录入!$B$4:$B$103,TEXT($B$2,"yyyy-mm")))</f>
        <v/>
      </c>
      <c r="H85" s="17" t="str">
        <f>IF(A85="","",SUMIFS(销售录入!$K$4:$K$103,销售录入!$D$4:$D$103,A85,销售录入!$B$4:$B$103,TEXT($B$2,"yyyy-mm")))</f>
        <v/>
      </c>
      <c r="I85" s="17" t="str">
        <f t="shared" si="7"/>
        <v/>
      </c>
      <c r="J85" s="17" t="str">
        <f>IF(A85="","",SUMIFS(期初数据!$U$5:$U$14,期初数据!$P$5:$P$14,A85)+SUMIFS(采购录入!$I$4:$I$103,采购录入!$D$4:$D$103,A85,采购录入!$A$4:$A$103,"&lt;="&amp;EOMONTH($B$2,0))-SUMIFS(销售录入!$K$4:$K$103,销售录入!$D$4:$D$103,A85,销售录入!$A$4:$A$103,"&lt;="&amp;EOMONTH($B$2,0)))</f>
        <v/>
      </c>
      <c r="K85" s="17" t="str">
        <f t="shared" si="8"/>
        <v/>
      </c>
      <c r="L85" s="17" t="str">
        <f>IF(A85="","",SUMIFS(销售录入!$I$4:$I$103,销售录入!$D$4:$D$103,A85,销售录入!$B$4:$B$103,TEXT($B$2,"yyyy-mm")))</f>
        <v/>
      </c>
      <c r="M85" s="17" t="str">
        <f t="shared" si="9"/>
        <v/>
      </c>
      <c r="N85" s="52" t="str">
        <f>IF(A85="","",IFERROR(IF(E85=0,0,(F85/E85)/VLOOKUP(A85,基础资料!$P$5:$T$104,5,FALSE)-1),0))</f>
        <v/>
      </c>
      <c r="O85" s="52" t="str">
        <f t="shared" si="10"/>
        <v/>
      </c>
      <c r="P85" t="str">
        <f t="shared" si="11"/>
        <v/>
      </c>
      <c r="Q85" t="str">
        <f t="shared" si="12"/>
        <v/>
      </c>
    </row>
    <row r="86" spans="2:17">
      <c r="B86" t="str">
        <f>IF(A86="","",IFERROR(VLOOKUP(A86,基础资料!$P$5:$R$104,2,FALSE),""))</f>
        <v/>
      </c>
      <c r="C86" t="str">
        <f>IF(A86="","",IFERROR(VLOOKUP(A86,基础资料!$P$5:$R$104,3,FALSE),""))</f>
        <v/>
      </c>
      <c r="D86" s="17" t="str">
        <f>IF(A86="","",SUMIFS(期初数据!$S$5:$S$14,期初数据!$P$5:$P$14,A86)+SUMIFS(采购录入!$G$4:$G$103,采购录入!$D$4:$D$103,A86,采购录入!$A$4:$A$103,"&lt;"&amp;EOMONTH($B$2,-1)+1)-SUMIFS(销售录入!$G$4:$G$103,销售录入!$D$4:$D$103,A86,销售录入!$A$4:$A$103,"&lt;"&amp;EOMONTH($B$2,-1)+1))</f>
        <v/>
      </c>
      <c r="E86" s="17" t="str">
        <f>IF(A86="","",SUMIFS(采购录入!$G$4:$G$103,采购录入!$D$4:$D$103,A86,采购录入!$B$4:$B$103,TEXT($B$2,"yyyy-mm")))</f>
        <v/>
      </c>
      <c r="F86" s="17" t="str">
        <f>IF(A86="","",SUMIFS(采购录入!$I$4:$I$103,采购录入!$D$4:$D$103,A86,采购录入!$B$4:$B$103,TEXT($B$2,"yyyy-mm")))</f>
        <v/>
      </c>
      <c r="G86" s="17" t="str">
        <f>IF(A86="","",SUMIFS(销售录入!$G$4:$G$103,销售录入!$D$4:$D$103,A86,销售录入!$B$4:$B$103,TEXT($B$2,"yyyy-mm")))</f>
        <v/>
      </c>
      <c r="H86" s="17" t="str">
        <f>IF(A86="","",SUMIFS(销售录入!$K$4:$K$103,销售录入!$D$4:$D$103,A86,销售录入!$B$4:$B$103,TEXT($B$2,"yyyy-mm")))</f>
        <v/>
      </c>
      <c r="I86" s="17" t="str">
        <f t="shared" si="7"/>
        <v/>
      </c>
      <c r="J86" s="17" t="str">
        <f>IF(A86="","",SUMIFS(期初数据!$U$5:$U$14,期初数据!$P$5:$P$14,A86)+SUMIFS(采购录入!$I$4:$I$103,采购录入!$D$4:$D$103,A86,采购录入!$A$4:$A$103,"&lt;="&amp;EOMONTH($B$2,0))-SUMIFS(销售录入!$K$4:$K$103,销售录入!$D$4:$D$103,A86,销售录入!$A$4:$A$103,"&lt;="&amp;EOMONTH($B$2,0)))</f>
        <v/>
      </c>
      <c r="K86" s="17" t="str">
        <f t="shared" si="8"/>
        <v/>
      </c>
      <c r="L86" s="17" t="str">
        <f>IF(A86="","",SUMIFS(销售录入!$I$4:$I$103,销售录入!$D$4:$D$103,A86,销售录入!$B$4:$B$103,TEXT($B$2,"yyyy-mm")))</f>
        <v/>
      </c>
      <c r="M86" s="17" t="str">
        <f t="shared" si="9"/>
        <v/>
      </c>
      <c r="N86" s="52" t="str">
        <f>IF(A86="","",IFERROR(IF(E86=0,0,(F86/E86)/VLOOKUP(A86,基础资料!$P$5:$T$104,5,FALSE)-1),0))</f>
        <v/>
      </c>
      <c r="O86" s="52" t="str">
        <f t="shared" si="10"/>
        <v/>
      </c>
      <c r="P86" t="str">
        <f t="shared" si="11"/>
        <v/>
      </c>
      <c r="Q86" t="str">
        <f t="shared" si="12"/>
        <v/>
      </c>
    </row>
    <row r="87" spans="2:17">
      <c r="B87" t="str">
        <f>IF(A87="","",IFERROR(VLOOKUP(A87,基础资料!$P$5:$R$104,2,FALSE),""))</f>
        <v/>
      </c>
      <c r="C87" t="str">
        <f>IF(A87="","",IFERROR(VLOOKUP(A87,基础资料!$P$5:$R$104,3,FALSE),""))</f>
        <v/>
      </c>
      <c r="D87" s="17" t="str">
        <f>IF(A87="","",SUMIFS(期初数据!$S$5:$S$14,期初数据!$P$5:$P$14,A87)+SUMIFS(采购录入!$G$4:$G$103,采购录入!$D$4:$D$103,A87,采购录入!$A$4:$A$103,"&lt;"&amp;EOMONTH($B$2,-1)+1)-SUMIFS(销售录入!$G$4:$G$103,销售录入!$D$4:$D$103,A87,销售录入!$A$4:$A$103,"&lt;"&amp;EOMONTH($B$2,-1)+1))</f>
        <v/>
      </c>
      <c r="E87" s="17" t="str">
        <f>IF(A87="","",SUMIFS(采购录入!$G$4:$G$103,采购录入!$D$4:$D$103,A87,采购录入!$B$4:$B$103,TEXT($B$2,"yyyy-mm")))</f>
        <v/>
      </c>
      <c r="F87" s="17" t="str">
        <f>IF(A87="","",SUMIFS(采购录入!$I$4:$I$103,采购录入!$D$4:$D$103,A87,采购录入!$B$4:$B$103,TEXT($B$2,"yyyy-mm")))</f>
        <v/>
      </c>
      <c r="G87" s="17" t="str">
        <f>IF(A87="","",SUMIFS(销售录入!$G$4:$G$103,销售录入!$D$4:$D$103,A87,销售录入!$B$4:$B$103,TEXT($B$2,"yyyy-mm")))</f>
        <v/>
      </c>
      <c r="H87" s="17" t="str">
        <f>IF(A87="","",SUMIFS(销售录入!$K$4:$K$103,销售录入!$D$4:$D$103,A87,销售录入!$B$4:$B$103,TEXT($B$2,"yyyy-mm")))</f>
        <v/>
      </c>
      <c r="I87" s="17" t="str">
        <f t="shared" si="7"/>
        <v/>
      </c>
      <c r="J87" s="17" t="str">
        <f>IF(A87="","",SUMIFS(期初数据!$U$5:$U$14,期初数据!$P$5:$P$14,A87)+SUMIFS(采购录入!$I$4:$I$103,采购录入!$D$4:$D$103,A87,采购录入!$A$4:$A$103,"&lt;="&amp;EOMONTH($B$2,0))-SUMIFS(销售录入!$K$4:$K$103,销售录入!$D$4:$D$103,A87,销售录入!$A$4:$A$103,"&lt;="&amp;EOMONTH($B$2,0)))</f>
        <v/>
      </c>
      <c r="K87" s="17" t="str">
        <f t="shared" si="8"/>
        <v/>
      </c>
      <c r="L87" s="17" t="str">
        <f>IF(A87="","",SUMIFS(销售录入!$I$4:$I$103,销售录入!$D$4:$D$103,A87,销售录入!$B$4:$B$103,TEXT($B$2,"yyyy-mm")))</f>
        <v/>
      </c>
      <c r="M87" s="17" t="str">
        <f t="shared" si="9"/>
        <v/>
      </c>
      <c r="N87" s="52" t="str">
        <f>IF(A87="","",IFERROR(IF(E87=0,0,(F87/E87)/VLOOKUP(A87,基础资料!$P$5:$T$104,5,FALSE)-1),0))</f>
        <v/>
      </c>
      <c r="O87" s="52" t="str">
        <f t="shared" si="10"/>
        <v/>
      </c>
      <c r="P87" t="str">
        <f t="shared" si="11"/>
        <v/>
      </c>
      <c r="Q87" t="str">
        <f t="shared" si="12"/>
        <v/>
      </c>
    </row>
    <row r="88" spans="2:17">
      <c r="B88" t="str">
        <f>IF(A88="","",IFERROR(VLOOKUP(A88,基础资料!$P$5:$R$104,2,FALSE),""))</f>
        <v/>
      </c>
      <c r="C88" t="str">
        <f>IF(A88="","",IFERROR(VLOOKUP(A88,基础资料!$P$5:$R$104,3,FALSE),""))</f>
        <v/>
      </c>
      <c r="D88" s="17" t="str">
        <f>IF(A88="","",SUMIFS(期初数据!$S$5:$S$14,期初数据!$P$5:$P$14,A88)+SUMIFS(采购录入!$G$4:$G$103,采购录入!$D$4:$D$103,A88,采购录入!$A$4:$A$103,"&lt;"&amp;EOMONTH($B$2,-1)+1)-SUMIFS(销售录入!$G$4:$G$103,销售录入!$D$4:$D$103,A88,销售录入!$A$4:$A$103,"&lt;"&amp;EOMONTH($B$2,-1)+1))</f>
        <v/>
      </c>
      <c r="E88" s="17" t="str">
        <f>IF(A88="","",SUMIFS(采购录入!$G$4:$G$103,采购录入!$D$4:$D$103,A88,采购录入!$B$4:$B$103,TEXT($B$2,"yyyy-mm")))</f>
        <v/>
      </c>
      <c r="F88" s="17" t="str">
        <f>IF(A88="","",SUMIFS(采购录入!$I$4:$I$103,采购录入!$D$4:$D$103,A88,采购录入!$B$4:$B$103,TEXT($B$2,"yyyy-mm")))</f>
        <v/>
      </c>
      <c r="G88" s="17" t="str">
        <f>IF(A88="","",SUMIFS(销售录入!$G$4:$G$103,销售录入!$D$4:$D$103,A88,销售录入!$B$4:$B$103,TEXT($B$2,"yyyy-mm")))</f>
        <v/>
      </c>
      <c r="H88" s="17" t="str">
        <f>IF(A88="","",SUMIFS(销售录入!$K$4:$K$103,销售录入!$D$4:$D$103,A88,销售录入!$B$4:$B$103,TEXT($B$2,"yyyy-mm")))</f>
        <v/>
      </c>
      <c r="I88" s="17" t="str">
        <f t="shared" si="7"/>
        <v/>
      </c>
      <c r="J88" s="17" t="str">
        <f>IF(A88="","",SUMIFS(期初数据!$U$5:$U$14,期初数据!$P$5:$P$14,A88)+SUMIFS(采购录入!$I$4:$I$103,采购录入!$D$4:$D$103,A88,采购录入!$A$4:$A$103,"&lt;="&amp;EOMONTH($B$2,0))-SUMIFS(销售录入!$K$4:$K$103,销售录入!$D$4:$D$103,A88,销售录入!$A$4:$A$103,"&lt;="&amp;EOMONTH($B$2,0)))</f>
        <v/>
      </c>
      <c r="K88" s="17" t="str">
        <f t="shared" si="8"/>
        <v/>
      </c>
      <c r="L88" s="17" t="str">
        <f>IF(A88="","",SUMIFS(销售录入!$I$4:$I$103,销售录入!$D$4:$D$103,A88,销售录入!$B$4:$B$103,TEXT($B$2,"yyyy-mm")))</f>
        <v/>
      </c>
      <c r="M88" s="17" t="str">
        <f t="shared" si="9"/>
        <v/>
      </c>
      <c r="N88" s="52" t="str">
        <f>IF(A88="","",IFERROR(IF(E88=0,0,(F88/E88)/VLOOKUP(A88,基础资料!$P$5:$T$104,5,FALSE)-1),0))</f>
        <v/>
      </c>
      <c r="O88" s="52" t="str">
        <f t="shared" si="10"/>
        <v/>
      </c>
      <c r="P88" t="str">
        <f t="shared" si="11"/>
        <v/>
      </c>
      <c r="Q88" t="str">
        <f t="shared" si="12"/>
        <v/>
      </c>
    </row>
    <row r="89" spans="2:17">
      <c r="B89" t="str">
        <f>IF(A89="","",IFERROR(VLOOKUP(A89,基础资料!$P$5:$R$104,2,FALSE),""))</f>
        <v/>
      </c>
      <c r="C89" t="str">
        <f>IF(A89="","",IFERROR(VLOOKUP(A89,基础资料!$P$5:$R$104,3,FALSE),""))</f>
        <v/>
      </c>
      <c r="D89" s="17" t="str">
        <f>IF(A89="","",SUMIFS(期初数据!$S$5:$S$14,期初数据!$P$5:$P$14,A89)+SUMIFS(采购录入!$G$4:$G$103,采购录入!$D$4:$D$103,A89,采购录入!$A$4:$A$103,"&lt;"&amp;EOMONTH($B$2,-1)+1)-SUMIFS(销售录入!$G$4:$G$103,销售录入!$D$4:$D$103,A89,销售录入!$A$4:$A$103,"&lt;"&amp;EOMONTH($B$2,-1)+1))</f>
        <v/>
      </c>
      <c r="E89" s="17" t="str">
        <f>IF(A89="","",SUMIFS(采购录入!$G$4:$G$103,采购录入!$D$4:$D$103,A89,采购录入!$B$4:$B$103,TEXT($B$2,"yyyy-mm")))</f>
        <v/>
      </c>
      <c r="F89" s="17" t="str">
        <f>IF(A89="","",SUMIFS(采购录入!$I$4:$I$103,采购录入!$D$4:$D$103,A89,采购录入!$B$4:$B$103,TEXT($B$2,"yyyy-mm")))</f>
        <v/>
      </c>
      <c r="G89" s="17" t="str">
        <f>IF(A89="","",SUMIFS(销售录入!$G$4:$G$103,销售录入!$D$4:$D$103,A89,销售录入!$B$4:$B$103,TEXT($B$2,"yyyy-mm")))</f>
        <v/>
      </c>
      <c r="H89" s="17" t="str">
        <f>IF(A89="","",SUMIFS(销售录入!$K$4:$K$103,销售录入!$D$4:$D$103,A89,销售录入!$B$4:$B$103,TEXT($B$2,"yyyy-mm")))</f>
        <v/>
      </c>
      <c r="I89" s="17" t="str">
        <f t="shared" si="7"/>
        <v/>
      </c>
      <c r="J89" s="17" t="str">
        <f>IF(A89="","",SUMIFS(期初数据!$U$5:$U$14,期初数据!$P$5:$P$14,A89)+SUMIFS(采购录入!$I$4:$I$103,采购录入!$D$4:$D$103,A89,采购录入!$A$4:$A$103,"&lt;="&amp;EOMONTH($B$2,0))-SUMIFS(销售录入!$K$4:$K$103,销售录入!$D$4:$D$103,A89,销售录入!$A$4:$A$103,"&lt;="&amp;EOMONTH($B$2,0)))</f>
        <v/>
      </c>
      <c r="K89" s="17" t="str">
        <f t="shared" si="8"/>
        <v/>
      </c>
      <c r="L89" s="17" t="str">
        <f>IF(A89="","",SUMIFS(销售录入!$I$4:$I$103,销售录入!$D$4:$D$103,A89,销售录入!$B$4:$B$103,TEXT($B$2,"yyyy-mm")))</f>
        <v/>
      </c>
      <c r="M89" s="17" t="str">
        <f t="shared" si="9"/>
        <v/>
      </c>
      <c r="N89" s="52" t="str">
        <f>IF(A89="","",IFERROR(IF(E89=0,0,(F89/E89)/VLOOKUP(A89,基础资料!$P$5:$T$104,5,FALSE)-1),0))</f>
        <v/>
      </c>
      <c r="O89" s="52" t="str">
        <f t="shared" si="10"/>
        <v/>
      </c>
      <c r="P89" t="str">
        <f t="shared" si="11"/>
        <v/>
      </c>
      <c r="Q89" t="str">
        <f t="shared" si="12"/>
        <v/>
      </c>
    </row>
    <row r="90" spans="2:17">
      <c r="B90" t="str">
        <f>IF(A90="","",IFERROR(VLOOKUP(A90,基础资料!$P$5:$R$104,2,FALSE),""))</f>
        <v/>
      </c>
      <c r="C90" t="str">
        <f>IF(A90="","",IFERROR(VLOOKUP(A90,基础资料!$P$5:$R$104,3,FALSE),""))</f>
        <v/>
      </c>
      <c r="D90" s="17" t="str">
        <f>IF(A90="","",SUMIFS(期初数据!$S$5:$S$14,期初数据!$P$5:$P$14,A90)+SUMIFS(采购录入!$G$4:$G$103,采购录入!$D$4:$D$103,A90,采购录入!$A$4:$A$103,"&lt;"&amp;EOMONTH($B$2,-1)+1)-SUMIFS(销售录入!$G$4:$G$103,销售录入!$D$4:$D$103,A90,销售录入!$A$4:$A$103,"&lt;"&amp;EOMONTH($B$2,-1)+1))</f>
        <v/>
      </c>
      <c r="E90" s="17" t="str">
        <f>IF(A90="","",SUMIFS(采购录入!$G$4:$G$103,采购录入!$D$4:$D$103,A90,采购录入!$B$4:$B$103,TEXT($B$2,"yyyy-mm")))</f>
        <v/>
      </c>
      <c r="F90" s="17" t="str">
        <f>IF(A90="","",SUMIFS(采购录入!$I$4:$I$103,采购录入!$D$4:$D$103,A90,采购录入!$B$4:$B$103,TEXT($B$2,"yyyy-mm")))</f>
        <v/>
      </c>
      <c r="G90" s="17" t="str">
        <f>IF(A90="","",SUMIFS(销售录入!$G$4:$G$103,销售录入!$D$4:$D$103,A90,销售录入!$B$4:$B$103,TEXT($B$2,"yyyy-mm")))</f>
        <v/>
      </c>
      <c r="H90" s="17" t="str">
        <f>IF(A90="","",SUMIFS(销售录入!$K$4:$K$103,销售录入!$D$4:$D$103,A90,销售录入!$B$4:$B$103,TEXT($B$2,"yyyy-mm")))</f>
        <v/>
      </c>
      <c r="I90" s="17" t="str">
        <f t="shared" si="7"/>
        <v/>
      </c>
      <c r="J90" s="17" t="str">
        <f>IF(A90="","",SUMIFS(期初数据!$U$5:$U$14,期初数据!$P$5:$P$14,A90)+SUMIFS(采购录入!$I$4:$I$103,采购录入!$D$4:$D$103,A90,采购录入!$A$4:$A$103,"&lt;="&amp;EOMONTH($B$2,0))-SUMIFS(销售录入!$K$4:$K$103,销售录入!$D$4:$D$103,A90,销售录入!$A$4:$A$103,"&lt;="&amp;EOMONTH($B$2,0)))</f>
        <v/>
      </c>
      <c r="K90" s="17" t="str">
        <f t="shared" si="8"/>
        <v/>
      </c>
      <c r="L90" s="17" t="str">
        <f>IF(A90="","",SUMIFS(销售录入!$I$4:$I$103,销售录入!$D$4:$D$103,A90,销售录入!$B$4:$B$103,TEXT($B$2,"yyyy-mm")))</f>
        <v/>
      </c>
      <c r="M90" s="17" t="str">
        <f t="shared" si="9"/>
        <v/>
      </c>
      <c r="N90" s="52" t="str">
        <f>IF(A90="","",IFERROR(IF(E90=0,0,(F90/E90)/VLOOKUP(A90,基础资料!$P$5:$T$104,5,FALSE)-1),0))</f>
        <v/>
      </c>
      <c r="O90" s="52" t="str">
        <f t="shared" si="10"/>
        <v/>
      </c>
      <c r="P90" t="str">
        <f t="shared" si="11"/>
        <v/>
      </c>
      <c r="Q90" t="str">
        <f t="shared" si="12"/>
        <v/>
      </c>
    </row>
    <row r="91" spans="2:17">
      <c r="B91" t="str">
        <f>IF(A91="","",IFERROR(VLOOKUP(A91,基础资料!$P$5:$R$104,2,FALSE),""))</f>
        <v/>
      </c>
      <c r="C91" t="str">
        <f>IF(A91="","",IFERROR(VLOOKUP(A91,基础资料!$P$5:$R$104,3,FALSE),""))</f>
        <v/>
      </c>
      <c r="D91" s="17" t="str">
        <f>IF(A91="","",SUMIFS(期初数据!$S$5:$S$14,期初数据!$P$5:$P$14,A91)+SUMIFS(采购录入!$G$4:$G$103,采购录入!$D$4:$D$103,A91,采购录入!$A$4:$A$103,"&lt;"&amp;EOMONTH($B$2,-1)+1)-SUMIFS(销售录入!$G$4:$G$103,销售录入!$D$4:$D$103,A91,销售录入!$A$4:$A$103,"&lt;"&amp;EOMONTH($B$2,-1)+1))</f>
        <v/>
      </c>
      <c r="E91" s="17" t="str">
        <f>IF(A91="","",SUMIFS(采购录入!$G$4:$G$103,采购录入!$D$4:$D$103,A91,采购录入!$B$4:$B$103,TEXT($B$2,"yyyy-mm")))</f>
        <v/>
      </c>
      <c r="F91" s="17" t="str">
        <f>IF(A91="","",SUMIFS(采购录入!$I$4:$I$103,采购录入!$D$4:$D$103,A91,采购录入!$B$4:$B$103,TEXT($B$2,"yyyy-mm")))</f>
        <v/>
      </c>
      <c r="G91" s="17" t="str">
        <f>IF(A91="","",SUMIFS(销售录入!$G$4:$G$103,销售录入!$D$4:$D$103,A91,销售录入!$B$4:$B$103,TEXT($B$2,"yyyy-mm")))</f>
        <v/>
      </c>
      <c r="H91" s="17" t="str">
        <f>IF(A91="","",SUMIFS(销售录入!$K$4:$K$103,销售录入!$D$4:$D$103,A91,销售录入!$B$4:$B$103,TEXT($B$2,"yyyy-mm")))</f>
        <v/>
      </c>
      <c r="I91" s="17" t="str">
        <f t="shared" si="7"/>
        <v/>
      </c>
      <c r="J91" s="17" t="str">
        <f>IF(A91="","",SUMIFS(期初数据!$U$5:$U$14,期初数据!$P$5:$P$14,A91)+SUMIFS(采购录入!$I$4:$I$103,采购录入!$D$4:$D$103,A91,采购录入!$A$4:$A$103,"&lt;="&amp;EOMONTH($B$2,0))-SUMIFS(销售录入!$K$4:$K$103,销售录入!$D$4:$D$103,A91,销售录入!$A$4:$A$103,"&lt;="&amp;EOMONTH($B$2,0)))</f>
        <v/>
      </c>
      <c r="K91" s="17" t="str">
        <f t="shared" si="8"/>
        <v/>
      </c>
      <c r="L91" s="17" t="str">
        <f>IF(A91="","",SUMIFS(销售录入!$I$4:$I$103,销售录入!$D$4:$D$103,A91,销售录入!$B$4:$B$103,TEXT($B$2,"yyyy-mm")))</f>
        <v/>
      </c>
      <c r="M91" s="17" t="str">
        <f t="shared" si="9"/>
        <v/>
      </c>
      <c r="N91" s="52" t="str">
        <f>IF(A91="","",IFERROR(IF(E91=0,0,(F91/E91)/VLOOKUP(A91,基础资料!$P$5:$T$104,5,FALSE)-1),0))</f>
        <v/>
      </c>
      <c r="O91" s="52" t="str">
        <f t="shared" si="10"/>
        <v/>
      </c>
      <c r="P91" t="str">
        <f t="shared" si="11"/>
        <v/>
      </c>
      <c r="Q91" t="str">
        <f t="shared" si="12"/>
        <v/>
      </c>
    </row>
    <row r="92" spans="2:17">
      <c r="B92" t="str">
        <f>IF(A92="","",IFERROR(VLOOKUP(A92,基础资料!$P$5:$R$104,2,FALSE),""))</f>
        <v/>
      </c>
      <c r="C92" t="str">
        <f>IF(A92="","",IFERROR(VLOOKUP(A92,基础资料!$P$5:$R$104,3,FALSE),""))</f>
        <v/>
      </c>
      <c r="D92" s="17" t="str">
        <f>IF(A92="","",SUMIFS(期初数据!$S$5:$S$14,期初数据!$P$5:$P$14,A92)+SUMIFS(采购录入!$G$4:$G$103,采购录入!$D$4:$D$103,A92,采购录入!$A$4:$A$103,"&lt;"&amp;EOMONTH($B$2,-1)+1)-SUMIFS(销售录入!$G$4:$G$103,销售录入!$D$4:$D$103,A92,销售录入!$A$4:$A$103,"&lt;"&amp;EOMONTH($B$2,-1)+1))</f>
        <v/>
      </c>
      <c r="E92" s="17" t="str">
        <f>IF(A92="","",SUMIFS(采购录入!$G$4:$G$103,采购录入!$D$4:$D$103,A92,采购录入!$B$4:$B$103,TEXT($B$2,"yyyy-mm")))</f>
        <v/>
      </c>
      <c r="F92" s="17" t="str">
        <f>IF(A92="","",SUMIFS(采购录入!$I$4:$I$103,采购录入!$D$4:$D$103,A92,采购录入!$B$4:$B$103,TEXT($B$2,"yyyy-mm")))</f>
        <v/>
      </c>
      <c r="G92" s="17" t="str">
        <f>IF(A92="","",SUMIFS(销售录入!$G$4:$G$103,销售录入!$D$4:$D$103,A92,销售录入!$B$4:$B$103,TEXT($B$2,"yyyy-mm")))</f>
        <v/>
      </c>
      <c r="H92" s="17" t="str">
        <f>IF(A92="","",SUMIFS(销售录入!$K$4:$K$103,销售录入!$D$4:$D$103,A92,销售录入!$B$4:$B$103,TEXT($B$2,"yyyy-mm")))</f>
        <v/>
      </c>
      <c r="I92" s="17" t="str">
        <f t="shared" si="7"/>
        <v/>
      </c>
      <c r="J92" s="17" t="str">
        <f>IF(A92="","",SUMIFS(期初数据!$U$5:$U$14,期初数据!$P$5:$P$14,A92)+SUMIFS(采购录入!$I$4:$I$103,采购录入!$D$4:$D$103,A92,采购录入!$A$4:$A$103,"&lt;="&amp;EOMONTH($B$2,0))-SUMIFS(销售录入!$K$4:$K$103,销售录入!$D$4:$D$103,A92,销售录入!$A$4:$A$103,"&lt;="&amp;EOMONTH($B$2,0)))</f>
        <v/>
      </c>
      <c r="K92" s="17" t="str">
        <f t="shared" si="8"/>
        <v/>
      </c>
      <c r="L92" s="17" t="str">
        <f>IF(A92="","",SUMIFS(销售录入!$I$4:$I$103,销售录入!$D$4:$D$103,A92,销售录入!$B$4:$B$103,TEXT($B$2,"yyyy-mm")))</f>
        <v/>
      </c>
      <c r="M92" s="17" t="str">
        <f t="shared" si="9"/>
        <v/>
      </c>
      <c r="N92" s="52" t="str">
        <f>IF(A92="","",IFERROR(IF(E92=0,0,(F92/E92)/VLOOKUP(A92,基础资料!$P$5:$T$104,5,FALSE)-1),0))</f>
        <v/>
      </c>
      <c r="O92" s="52" t="str">
        <f t="shared" si="10"/>
        <v/>
      </c>
      <c r="P92" t="str">
        <f t="shared" si="11"/>
        <v/>
      </c>
      <c r="Q92" t="str">
        <f t="shared" si="12"/>
        <v/>
      </c>
    </row>
    <row r="93" spans="2:17">
      <c r="B93" t="str">
        <f>IF(A93="","",IFERROR(VLOOKUP(A93,基础资料!$P$5:$R$104,2,FALSE),""))</f>
        <v/>
      </c>
      <c r="C93" t="str">
        <f>IF(A93="","",IFERROR(VLOOKUP(A93,基础资料!$P$5:$R$104,3,FALSE),""))</f>
        <v/>
      </c>
      <c r="D93" s="17" t="str">
        <f>IF(A93="","",SUMIFS(期初数据!$S$5:$S$14,期初数据!$P$5:$P$14,A93)+SUMIFS(采购录入!$G$4:$G$103,采购录入!$D$4:$D$103,A93,采购录入!$A$4:$A$103,"&lt;"&amp;EOMONTH($B$2,-1)+1)-SUMIFS(销售录入!$G$4:$G$103,销售录入!$D$4:$D$103,A93,销售录入!$A$4:$A$103,"&lt;"&amp;EOMONTH($B$2,-1)+1))</f>
        <v/>
      </c>
      <c r="E93" s="17" t="str">
        <f>IF(A93="","",SUMIFS(采购录入!$G$4:$G$103,采购录入!$D$4:$D$103,A93,采购录入!$B$4:$B$103,TEXT($B$2,"yyyy-mm")))</f>
        <v/>
      </c>
      <c r="F93" s="17" t="str">
        <f>IF(A93="","",SUMIFS(采购录入!$I$4:$I$103,采购录入!$D$4:$D$103,A93,采购录入!$B$4:$B$103,TEXT($B$2,"yyyy-mm")))</f>
        <v/>
      </c>
      <c r="G93" s="17" t="str">
        <f>IF(A93="","",SUMIFS(销售录入!$G$4:$G$103,销售录入!$D$4:$D$103,A93,销售录入!$B$4:$B$103,TEXT($B$2,"yyyy-mm")))</f>
        <v/>
      </c>
      <c r="H93" s="17" t="str">
        <f>IF(A93="","",SUMIFS(销售录入!$K$4:$K$103,销售录入!$D$4:$D$103,A93,销售录入!$B$4:$B$103,TEXT($B$2,"yyyy-mm")))</f>
        <v/>
      </c>
      <c r="I93" s="17" t="str">
        <f t="shared" si="7"/>
        <v/>
      </c>
      <c r="J93" s="17" t="str">
        <f>IF(A93="","",SUMIFS(期初数据!$U$5:$U$14,期初数据!$P$5:$P$14,A93)+SUMIFS(采购录入!$I$4:$I$103,采购录入!$D$4:$D$103,A93,采购录入!$A$4:$A$103,"&lt;="&amp;EOMONTH($B$2,0))-SUMIFS(销售录入!$K$4:$K$103,销售录入!$D$4:$D$103,A93,销售录入!$A$4:$A$103,"&lt;="&amp;EOMONTH($B$2,0)))</f>
        <v/>
      </c>
      <c r="K93" s="17" t="str">
        <f t="shared" si="8"/>
        <v/>
      </c>
      <c r="L93" s="17" t="str">
        <f>IF(A93="","",SUMIFS(销售录入!$I$4:$I$103,销售录入!$D$4:$D$103,A93,销售录入!$B$4:$B$103,TEXT($B$2,"yyyy-mm")))</f>
        <v/>
      </c>
      <c r="M93" s="17" t="str">
        <f t="shared" si="9"/>
        <v/>
      </c>
      <c r="N93" s="52" t="str">
        <f>IF(A93="","",IFERROR(IF(E93=0,0,(F93/E93)/VLOOKUP(A93,基础资料!$P$5:$T$104,5,FALSE)-1),0))</f>
        <v/>
      </c>
      <c r="O93" s="52" t="str">
        <f t="shared" si="10"/>
        <v/>
      </c>
      <c r="P93" t="str">
        <f t="shared" si="11"/>
        <v/>
      </c>
      <c r="Q93" t="str">
        <f t="shared" si="12"/>
        <v/>
      </c>
    </row>
    <row r="94" spans="2:17">
      <c r="B94" t="str">
        <f>IF(A94="","",IFERROR(VLOOKUP(A94,基础资料!$P$5:$R$104,2,FALSE),""))</f>
        <v/>
      </c>
      <c r="C94" t="str">
        <f>IF(A94="","",IFERROR(VLOOKUP(A94,基础资料!$P$5:$R$104,3,FALSE),""))</f>
        <v/>
      </c>
      <c r="D94" s="17" t="str">
        <f>IF(A94="","",SUMIFS(期初数据!$S$5:$S$14,期初数据!$P$5:$P$14,A94)+SUMIFS(采购录入!$G$4:$G$103,采购录入!$D$4:$D$103,A94,采购录入!$A$4:$A$103,"&lt;"&amp;EOMONTH($B$2,-1)+1)-SUMIFS(销售录入!$G$4:$G$103,销售录入!$D$4:$D$103,A94,销售录入!$A$4:$A$103,"&lt;"&amp;EOMONTH($B$2,-1)+1))</f>
        <v/>
      </c>
      <c r="E94" s="17" t="str">
        <f>IF(A94="","",SUMIFS(采购录入!$G$4:$G$103,采购录入!$D$4:$D$103,A94,采购录入!$B$4:$B$103,TEXT($B$2,"yyyy-mm")))</f>
        <v/>
      </c>
      <c r="F94" s="17" t="str">
        <f>IF(A94="","",SUMIFS(采购录入!$I$4:$I$103,采购录入!$D$4:$D$103,A94,采购录入!$B$4:$B$103,TEXT($B$2,"yyyy-mm")))</f>
        <v/>
      </c>
      <c r="G94" s="17" t="str">
        <f>IF(A94="","",SUMIFS(销售录入!$G$4:$G$103,销售录入!$D$4:$D$103,A94,销售录入!$B$4:$B$103,TEXT($B$2,"yyyy-mm")))</f>
        <v/>
      </c>
      <c r="H94" s="17" t="str">
        <f>IF(A94="","",SUMIFS(销售录入!$K$4:$K$103,销售录入!$D$4:$D$103,A94,销售录入!$B$4:$B$103,TEXT($B$2,"yyyy-mm")))</f>
        <v/>
      </c>
      <c r="I94" s="17" t="str">
        <f t="shared" si="7"/>
        <v/>
      </c>
      <c r="J94" s="17" t="str">
        <f>IF(A94="","",SUMIFS(期初数据!$U$5:$U$14,期初数据!$P$5:$P$14,A94)+SUMIFS(采购录入!$I$4:$I$103,采购录入!$D$4:$D$103,A94,采购录入!$A$4:$A$103,"&lt;="&amp;EOMONTH($B$2,0))-SUMIFS(销售录入!$K$4:$K$103,销售录入!$D$4:$D$103,A94,销售录入!$A$4:$A$103,"&lt;="&amp;EOMONTH($B$2,0)))</f>
        <v/>
      </c>
      <c r="K94" s="17" t="str">
        <f t="shared" si="8"/>
        <v/>
      </c>
      <c r="L94" s="17" t="str">
        <f>IF(A94="","",SUMIFS(销售录入!$I$4:$I$103,销售录入!$D$4:$D$103,A94,销售录入!$B$4:$B$103,TEXT($B$2,"yyyy-mm")))</f>
        <v/>
      </c>
      <c r="M94" s="17" t="str">
        <f t="shared" si="9"/>
        <v/>
      </c>
      <c r="N94" s="52" t="str">
        <f>IF(A94="","",IFERROR(IF(E94=0,0,(F94/E94)/VLOOKUP(A94,基础资料!$P$5:$T$104,5,FALSE)-1),0))</f>
        <v/>
      </c>
      <c r="O94" s="52" t="str">
        <f t="shared" si="10"/>
        <v/>
      </c>
      <c r="P94" t="str">
        <f t="shared" si="11"/>
        <v/>
      </c>
      <c r="Q94" t="str">
        <f t="shared" si="12"/>
        <v/>
      </c>
    </row>
    <row r="95" spans="2:17">
      <c r="B95" t="str">
        <f>IF(A95="","",IFERROR(VLOOKUP(A95,基础资料!$P$5:$R$104,2,FALSE),""))</f>
        <v/>
      </c>
      <c r="C95" t="str">
        <f>IF(A95="","",IFERROR(VLOOKUP(A95,基础资料!$P$5:$R$104,3,FALSE),""))</f>
        <v/>
      </c>
      <c r="D95" s="17" t="str">
        <f>IF(A95="","",SUMIFS(期初数据!$S$5:$S$14,期初数据!$P$5:$P$14,A95)+SUMIFS(采购录入!$G$4:$G$103,采购录入!$D$4:$D$103,A95,采购录入!$A$4:$A$103,"&lt;"&amp;EOMONTH($B$2,-1)+1)-SUMIFS(销售录入!$G$4:$G$103,销售录入!$D$4:$D$103,A95,销售录入!$A$4:$A$103,"&lt;"&amp;EOMONTH($B$2,-1)+1))</f>
        <v/>
      </c>
      <c r="E95" s="17" t="str">
        <f>IF(A95="","",SUMIFS(采购录入!$G$4:$G$103,采购录入!$D$4:$D$103,A95,采购录入!$B$4:$B$103,TEXT($B$2,"yyyy-mm")))</f>
        <v/>
      </c>
      <c r="F95" s="17" t="str">
        <f>IF(A95="","",SUMIFS(采购录入!$I$4:$I$103,采购录入!$D$4:$D$103,A95,采购录入!$B$4:$B$103,TEXT($B$2,"yyyy-mm")))</f>
        <v/>
      </c>
      <c r="G95" s="17" t="str">
        <f>IF(A95="","",SUMIFS(销售录入!$G$4:$G$103,销售录入!$D$4:$D$103,A95,销售录入!$B$4:$B$103,TEXT($B$2,"yyyy-mm")))</f>
        <v/>
      </c>
      <c r="H95" s="17" t="str">
        <f>IF(A95="","",SUMIFS(销售录入!$K$4:$K$103,销售录入!$D$4:$D$103,A95,销售录入!$B$4:$B$103,TEXT($B$2,"yyyy-mm")))</f>
        <v/>
      </c>
      <c r="I95" s="17" t="str">
        <f t="shared" si="7"/>
        <v/>
      </c>
      <c r="J95" s="17" t="str">
        <f>IF(A95="","",SUMIFS(期初数据!$U$5:$U$14,期初数据!$P$5:$P$14,A95)+SUMIFS(采购录入!$I$4:$I$103,采购录入!$D$4:$D$103,A95,采购录入!$A$4:$A$103,"&lt;="&amp;EOMONTH($B$2,0))-SUMIFS(销售录入!$K$4:$K$103,销售录入!$D$4:$D$103,A95,销售录入!$A$4:$A$103,"&lt;="&amp;EOMONTH($B$2,0)))</f>
        <v/>
      </c>
      <c r="K95" s="17" t="str">
        <f t="shared" si="8"/>
        <v/>
      </c>
      <c r="L95" s="17" t="str">
        <f>IF(A95="","",SUMIFS(销售录入!$I$4:$I$103,销售录入!$D$4:$D$103,A95,销售录入!$B$4:$B$103,TEXT($B$2,"yyyy-mm")))</f>
        <v/>
      </c>
      <c r="M95" s="17" t="str">
        <f t="shared" si="9"/>
        <v/>
      </c>
      <c r="N95" s="52" t="str">
        <f>IF(A95="","",IFERROR(IF(E95=0,0,(F95/E95)/VLOOKUP(A95,基础资料!$P$5:$T$104,5,FALSE)-1),0))</f>
        <v/>
      </c>
      <c r="O95" s="52" t="str">
        <f t="shared" si="10"/>
        <v/>
      </c>
      <c r="P95" t="str">
        <f t="shared" si="11"/>
        <v/>
      </c>
      <c r="Q95" t="str">
        <f t="shared" si="12"/>
        <v/>
      </c>
    </row>
    <row r="96" spans="2:17">
      <c r="B96" t="str">
        <f>IF(A96="","",IFERROR(VLOOKUP(A96,基础资料!$P$5:$R$104,2,FALSE),""))</f>
        <v/>
      </c>
      <c r="C96" t="str">
        <f>IF(A96="","",IFERROR(VLOOKUP(A96,基础资料!$P$5:$R$104,3,FALSE),""))</f>
        <v/>
      </c>
      <c r="D96" s="17" t="str">
        <f>IF(A96="","",SUMIFS(期初数据!$S$5:$S$14,期初数据!$P$5:$P$14,A96)+SUMIFS(采购录入!$G$4:$G$103,采购录入!$D$4:$D$103,A96,采购录入!$A$4:$A$103,"&lt;"&amp;EOMONTH($B$2,-1)+1)-SUMIFS(销售录入!$G$4:$G$103,销售录入!$D$4:$D$103,A96,销售录入!$A$4:$A$103,"&lt;"&amp;EOMONTH($B$2,-1)+1))</f>
        <v/>
      </c>
      <c r="E96" s="17" t="str">
        <f>IF(A96="","",SUMIFS(采购录入!$G$4:$G$103,采购录入!$D$4:$D$103,A96,采购录入!$B$4:$B$103,TEXT($B$2,"yyyy-mm")))</f>
        <v/>
      </c>
      <c r="F96" s="17" t="str">
        <f>IF(A96="","",SUMIFS(采购录入!$I$4:$I$103,采购录入!$D$4:$D$103,A96,采购录入!$B$4:$B$103,TEXT($B$2,"yyyy-mm")))</f>
        <v/>
      </c>
      <c r="G96" s="17" t="str">
        <f>IF(A96="","",SUMIFS(销售录入!$G$4:$G$103,销售录入!$D$4:$D$103,A96,销售录入!$B$4:$B$103,TEXT($B$2,"yyyy-mm")))</f>
        <v/>
      </c>
      <c r="H96" s="17" t="str">
        <f>IF(A96="","",SUMIFS(销售录入!$K$4:$K$103,销售录入!$D$4:$D$103,A96,销售录入!$B$4:$B$103,TEXT($B$2,"yyyy-mm")))</f>
        <v/>
      </c>
      <c r="I96" s="17" t="str">
        <f t="shared" si="7"/>
        <v/>
      </c>
      <c r="J96" s="17" t="str">
        <f>IF(A96="","",SUMIFS(期初数据!$U$5:$U$14,期初数据!$P$5:$P$14,A96)+SUMIFS(采购录入!$I$4:$I$103,采购录入!$D$4:$D$103,A96,采购录入!$A$4:$A$103,"&lt;="&amp;EOMONTH($B$2,0))-SUMIFS(销售录入!$K$4:$K$103,销售录入!$D$4:$D$103,A96,销售录入!$A$4:$A$103,"&lt;="&amp;EOMONTH($B$2,0)))</f>
        <v/>
      </c>
      <c r="K96" s="17" t="str">
        <f t="shared" si="8"/>
        <v/>
      </c>
      <c r="L96" s="17" t="str">
        <f>IF(A96="","",SUMIFS(销售录入!$I$4:$I$103,销售录入!$D$4:$D$103,A96,销售录入!$B$4:$B$103,TEXT($B$2,"yyyy-mm")))</f>
        <v/>
      </c>
      <c r="M96" s="17" t="str">
        <f t="shared" si="9"/>
        <v/>
      </c>
      <c r="N96" s="52" t="str">
        <f>IF(A96="","",IFERROR(IF(E96=0,0,(F96/E96)/VLOOKUP(A96,基础资料!$P$5:$T$104,5,FALSE)-1),0))</f>
        <v/>
      </c>
      <c r="O96" s="52" t="str">
        <f t="shared" si="10"/>
        <v/>
      </c>
      <c r="P96" t="str">
        <f t="shared" si="11"/>
        <v/>
      </c>
      <c r="Q96" t="str">
        <f t="shared" si="12"/>
        <v/>
      </c>
    </row>
    <row r="97" spans="2:17">
      <c r="B97" t="str">
        <f>IF(A97="","",IFERROR(VLOOKUP(A97,基础资料!$P$5:$R$104,2,FALSE),""))</f>
        <v/>
      </c>
      <c r="C97" t="str">
        <f>IF(A97="","",IFERROR(VLOOKUP(A97,基础资料!$P$5:$R$104,3,FALSE),""))</f>
        <v/>
      </c>
      <c r="D97" s="17" t="str">
        <f>IF(A97="","",SUMIFS(期初数据!$S$5:$S$14,期初数据!$P$5:$P$14,A97)+SUMIFS(采购录入!$G$4:$G$103,采购录入!$D$4:$D$103,A97,采购录入!$A$4:$A$103,"&lt;"&amp;EOMONTH($B$2,-1)+1)-SUMIFS(销售录入!$G$4:$G$103,销售录入!$D$4:$D$103,A97,销售录入!$A$4:$A$103,"&lt;"&amp;EOMONTH($B$2,-1)+1))</f>
        <v/>
      </c>
      <c r="E97" s="17" t="str">
        <f>IF(A97="","",SUMIFS(采购录入!$G$4:$G$103,采购录入!$D$4:$D$103,A97,采购录入!$B$4:$B$103,TEXT($B$2,"yyyy-mm")))</f>
        <v/>
      </c>
      <c r="F97" s="17" t="str">
        <f>IF(A97="","",SUMIFS(采购录入!$I$4:$I$103,采购录入!$D$4:$D$103,A97,采购录入!$B$4:$B$103,TEXT($B$2,"yyyy-mm")))</f>
        <v/>
      </c>
      <c r="G97" s="17" t="str">
        <f>IF(A97="","",SUMIFS(销售录入!$G$4:$G$103,销售录入!$D$4:$D$103,A97,销售录入!$B$4:$B$103,TEXT($B$2,"yyyy-mm")))</f>
        <v/>
      </c>
      <c r="H97" s="17" t="str">
        <f>IF(A97="","",SUMIFS(销售录入!$K$4:$K$103,销售录入!$D$4:$D$103,A97,销售录入!$B$4:$B$103,TEXT($B$2,"yyyy-mm")))</f>
        <v/>
      </c>
      <c r="I97" s="17" t="str">
        <f t="shared" si="7"/>
        <v/>
      </c>
      <c r="J97" s="17" t="str">
        <f>IF(A97="","",SUMIFS(期初数据!$U$5:$U$14,期初数据!$P$5:$P$14,A97)+SUMIFS(采购录入!$I$4:$I$103,采购录入!$D$4:$D$103,A97,采购录入!$A$4:$A$103,"&lt;="&amp;EOMONTH($B$2,0))-SUMIFS(销售录入!$K$4:$K$103,销售录入!$D$4:$D$103,A97,销售录入!$A$4:$A$103,"&lt;="&amp;EOMONTH($B$2,0)))</f>
        <v/>
      </c>
      <c r="K97" s="17" t="str">
        <f t="shared" si="8"/>
        <v/>
      </c>
      <c r="L97" s="17" t="str">
        <f>IF(A97="","",SUMIFS(销售录入!$I$4:$I$103,销售录入!$D$4:$D$103,A97,销售录入!$B$4:$B$103,TEXT($B$2,"yyyy-mm")))</f>
        <v/>
      </c>
      <c r="M97" s="17" t="str">
        <f t="shared" si="9"/>
        <v/>
      </c>
      <c r="N97" s="52" t="str">
        <f>IF(A97="","",IFERROR(IF(E97=0,0,(F97/E97)/VLOOKUP(A97,基础资料!$P$5:$T$104,5,FALSE)-1),0))</f>
        <v/>
      </c>
      <c r="O97" s="52" t="str">
        <f t="shared" si="10"/>
        <v/>
      </c>
      <c r="P97" t="str">
        <f t="shared" si="11"/>
        <v/>
      </c>
      <c r="Q97" t="str">
        <f t="shared" si="12"/>
        <v/>
      </c>
    </row>
    <row r="98" spans="2:17">
      <c r="B98" t="str">
        <f>IF(A98="","",IFERROR(VLOOKUP(A98,基础资料!$P$5:$R$104,2,FALSE),""))</f>
        <v/>
      </c>
      <c r="C98" t="str">
        <f>IF(A98="","",IFERROR(VLOOKUP(A98,基础资料!$P$5:$R$104,3,FALSE),""))</f>
        <v/>
      </c>
      <c r="D98" s="17" t="str">
        <f>IF(A98="","",SUMIFS(期初数据!$S$5:$S$14,期初数据!$P$5:$P$14,A98)+SUMIFS(采购录入!$G$4:$G$103,采购录入!$D$4:$D$103,A98,采购录入!$A$4:$A$103,"&lt;"&amp;EOMONTH($B$2,-1)+1)-SUMIFS(销售录入!$G$4:$G$103,销售录入!$D$4:$D$103,A98,销售录入!$A$4:$A$103,"&lt;"&amp;EOMONTH($B$2,-1)+1))</f>
        <v/>
      </c>
      <c r="E98" s="17" t="str">
        <f>IF(A98="","",SUMIFS(采购录入!$G$4:$G$103,采购录入!$D$4:$D$103,A98,采购录入!$B$4:$B$103,TEXT($B$2,"yyyy-mm")))</f>
        <v/>
      </c>
      <c r="F98" s="17" t="str">
        <f>IF(A98="","",SUMIFS(采购录入!$I$4:$I$103,采购录入!$D$4:$D$103,A98,采购录入!$B$4:$B$103,TEXT($B$2,"yyyy-mm")))</f>
        <v/>
      </c>
      <c r="G98" s="17" t="str">
        <f>IF(A98="","",SUMIFS(销售录入!$G$4:$G$103,销售录入!$D$4:$D$103,A98,销售录入!$B$4:$B$103,TEXT($B$2,"yyyy-mm")))</f>
        <v/>
      </c>
      <c r="H98" s="17" t="str">
        <f>IF(A98="","",SUMIFS(销售录入!$K$4:$K$103,销售录入!$D$4:$D$103,A98,销售录入!$B$4:$B$103,TEXT($B$2,"yyyy-mm")))</f>
        <v/>
      </c>
      <c r="I98" s="17" t="str">
        <f t="shared" si="7"/>
        <v/>
      </c>
      <c r="J98" s="17" t="str">
        <f>IF(A98="","",SUMIFS(期初数据!$U$5:$U$14,期初数据!$P$5:$P$14,A98)+SUMIFS(采购录入!$I$4:$I$103,采购录入!$D$4:$D$103,A98,采购录入!$A$4:$A$103,"&lt;="&amp;EOMONTH($B$2,0))-SUMIFS(销售录入!$K$4:$K$103,销售录入!$D$4:$D$103,A98,销售录入!$A$4:$A$103,"&lt;="&amp;EOMONTH($B$2,0)))</f>
        <v/>
      </c>
      <c r="K98" s="17" t="str">
        <f t="shared" si="8"/>
        <v/>
      </c>
      <c r="L98" s="17" t="str">
        <f>IF(A98="","",SUMIFS(销售录入!$I$4:$I$103,销售录入!$D$4:$D$103,A98,销售录入!$B$4:$B$103,TEXT($B$2,"yyyy-mm")))</f>
        <v/>
      </c>
      <c r="M98" s="17" t="str">
        <f t="shared" si="9"/>
        <v/>
      </c>
      <c r="N98" s="52" t="str">
        <f>IF(A98="","",IFERROR(IF(E98=0,0,(F98/E98)/VLOOKUP(A98,基础资料!$P$5:$T$104,5,FALSE)-1),0))</f>
        <v/>
      </c>
      <c r="O98" s="52" t="str">
        <f t="shared" si="10"/>
        <v/>
      </c>
      <c r="P98" t="str">
        <f t="shared" si="11"/>
        <v/>
      </c>
      <c r="Q98" t="str">
        <f t="shared" si="12"/>
        <v/>
      </c>
    </row>
    <row r="99" spans="2:17">
      <c r="B99" t="str">
        <f>IF(A99="","",IFERROR(VLOOKUP(A99,基础资料!$P$5:$R$104,2,FALSE),""))</f>
        <v/>
      </c>
      <c r="C99" t="str">
        <f>IF(A99="","",IFERROR(VLOOKUP(A99,基础资料!$P$5:$R$104,3,FALSE),""))</f>
        <v/>
      </c>
      <c r="D99" s="17" t="str">
        <f>IF(A99="","",SUMIFS(期初数据!$S$5:$S$14,期初数据!$P$5:$P$14,A99)+SUMIFS(采购录入!$G$4:$G$103,采购录入!$D$4:$D$103,A99,采购录入!$A$4:$A$103,"&lt;"&amp;EOMONTH($B$2,-1)+1)-SUMIFS(销售录入!$G$4:$G$103,销售录入!$D$4:$D$103,A99,销售录入!$A$4:$A$103,"&lt;"&amp;EOMONTH($B$2,-1)+1))</f>
        <v/>
      </c>
      <c r="E99" s="17" t="str">
        <f>IF(A99="","",SUMIFS(采购录入!$G$4:$G$103,采购录入!$D$4:$D$103,A99,采购录入!$B$4:$B$103,TEXT($B$2,"yyyy-mm")))</f>
        <v/>
      </c>
      <c r="F99" s="17" t="str">
        <f>IF(A99="","",SUMIFS(采购录入!$I$4:$I$103,采购录入!$D$4:$D$103,A99,采购录入!$B$4:$B$103,TEXT($B$2,"yyyy-mm")))</f>
        <v/>
      </c>
      <c r="G99" s="17" t="str">
        <f>IF(A99="","",SUMIFS(销售录入!$G$4:$G$103,销售录入!$D$4:$D$103,A99,销售录入!$B$4:$B$103,TEXT($B$2,"yyyy-mm")))</f>
        <v/>
      </c>
      <c r="H99" s="17" t="str">
        <f>IF(A99="","",SUMIFS(销售录入!$K$4:$K$103,销售录入!$D$4:$D$103,A99,销售录入!$B$4:$B$103,TEXT($B$2,"yyyy-mm")))</f>
        <v/>
      </c>
      <c r="I99" s="17" t="str">
        <f t="shared" si="7"/>
        <v/>
      </c>
      <c r="J99" s="17" t="str">
        <f>IF(A99="","",SUMIFS(期初数据!$U$5:$U$14,期初数据!$P$5:$P$14,A99)+SUMIFS(采购录入!$I$4:$I$103,采购录入!$D$4:$D$103,A99,采购录入!$A$4:$A$103,"&lt;="&amp;EOMONTH($B$2,0))-SUMIFS(销售录入!$K$4:$K$103,销售录入!$D$4:$D$103,A99,销售录入!$A$4:$A$103,"&lt;="&amp;EOMONTH($B$2,0)))</f>
        <v/>
      </c>
      <c r="K99" s="17" t="str">
        <f t="shared" si="8"/>
        <v/>
      </c>
      <c r="L99" s="17" t="str">
        <f>IF(A99="","",SUMIFS(销售录入!$I$4:$I$103,销售录入!$D$4:$D$103,A99,销售录入!$B$4:$B$103,TEXT($B$2,"yyyy-mm")))</f>
        <v/>
      </c>
      <c r="M99" s="17" t="str">
        <f t="shared" si="9"/>
        <v/>
      </c>
      <c r="N99" s="52" t="str">
        <f>IF(A99="","",IFERROR(IF(E99=0,0,(F99/E99)/VLOOKUP(A99,基础资料!$P$5:$T$104,5,FALSE)-1),0))</f>
        <v/>
      </c>
      <c r="O99" s="52" t="str">
        <f t="shared" si="10"/>
        <v/>
      </c>
      <c r="P99" t="str">
        <f t="shared" si="11"/>
        <v/>
      </c>
      <c r="Q99" t="str">
        <f t="shared" si="12"/>
        <v/>
      </c>
    </row>
    <row r="100" spans="2:17">
      <c r="B100" t="str">
        <f>IF(A100="","",IFERROR(VLOOKUP(A100,基础资料!$P$5:$R$104,2,FALSE),""))</f>
        <v/>
      </c>
      <c r="C100" t="str">
        <f>IF(A100="","",IFERROR(VLOOKUP(A100,基础资料!$P$5:$R$104,3,FALSE),""))</f>
        <v/>
      </c>
      <c r="D100" s="17" t="str">
        <f>IF(A100="","",SUMIFS(期初数据!$S$5:$S$14,期初数据!$P$5:$P$14,A100)+SUMIFS(采购录入!$G$4:$G$103,采购录入!$D$4:$D$103,A100,采购录入!$A$4:$A$103,"&lt;"&amp;EOMONTH($B$2,-1)+1)-SUMIFS(销售录入!$G$4:$G$103,销售录入!$D$4:$D$103,A100,销售录入!$A$4:$A$103,"&lt;"&amp;EOMONTH($B$2,-1)+1))</f>
        <v/>
      </c>
      <c r="E100" s="17" t="str">
        <f>IF(A100="","",SUMIFS(采购录入!$G$4:$G$103,采购录入!$D$4:$D$103,A100,采购录入!$B$4:$B$103,TEXT($B$2,"yyyy-mm")))</f>
        <v/>
      </c>
      <c r="F100" s="17" t="str">
        <f>IF(A100="","",SUMIFS(采购录入!$I$4:$I$103,采购录入!$D$4:$D$103,A100,采购录入!$B$4:$B$103,TEXT($B$2,"yyyy-mm")))</f>
        <v/>
      </c>
      <c r="G100" s="17" t="str">
        <f>IF(A100="","",SUMIFS(销售录入!$G$4:$G$103,销售录入!$D$4:$D$103,A100,销售录入!$B$4:$B$103,TEXT($B$2,"yyyy-mm")))</f>
        <v/>
      </c>
      <c r="H100" s="17" t="str">
        <f>IF(A100="","",SUMIFS(销售录入!$K$4:$K$103,销售录入!$D$4:$D$103,A100,销售录入!$B$4:$B$103,TEXT($B$2,"yyyy-mm")))</f>
        <v/>
      </c>
      <c r="I100" s="17" t="str">
        <f t="shared" si="7"/>
        <v/>
      </c>
      <c r="J100" s="17" t="str">
        <f>IF(A100="","",SUMIFS(期初数据!$U$5:$U$14,期初数据!$P$5:$P$14,A100)+SUMIFS(采购录入!$I$4:$I$103,采购录入!$D$4:$D$103,A100,采购录入!$A$4:$A$103,"&lt;="&amp;EOMONTH($B$2,0))-SUMIFS(销售录入!$K$4:$K$103,销售录入!$D$4:$D$103,A100,销售录入!$A$4:$A$103,"&lt;="&amp;EOMONTH($B$2,0)))</f>
        <v/>
      </c>
      <c r="K100" s="17" t="str">
        <f t="shared" si="8"/>
        <v/>
      </c>
      <c r="L100" s="17" t="str">
        <f>IF(A100="","",SUMIFS(销售录入!$I$4:$I$103,销售录入!$D$4:$D$103,A100,销售录入!$B$4:$B$103,TEXT($B$2,"yyyy-mm")))</f>
        <v/>
      </c>
      <c r="M100" s="17" t="str">
        <f t="shared" si="9"/>
        <v/>
      </c>
      <c r="N100" s="52" t="str">
        <f>IF(A100="","",IFERROR(IF(E100=0,0,(F100/E100)/VLOOKUP(A100,基础资料!$P$5:$T$104,5,FALSE)-1),0))</f>
        <v/>
      </c>
      <c r="O100" s="52" t="str">
        <f t="shared" si="10"/>
        <v/>
      </c>
      <c r="P100" t="str">
        <f t="shared" si="11"/>
        <v/>
      </c>
      <c r="Q100" t="str">
        <f t="shared" si="12"/>
        <v/>
      </c>
    </row>
    <row r="101" spans="2:17">
      <c r="B101" t="str">
        <f>IF(A101="","",IFERROR(VLOOKUP(A101,基础资料!$P$5:$R$104,2,FALSE),""))</f>
        <v/>
      </c>
      <c r="C101" t="str">
        <f>IF(A101="","",IFERROR(VLOOKUP(A101,基础资料!$P$5:$R$104,3,FALSE),""))</f>
        <v/>
      </c>
      <c r="D101" s="17" t="str">
        <f>IF(A101="","",SUMIFS(期初数据!$S$5:$S$14,期初数据!$P$5:$P$14,A101)+SUMIFS(采购录入!$G$4:$G$103,采购录入!$D$4:$D$103,A101,采购录入!$A$4:$A$103,"&lt;"&amp;EOMONTH($B$2,-1)+1)-SUMIFS(销售录入!$G$4:$G$103,销售录入!$D$4:$D$103,A101,销售录入!$A$4:$A$103,"&lt;"&amp;EOMONTH($B$2,-1)+1))</f>
        <v/>
      </c>
      <c r="E101" s="17" t="str">
        <f>IF(A101="","",SUMIFS(采购录入!$G$4:$G$103,采购录入!$D$4:$D$103,A101,采购录入!$B$4:$B$103,TEXT($B$2,"yyyy-mm")))</f>
        <v/>
      </c>
      <c r="F101" s="17" t="str">
        <f>IF(A101="","",SUMIFS(采购录入!$I$4:$I$103,采购录入!$D$4:$D$103,A101,采购录入!$B$4:$B$103,TEXT($B$2,"yyyy-mm")))</f>
        <v/>
      </c>
      <c r="G101" s="17" t="str">
        <f>IF(A101="","",SUMIFS(销售录入!$G$4:$G$103,销售录入!$D$4:$D$103,A101,销售录入!$B$4:$B$103,TEXT($B$2,"yyyy-mm")))</f>
        <v/>
      </c>
      <c r="H101" s="17" t="str">
        <f>IF(A101="","",SUMIFS(销售录入!$K$4:$K$103,销售录入!$D$4:$D$103,A101,销售录入!$B$4:$B$103,TEXT($B$2,"yyyy-mm")))</f>
        <v/>
      </c>
      <c r="I101" s="17" t="str">
        <f t="shared" si="7"/>
        <v/>
      </c>
      <c r="J101" s="17" t="str">
        <f>IF(A101="","",SUMIFS(期初数据!$U$5:$U$14,期初数据!$P$5:$P$14,A101)+SUMIFS(采购录入!$I$4:$I$103,采购录入!$D$4:$D$103,A101,采购录入!$A$4:$A$103,"&lt;="&amp;EOMONTH($B$2,0))-SUMIFS(销售录入!$K$4:$K$103,销售录入!$D$4:$D$103,A101,销售录入!$A$4:$A$103,"&lt;="&amp;EOMONTH($B$2,0)))</f>
        <v/>
      </c>
      <c r="K101" s="17" t="str">
        <f t="shared" si="8"/>
        <v/>
      </c>
      <c r="L101" s="17" t="str">
        <f>IF(A101="","",SUMIFS(销售录入!$I$4:$I$103,销售录入!$D$4:$D$103,A101,销售录入!$B$4:$B$103,TEXT($B$2,"yyyy-mm")))</f>
        <v/>
      </c>
      <c r="M101" s="17" t="str">
        <f t="shared" si="9"/>
        <v/>
      </c>
      <c r="N101" s="52" t="str">
        <f>IF(A101="","",IFERROR(IF(E101=0,0,(F101/E101)/VLOOKUP(A101,基础资料!$P$5:$T$104,5,FALSE)-1),0))</f>
        <v/>
      </c>
      <c r="O101" s="52" t="str">
        <f t="shared" si="10"/>
        <v/>
      </c>
      <c r="P101" t="str">
        <f t="shared" si="11"/>
        <v/>
      </c>
      <c r="Q101" t="str">
        <f t="shared" si="12"/>
        <v/>
      </c>
    </row>
    <row r="102" spans="2:17">
      <c r="B102" t="str">
        <f>IF(A102="","",IFERROR(VLOOKUP(A102,基础资料!$P$5:$R$104,2,FALSE),""))</f>
        <v/>
      </c>
      <c r="C102" t="str">
        <f>IF(A102="","",IFERROR(VLOOKUP(A102,基础资料!$P$5:$R$104,3,FALSE),""))</f>
        <v/>
      </c>
      <c r="D102" s="17" t="str">
        <f>IF(A102="","",SUMIFS(期初数据!$S$5:$S$14,期初数据!$P$5:$P$14,A102)+SUMIFS(采购录入!$G$4:$G$103,采购录入!$D$4:$D$103,A102,采购录入!$A$4:$A$103,"&lt;"&amp;EOMONTH($B$2,-1)+1)-SUMIFS(销售录入!$G$4:$G$103,销售录入!$D$4:$D$103,A102,销售录入!$A$4:$A$103,"&lt;"&amp;EOMONTH($B$2,-1)+1))</f>
        <v/>
      </c>
      <c r="E102" s="17" t="str">
        <f>IF(A102="","",SUMIFS(采购录入!$G$4:$G$103,采购录入!$D$4:$D$103,A102,采购录入!$B$4:$B$103,TEXT($B$2,"yyyy-mm")))</f>
        <v/>
      </c>
      <c r="F102" s="17" t="str">
        <f>IF(A102="","",SUMIFS(采购录入!$I$4:$I$103,采购录入!$D$4:$D$103,A102,采购录入!$B$4:$B$103,TEXT($B$2,"yyyy-mm")))</f>
        <v/>
      </c>
      <c r="G102" s="17" t="str">
        <f>IF(A102="","",SUMIFS(销售录入!$G$4:$G$103,销售录入!$D$4:$D$103,A102,销售录入!$B$4:$B$103,TEXT($B$2,"yyyy-mm")))</f>
        <v/>
      </c>
      <c r="H102" s="17" t="str">
        <f>IF(A102="","",SUMIFS(销售录入!$K$4:$K$103,销售录入!$D$4:$D$103,A102,销售录入!$B$4:$B$103,TEXT($B$2,"yyyy-mm")))</f>
        <v/>
      </c>
      <c r="I102" s="17" t="str">
        <f t="shared" si="7"/>
        <v/>
      </c>
      <c r="J102" s="17" t="str">
        <f>IF(A102="","",SUMIFS(期初数据!$U$5:$U$14,期初数据!$P$5:$P$14,A102)+SUMIFS(采购录入!$I$4:$I$103,采购录入!$D$4:$D$103,A102,采购录入!$A$4:$A$103,"&lt;="&amp;EOMONTH($B$2,0))-SUMIFS(销售录入!$K$4:$K$103,销售录入!$D$4:$D$103,A102,销售录入!$A$4:$A$103,"&lt;="&amp;EOMONTH($B$2,0)))</f>
        <v/>
      </c>
      <c r="K102" s="17" t="str">
        <f t="shared" si="8"/>
        <v/>
      </c>
      <c r="L102" s="17" t="str">
        <f>IF(A102="","",SUMIFS(销售录入!$I$4:$I$103,销售录入!$D$4:$D$103,A102,销售录入!$B$4:$B$103,TEXT($B$2,"yyyy-mm")))</f>
        <v/>
      </c>
      <c r="M102" s="17" t="str">
        <f t="shared" si="9"/>
        <v/>
      </c>
      <c r="N102" s="52" t="str">
        <f>IF(A102="","",IFERROR(IF(E102=0,0,(F102/E102)/VLOOKUP(A102,基础资料!$P$5:$T$104,5,FALSE)-1),0))</f>
        <v/>
      </c>
      <c r="O102" s="52" t="str">
        <f t="shared" si="10"/>
        <v/>
      </c>
      <c r="P102" t="str">
        <f t="shared" si="11"/>
        <v/>
      </c>
      <c r="Q102" t="str">
        <f t="shared" si="12"/>
        <v/>
      </c>
    </row>
    <row r="103" spans="2:17">
      <c r="B103" t="str">
        <f>IF(A103="","",IFERROR(VLOOKUP(A103,基础资料!$P$5:$R$104,2,FALSE),""))</f>
        <v/>
      </c>
      <c r="C103" t="str">
        <f>IF(A103="","",IFERROR(VLOOKUP(A103,基础资料!$P$5:$R$104,3,FALSE),""))</f>
        <v/>
      </c>
      <c r="D103" s="17" t="str">
        <f>IF(A103="","",SUMIFS(期初数据!$S$5:$S$14,期初数据!$P$5:$P$14,A103)+SUMIFS(采购录入!$G$4:$G$103,采购录入!$D$4:$D$103,A103,采购录入!$A$4:$A$103,"&lt;"&amp;EOMONTH($B$2,-1)+1)-SUMIFS(销售录入!$G$4:$G$103,销售录入!$D$4:$D$103,A103,销售录入!$A$4:$A$103,"&lt;"&amp;EOMONTH($B$2,-1)+1))</f>
        <v/>
      </c>
      <c r="E103" s="17" t="str">
        <f>IF(A103="","",SUMIFS(采购录入!$G$4:$G$103,采购录入!$D$4:$D$103,A103,采购录入!$B$4:$B$103,TEXT($B$2,"yyyy-mm")))</f>
        <v/>
      </c>
      <c r="F103" s="17" t="str">
        <f>IF(A103="","",SUMIFS(采购录入!$I$4:$I$103,采购录入!$D$4:$D$103,A103,采购录入!$B$4:$B$103,TEXT($B$2,"yyyy-mm")))</f>
        <v/>
      </c>
      <c r="G103" s="17" t="str">
        <f>IF(A103="","",SUMIFS(销售录入!$G$4:$G$103,销售录入!$D$4:$D$103,A103,销售录入!$B$4:$B$103,TEXT($B$2,"yyyy-mm")))</f>
        <v/>
      </c>
      <c r="H103" s="17" t="str">
        <f>IF(A103="","",SUMIFS(销售录入!$K$4:$K$103,销售录入!$D$4:$D$103,A103,销售录入!$B$4:$B$103,TEXT($B$2,"yyyy-mm")))</f>
        <v/>
      </c>
      <c r="I103" s="17" t="str">
        <f t="shared" si="7"/>
        <v/>
      </c>
      <c r="J103" s="17" t="str">
        <f>IF(A103="","",SUMIFS(期初数据!$U$5:$U$14,期初数据!$P$5:$P$14,A103)+SUMIFS(采购录入!$I$4:$I$103,采购录入!$D$4:$D$103,A103,采购录入!$A$4:$A$103,"&lt;="&amp;EOMONTH($B$2,0))-SUMIFS(销售录入!$K$4:$K$103,销售录入!$D$4:$D$103,A103,销售录入!$A$4:$A$103,"&lt;="&amp;EOMONTH($B$2,0)))</f>
        <v/>
      </c>
      <c r="K103" s="17" t="str">
        <f t="shared" si="8"/>
        <v/>
      </c>
      <c r="L103" s="17" t="str">
        <f>IF(A103="","",SUMIFS(销售录入!$I$4:$I$103,销售录入!$D$4:$D$103,A103,销售录入!$B$4:$B$103,TEXT($B$2,"yyyy-mm")))</f>
        <v/>
      </c>
      <c r="M103" s="17" t="str">
        <f t="shared" si="9"/>
        <v/>
      </c>
      <c r="N103" s="52" t="str">
        <f>IF(A103="","",IFERROR(IF(E103=0,0,(F103/E103)/VLOOKUP(A103,基础资料!$P$5:$T$104,5,FALSE)-1),0))</f>
        <v/>
      </c>
      <c r="O103" s="52" t="str">
        <f t="shared" si="10"/>
        <v/>
      </c>
      <c r="P103" t="str">
        <f t="shared" si="11"/>
        <v/>
      </c>
      <c r="Q103" t="str">
        <f t="shared" si="12"/>
        <v/>
      </c>
    </row>
    <row r="104" spans="2:17">
      <c r="B104" t="str">
        <f>IF(A104="","",IFERROR(VLOOKUP(A104,基础资料!$P$5:$R$104,2,FALSE),""))</f>
        <v/>
      </c>
      <c r="C104" t="str">
        <f>IF(A104="","",IFERROR(VLOOKUP(A104,基础资料!$P$5:$R$104,3,FALSE),""))</f>
        <v/>
      </c>
      <c r="D104" s="17" t="str">
        <f>IF(A104="","",SUMIFS(期初数据!$S$5:$S$14,期初数据!$P$5:$P$14,A104)+SUMIFS(采购录入!$G$4:$G$103,采购录入!$D$4:$D$103,A104,采购录入!$A$4:$A$103,"&lt;"&amp;EOMONTH($B$2,-1)+1)-SUMIFS(销售录入!$G$4:$G$103,销售录入!$D$4:$D$103,A104,销售录入!$A$4:$A$103,"&lt;"&amp;EOMONTH($B$2,-1)+1))</f>
        <v/>
      </c>
      <c r="E104" s="17" t="str">
        <f>IF(A104="","",SUMIFS(采购录入!$G$4:$G$103,采购录入!$D$4:$D$103,A104,采购录入!$B$4:$B$103,TEXT($B$2,"yyyy-mm")))</f>
        <v/>
      </c>
      <c r="F104" s="17" t="str">
        <f>IF(A104="","",SUMIFS(采购录入!$I$4:$I$103,采购录入!$D$4:$D$103,A104,采购录入!$B$4:$B$103,TEXT($B$2,"yyyy-mm")))</f>
        <v/>
      </c>
      <c r="G104" s="17" t="str">
        <f>IF(A104="","",SUMIFS(销售录入!$G$4:$G$103,销售录入!$D$4:$D$103,A104,销售录入!$B$4:$B$103,TEXT($B$2,"yyyy-mm")))</f>
        <v/>
      </c>
      <c r="H104" s="17" t="str">
        <f>IF(A104="","",SUMIFS(销售录入!$K$4:$K$103,销售录入!$D$4:$D$103,A104,销售录入!$B$4:$B$103,TEXT($B$2,"yyyy-mm")))</f>
        <v/>
      </c>
      <c r="I104" s="17" t="str">
        <f t="shared" si="7"/>
        <v/>
      </c>
      <c r="J104" s="17" t="str">
        <f>IF(A104="","",SUMIFS(期初数据!$U$5:$U$14,期初数据!$P$5:$P$14,A104)+SUMIFS(采购录入!$I$4:$I$103,采购录入!$D$4:$D$103,A104,采购录入!$A$4:$A$103,"&lt;="&amp;EOMONTH($B$2,0))-SUMIFS(销售录入!$K$4:$K$103,销售录入!$D$4:$D$103,A104,销售录入!$A$4:$A$103,"&lt;="&amp;EOMONTH($B$2,0)))</f>
        <v/>
      </c>
      <c r="K104" s="17" t="str">
        <f t="shared" si="8"/>
        <v/>
      </c>
      <c r="L104" s="17" t="str">
        <f>IF(A104="","",SUMIFS(销售录入!$I$4:$I$103,销售录入!$D$4:$D$103,A104,销售录入!$B$4:$B$103,TEXT($B$2,"yyyy-mm")))</f>
        <v/>
      </c>
      <c r="M104" s="17" t="str">
        <f t="shared" si="9"/>
        <v/>
      </c>
      <c r="N104" s="52" t="str">
        <f>IF(A104="","",IFERROR(IF(E104=0,0,(F104/E104)/VLOOKUP(A104,基础资料!$P$5:$T$104,5,FALSE)-1),0))</f>
        <v/>
      </c>
      <c r="O104" s="52" t="str">
        <f t="shared" si="10"/>
        <v/>
      </c>
      <c r="P104" t="str">
        <f t="shared" si="11"/>
        <v/>
      </c>
      <c r="Q104" t="str">
        <f t="shared" si="12"/>
        <v/>
      </c>
    </row>
  </sheetData>
  <mergeCells count="2">
    <mergeCell ref="A1:Q1"/>
    <mergeCell ref="D2:Q2"/>
  </mergeCells>
  <conditionalFormatting sqref="Q5:Q104">
    <cfRule type="expression" dxfId="0" priority="1">
      <formula>Q5="高风险"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4"/>
  <sheetViews>
    <sheetView workbookViewId="0">
      <selection activeCell="A1" sqref="A1:R1"/>
    </sheetView>
  </sheetViews>
  <sheetFormatPr defaultColWidth="9" defaultRowHeight="14.25"/>
  <cols>
    <col min="1" max="1" width="14" customWidth="1"/>
    <col min="2" max="2" width="9" customWidth="1"/>
    <col min="3" max="13" width="14" customWidth="1"/>
    <col min="14" max="14" width="12" customWidth="1"/>
    <col min="15" max="15" width="10" customWidth="1"/>
    <col min="16" max="17" width="12" customWidth="1"/>
    <col min="18" max="18" width="22" customWidth="1"/>
  </cols>
  <sheetData>
    <row r="1" ht="20.25" spans="1:18">
      <c r="A1" s="45" t="s">
        <v>459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>
      <c r="A2" t="s">
        <v>2</v>
      </c>
      <c r="B2" s="53">
        <f>首页!$B$4</f>
        <v>46174</v>
      </c>
      <c r="D2" t="s">
        <v>460</v>
      </c>
      <c r="E2" s="5">
        <f>EOMONTH(B2,0)</f>
        <v>46203</v>
      </c>
    </row>
    <row r="3" spans="1:18">
      <c r="A3" t="s">
        <v>446</v>
      </c>
      <c r="C3" s="17">
        <f t="shared" ref="C3:L3" si="0">SUM(C5:C54)</f>
        <v>158000</v>
      </c>
      <c r="D3" s="17">
        <f t="shared" si="0"/>
        <v>26080</v>
      </c>
      <c r="E3" s="17">
        <f t="shared" si="0"/>
        <v>20000</v>
      </c>
      <c r="F3" s="17">
        <f t="shared" si="0"/>
        <v>164080</v>
      </c>
      <c r="G3" s="17">
        <f t="shared" si="0"/>
        <v>26080</v>
      </c>
      <c r="H3" s="17">
        <f t="shared" si="0"/>
        <v>0</v>
      </c>
      <c r="I3" s="17">
        <f t="shared" si="0"/>
        <v>0</v>
      </c>
      <c r="J3" s="17">
        <f t="shared" si="0"/>
        <v>0</v>
      </c>
      <c r="K3" s="17">
        <f t="shared" si="0"/>
        <v>138000</v>
      </c>
      <c r="L3" s="17">
        <f t="shared" si="0"/>
        <v>138000</v>
      </c>
    </row>
    <row r="4" ht="15" spans="1:18">
      <c r="A4" s="43" t="s">
        <v>156</v>
      </c>
      <c r="B4" s="43" t="s">
        <v>44</v>
      </c>
      <c r="C4" s="44" t="s">
        <v>461</v>
      </c>
      <c r="D4" s="44" t="s">
        <v>462</v>
      </c>
      <c r="E4" s="44" t="s">
        <v>463</v>
      </c>
      <c r="F4" s="44" t="s">
        <v>464</v>
      </c>
      <c r="G4" s="44" t="s">
        <v>465</v>
      </c>
      <c r="H4" s="44" t="s">
        <v>466</v>
      </c>
      <c r="I4" s="44" t="s">
        <v>467</v>
      </c>
      <c r="J4" s="44" t="s">
        <v>468</v>
      </c>
      <c r="K4" s="44" t="s">
        <v>469</v>
      </c>
      <c r="L4" s="44" t="s">
        <v>470</v>
      </c>
      <c r="M4" s="43" t="s">
        <v>471</v>
      </c>
      <c r="N4" s="43" t="s">
        <v>472</v>
      </c>
      <c r="O4" s="43" t="s">
        <v>43</v>
      </c>
      <c r="P4" s="43" t="s">
        <v>473</v>
      </c>
      <c r="Q4" s="43" t="s">
        <v>474</v>
      </c>
      <c r="R4" s="43" t="s">
        <v>475</v>
      </c>
    </row>
    <row r="5" spans="1:18">
      <c r="A5" t="str">
        <f>IF(基础资料!Y5="","",基础资料!Y5)</f>
        <v>客户A</v>
      </c>
      <c r="B5">
        <f>IF(A5="","",IFERROR(VLOOKUP(A5,基础资料!$Y$5:$AA$204,3,FALSE),0))</f>
        <v>30</v>
      </c>
      <c r="C5" s="17">
        <f>IF(A5="","",SUMIFS(期初数据!$H$5:$H$14,期初数据!$F$5:$F$14,A5)+SUMIFS(销售录入!$I$4:$I$203,销售录入!$C$4:$C$203,A5,销售录入!$A$4:$A$203,"&lt;"&amp;EOMONTH($B$2,-1)+1)-SUMIFS(资金流水!$J$4:$J$203,资金流水!$F$4:$F$203,A5,资金流水!$D$4:$D$203,"客户回款",资金流水!$A$4:$A$203,"&lt;"&amp;EOMONTH($B$2,-1)+1))</f>
        <v>15000</v>
      </c>
      <c r="D5" s="17">
        <f>IF(A5="","",SUMIFS(销售录入!$I$4:$I$203,销售录入!$C$4:$C$203,A5,销售录入!$B$4:$B$203,TEXT($B$2,"yyyy-mm")))</f>
        <v>4000</v>
      </c>
      <c r="E5" s="17">
        <f>IF(A5="","",SUMIFS(资金流水!$J$4:$J$203,资金流水!$F$4:$F$203,A5,资金流水!$D$4:$D$203,"客户回款",资金流水!$B$4:$B$203,TEXT($B$2,"yyyy-mm")))</f>
        <v>12000</v>
      </c>
      <c r="F5" s="17">
        <f>IF(A5="","",SUMIFS(应收明细账龄!$L$4:$L$213,应收明细账龄!$C$4:$C$213,A5))</f>
        <v>7000</v>
      </c>
      <c r="G5" s="17">
        <f>IF(A5="","",SUMIFS(应收明细账龄!$L$4:$L$213,应收明细账龄!$C$4:$C$213,A5,应收明细账龄!$N$4:$N$213,"未到期"))</f>
        <v>4000</v>
      </c>
      <c r="H5" s="17">
        <f>IF(A5="","",SUMIFS(应收明细账龄!$L$4:$L$213,应收明细账龄!$C$4:$C$213,A5,应收明细账龄!$N$4:$N$213,"逾期1-30天"))</f>
        <v>0</v>
      </c>
      <c r="I5" s="17">
        <f>IF(A5="","",SUMIFS(应收明细账龄!$L$4:$L$213,应收明细账龄!$C$4:$C$213,A5,应收明细账龄!$N$4:$N$213,"逾期31-60天"))</f>
        <v>0</v>
      </c>
      <c r="J5" s="17">
        <f>IF(A5="","",SUMIFS(应收明细账龄!$L$4:$L$213,应收明细账龄!$C$4:$C$213,A5,应收明细账龄!$N$4:$N$213,"逾期61-90天"))</f>
        <v>0</v>
      </c>
      <c r="K5" s="17">
        <f>IF(A5="","",SUMIFS(应收明细账龄!$L$4:$L$213,应收明细账龄!$C$4:$C$213,A5,应收明细账龄!$N$4:$N$213,"逾期90天以上"))</f>
        <v>3000</v>
      </c>
      <c r="L5" s="17">
        <f t="shared" ref="L5:L54" si="1">IF(A5="","",SUM(H5:K5))</f>
        <v>3000</v>
      </c>
      <c r="M5" t="str">
        <f t="shared" ref="M5:M54" si="2">IF(A5="","",IF(K5&gt;0,"90天以上",IF(J5&gt;0,"61-90天",IF(I5&gt;0,"31-60天",IF(H5&gt;0,"1-30天",IF(G5&gt;0,"未到期","已收清"))))))</f>
        <v>90天以上</v>
      </c>
      <c r="N5" t="str">
        <f t="shared" ref="N5:N54" si="3">IF(A5="","",IF(K5&gt;0,"高风险",IF(J5+I5&gt;0,"重点关注",IF(H5&gt;0,"到期提醒",IF(F5&gt;0,"正常","已收清")))))</f>
        <v>高风险</v>
      </c>
      <c r="O5" t="str">
        <f>IF(A5="","",IFERROR(VLOOKUP(A5,基础资料!$Y$5:$Z$204,2,FALSE),""))</f>
        <v>张伟</v>
      </c>
      <c r="P5" s="54" t="s">
        <v>476</v>
      </c>
      <c r="Q5" s="60">
        <v>46206</v>
      </c>
      <c r="R5" s="54" t="s">
        <v>477</v>
      </c>
    </row>
    <row r="6" spans="1:18">
      <c r="A6" t="str">
        <f>IF(基础资料!Y6="","",基础资料!Y6)</f>
        <v>客户B</v>
      </c>
      <c r="B6">
        <f>IF(A6="","",IFERROR(VLOOKUP(A6,基础资料!$Y$5:$AA$204,3,FALSE),0))</f>
        <v>30</v>
      </c>
      <c r="C6" s="17">
        <f>IF(A6="","",SUMIFS(期初数据!$H$5:$H$14,期初数据!$F$5:$F$14,A6)+SUMIFS(销售录入!$I$4:$I$203,销售录入!$C$4:$C$203,A6,销售录入!$A$4:$A$203,"&lt;"&amp;EOMONTH($B$2,-1)+1)-SUMIFS(资金流水!$J$4:$J$203,资金流水!$F$4:$F$203,A6,资金流水!$D$4:$D$203,"客户回款",资金流水!$A$4:$A$203,"&lt;"&amp;EOMONTH($B$2,-1)+1))</f>
        <v>12000</v>
      </c>
      <c r="D6" s="17">
        <f>IF(A6="","",SUMIFS(销售录入!$I$4:$I$203,销售录入!$C$4:$C$203,A6,销售录入!$B$4:$B$203,TEXT($B$2,"yyyy-mm")))</f>
        <v>3750</v>
      </c>
      <c r="E6" s="17">
        <f>IF(A6="","",SUMIFS(资金流水!$J$4:$J$203,资金流水!$F$4:$F$203,A6,资金流水!$D$4:$D$203,"客户回款",资金流水!$B$4:$B$203,TEXT($B$2,"yyyy-mm")))</f>
        <v>8000</v>
      </c>
      <c r="F6" s="17">
        <f>IF(A6="","",SUMIFS(应收明细账龄!$L$4:$L$213,应收明细账龄!$C$4:$C$213,A6))</f>
        <v>7750</v>
      </c>
      <c r="G6" s="17">
        <f>IF(A6="","",SUMIFS(应收明细账龄!$L$4:$L$213,应收明细账龄!$C$4:$C$213,A6,应收明细账龄!$N$4:$N$213,"未到期"))</f>
        <v>3750</v>
      </c>
      <c r="H6" s="17">
        <f>IF(A6="","",SUMIFS(应收明细账龄!$L$4:$L$213,应收明细账龄!$C$4:$C$213,A6,应收明细账龄!$N$4:$N$213,"逾期1-30天"))</f>
        <v>0</v>
      </c>
      <c r="I6" s="17">
        <f>IF(A6="","",SUMIFS(应收明细账龄!$L$4:$L$213,应收明细账龄!$C$4:$C$213,A6,应收明细账龄!$N$4:$N$213,"逾期31-60天"))</f>
        <v>0</v>
      </c>
      <c r="J6" s="17">
        <f>IF(A6="","",SUMIFS(应收明细账龄!$L$4:$L$213,应收明细账龄!$C$4:$C$213,A6,应收明细账龄!$N$4:$N$213,"逾期61-90天"))</f>
        <v>0</v>
      </c>
      <c r="K6" s="17">
        <f>IF(A6="","",SUMIFS(应收明细账龄!$L$4:$L$213,应收明细账龄!$C$4:$C$213,A6,应收明细账龄!$N$4:$N$213,"逾期90天以上"))</f>
        <v>4000</v>
      </c>
      <c r="L6" s="17">
        <f t="shared" si="1"/>
        <v>4000</v>
      </c>
      <c r="M6" t="str">
        <f t="shared" si="2"/>
        <v>90天以上</v>
      </c>
      <c r="N6" t="str">
        <f t="shared" si="3"/>
        <v>高风险</v>
      </c>
      <c r="O6" t="str">
        <f>IF(A6="","",IFERROR(VLOOKUP(A6,基础资料!$Y$5:$Z$204,2,FALSE),""))</f>
        <v>李娜</v>
      </c>
      <c r="P6" s="54" t="s">
        <v>478</v>
      </c>
      <c r="Q6" s="60">
        <v>46207</v>
      </c>
      <c r="R6" s="54" t="s">
        <v>479</v>
      </c>
    </row>
    <row r="7" spans="1:18">
      <c r="A7" t="str">
        <f>IF(基础资料!Y7="","",基础资料!Y7)</f>
        <v>客户C</v>
      </c>
      <c r="B7">
        <f>IF(A7="","",IFERROR(VLOOKUP(A7,基础资料!$Y$5:$AA$204,3,FALSE),0))</f>
        <v>45</v>
      </c>
      <c r="C7" s="17">
        <f>IF(A7="","",SUMIFS(期初数据!$H$5:$H$14,期初数据!$F$5:$F$14,A7)+SUMIFS(销售录入!$I$4:$I$203,销售录入!$C$4:$C$203,A7,销售录入!$A$4:$A$203,"&lt;"&amp;EOMONTH($B$2,-1)+1)-SUMIFS(资金流水!$J$4:$J$203,资金流水!$F$4:$F$203,A7,资金流水!$D$4:$D$203,"客户回款",资金流水!$A$4:$A$203,"&lt;"&amp;EOMONTH($B$2,-1)+1))</f>
        <v>18000</v>
      </c>
      <c r="D7" s="17">
        <f>IF(A7="","",SUMIFS(销售录入!$I$4:$I$203,销售录入!$C$4:$C$203,A7,销售录入!$B$4:$B$203,TEXT($B$2,"yyyy-mm")))</f>
        <v>3000</v>
      </c>
      <c r="E7" s="17">
        <f>IF(A7="","",SUMIFS(资金流水!$J$4:$J$203,资金流水!$F$4:$F$203,A7,资金流水!$D$4:$D$203,"客户回款",资金流水!$B$4:$B$203,TEXT($B$2,"yyyy-mm")))</f>
        <v>0</v>
      </c>
      <c r="F7" s="17">
        <f>IF(A7="","",SUMIFS(应收明细账龄!$L$4:$L$213,应收明细账龄!$C$4:$C$213,A7))</f>
        <v>21000</v>
      </c>
      <c r="G7" s="17">
        <f>IF(A7="","",SUMIFS(应收明细账龄!$L$4:$L$213,应收明细账龄!$C$4:$C$213,A7,应收明细账龄!$N$4:$N$213,"未到期"))</f>
        <v>3000</v>
      </c>
      <c r="H7" s="17">
        <f>IF(A7="","",SUMIFS(应收明细账龄!$L$4:$L$213,应收明细账龄!$C$4:$C$213,A7,应收明细账龄!$N$4:$N$213,"逾期1-30天"))</f>
        <v>0</v>
      </c>
      <c r="I7" s="17">
        <f>IF(A7="","",SUMIFS(应收明细账龄!$L$4:$L$213,应收明细账龄!$C$4:$C$213,A7,应收明细账龄!$N$4:$N$213,"逾期31-60天"))</f>
        <v>0</v>
      </c>
      <c r="J7" s="17">
        <f>IF(A7="","",SUMIFS(应收明细账龄!$L$4:$L$213,应收明细账龄!$C$4:$C$213,A7,应收明细账龄!$N$4:$N$213,"逾期61-90天"))</f>
        <v>0</v>
      </c>
      <c r="K7" s="17">
        <f>IF(A7="","",SUMIFS(应收明细账龄!$L$4:$L$213,应收明细账龄!$C$4:$C$213,A7,应收明细账龄!$N$4:$N$213,"逾期90天以上"))</f>
        <v>18000</v>
      </c>
      <c r="L7" s="17">
        <f t="shared" si="1"/>
        <v>18000</v>
      </c>
      <c r="M7" t="str">
        <f t="shared" si="2"/>
        <v>90天以上</v>
      </c>
      <c r="N7" t="str">
        <f t="shared" si="3"/>
        <v>高风险</v>
      </c>
      <c r="O7" t="str">
        <f>IF(A7="","",IFERROR(VLOOKUP(A7,基础资料!$Y$5:$Z$204,2,FALSE),""))</f>
        <v>张伟</v>
      </c>
      <c r="P7" s="54" t="s">
        <v>480</v>
      </c>
      <c r="Q7" s="60">
        <v>46208</v>
      </c>
      <c r="R7" s="54" t="s">
        <v>481</v>
      </c>
    </row>
    <row r="8" spans="1:18">
      <c r="A8" t="str">
        <f>IF(基础资料!Y8="","",基础资料!Y8)</f>
        <v>客户D</v>
      </c>
      <c r="B8">
        <f>IF(A8="","",IFERROR(VLOOKUP(A8,基础资料!$Y$5:$AA$204,3,FALSE),0))</f>
        <v>30</v>
      </c>
      <c r="C8" s="17">
        <f>IF(A8="","",SUMIFS(期初数据!$H$5:$H$14,期初数据!$F$5:$F$14,A8)+SUMIFS(销售录入!$I$4:$I$203,销售录入!$C$4:$C$203,A8,销售录入!$A$4:$A$203,"&lt;"&amp;EOMONTH($B$2,-1)+1)-SUMIFS(资金流水!$J$4:$J$203,资金流水!$F$4:$F$203,A8,资金流水!$D$4:$D$203,"客户回款",资金流水!$A$4:$A$203,"&lt;"&amp;EOMONTH($B$2,-1)+1))</f>
        <v>8000</v>
      </c>
      <c r="D8" s="17">
        <f>IF(A8="","",SUMIFS(销售录入!$I$4:$I$203,销售录入!$C$4:$C$203,A8,销售录入!$B$4:$B$203,TEXT($B$2,"yyyy-mm")))</f>
        <v>3200</v>
      </c>
      <c r="E8" s="17">
        <f>IF(A8="","",SUMIFS(资金流水!$J$4:$J$203,资金流水!$F$4:$F$203,A8,资金流水!$D$4:$D$203,"客户回款",资金流水!$B$4:$B$203,TEXT($B$2,"yyyy-mm")))</f>
        <v>0</v>
      </c>
      <c r="F8" s="17">
        <f>IF(A8="","",SUMIFS(应收明细账龄!$L$4:$L$213,应收明细账龄!$C$4:$C$213,A8))</f>
        <v>11200</v>
      </c>
      <c r="G8" s="17">
        <f>IF(A8="","",SUMIFS(应收明细账龄!$L$4:$L$213,应收明细账龄!$C$4:$C$213,A8,应收明细账龄!$N$4:$N$213,"未到期"))</f>
        <v>3200</v>
      </c>
      <c r="H8" s="17">
        <f>IF(A8="","",SUMIFS(应收明细账龄!$L$4:$L$213,应收明细账龄!$C$4:$C$213,A8,应收明细账龄!$N$4:$N$213,"逾期1-30天"))</f>
        <v>0</v>
      </c>
      <c r="I8" s="17">
        <f>IF(A8="","",SUMIFS(应收明细账龄!$L$4:$L$213,应收明细账龄!$C$4:$C$213,A8,应收明细账龄!$N$4:$N$213,"逾期31-60天"))</f>
        <v>0</v>
      </c>
      <c r="J8" s="17">
        <f>IF(A8="","",SUMIFS(应收明细账龄!$L$4:$L$213,应收明细账龄!$C$4:$C$213,A8,应收明细账龄!$N$4:$N$213,"逾期61-90天"))</f>
        <v>0</v>
      </c>
      <c r="K8" s="17">
        <f>IF(A8="","",SUMIFS(应收明细账龄!$L$4:$L$213,应收明细账龄!$C$4:$C$213,A8,应收明细账龄!$N$4:$N$213,"逾期90天以上"))</f>
        <v>8000</v>
      </c>
      <c r="L8" s="17">
        <f t="shared" si="1"/>
        <v>8000</v>
      </c>
      <c r="M8" t="str">
        <f t="shared" si="2"/>
        <v>90天以上</v>
      </c>
      <c r="N8" t="str">
        <f t="shared" si="3"/>
        <v>高风险</v>
      </c>
      <c r="O8" t="str">
        <f>IF(A8="","",IFERROR(VLOOKUP(A8,基础资料!$Y$5:$Z$204,2,FALSE),""))</f>
        <v>李娜</v>
      </c>
      <c r="P8" s="54" t="s">
        <v>482</v>
      </c>
      <c r="Q8" s="60">
        <v>46209</v>
      </c>
      <c r="R8" s="54" t="s">
        <v>483</v>
      </c>
    </row>
    <row r="9" spans="1:18">
      <c r="A9" t="str">
        <f>IF(基础资料!Y9="","",基础资料!Y9)</f>
        <v>客户E</v>
      </c>
      <c r="B9">
        <f>IF(A9="","",IFERROR(VLOOKUP(A9,基础资料!$Y$5:$AA$204,3,FALSE),0))</f>
        <v>60</v>
      </c>
      <c r="C9" s="17">
        <f>IF(A9="","",SUMIFS(期初数据!$H$5:$H$14,期初数据!$F$5:$F$14,A9)+SUMIFS(销售录入!$I$4:$I$203,销售录入!$C$4:$C$203,A9,销售录入!$A$4:$A$203,"&lt;"&amp;EOMONTH($B$2,-1)+1)-SUMIFS(资金流水!$J$4:$J$203,资金流水!$F$4:$F$203,A9,资金流水!$D$4:$D$203,"客户回款",资金流水!$A$4:$A$203,"&lt;"&amp;EOMONTH($B$2,-1)+1))</f>
        <v>25000</v>
      </c>
      <c r="D9" s="17">
        <f>IF(A9="","",SUMIFS(销售录入!$I$4:$I$203,销售录入!$C$4:$C$203,A9,销售录入!$B$4:$B$203,TEXT($B$2,"yyyy-mm")))</f>
        <v>2500</v>
      </c>
      <c r="E9" s="17">
        <f>IF(A9="","",SUMIFS(资金流水!$J$4:$J$203,资金流水!$F$4:$F$203,A9,资金流水!$D$4:$D$203,"客户回款",资金流水!$B$4:$B$203,TEXT($B$2,"yyyy-mm")))</f>
        <v>0</v>
      </c>
      <c r="F9" s="17">
        <f>IF(A9="","",SUMIFS(应收明细账龄!$L$4:$L$213,应收明细账龄!$C$4:$C$213,A9))</f>
        <v>27500</v>
      </c>
      <c r="G9" s="17">
        <f>IF(A9="","",SUMIFS(应收明细账龄!$L$4:$L$213,应收明细账龄!$C$4:$C$213,A9,应收明细账龄!$N$4:$N$213,"未到期"))</f>
        <v>2500</v>
      </c>
      <c r="H9" s="17">
        <f>IF(A9="","",SUMIFS(应收明细账龄!$L$4:$L$213,应收明细账龄!$C$4:$C$213,A9,应收明细账龄!$N$4:$N$213,"逾期1-30天"))</f>
        <v>0</v>
      </c>
      <c r="I9" s="17">
        <f>IF(A9="","",SUMIFS(应收明细账龄!$L$4:$L$213,应收明细账龄!$C$4:$C$213,A9,应收明细账龄!$N$4:$N$213,"逾期31-60天"))</f>
        <v>0</v>
      </c>
      <c r="J9" s="17">
        <f>IF(A9="","",SUMIFS(应收明细账龄!$L$4:$L$213,应收明细账龄!$C$4:$C$213,A9,应收明细账龄!$N$4:$N$213,"逾期61-90天"))</f>
        <v>0</v>
      </c>
      <c r="K9" s="17">
        <f>IF(A9="","",SUMIFS(应收明细账龄!$L$4:$L$213,应收明细账龄!$C$4:$C$213,A9,应收明细账龄!$N$4:$N$213,"逾期90天以上"))</f>
        <v>25000</v>
      </c>
      <c r="L9" s="17">
        <f t="shared" si="1"/>
        <v>25000</v>
      </c>
      <c r="M9" t="str">
        <f t="shared" si="2"/>
        <v>90天以上</v>
      </c>
      <c r="N9" t="str">
        <f t="shared" si="3"/>
        <v>高风险</v>
      </c>
      <c r="O9" t="str">
        <f>IF(A9="","",IFERROR(VLOOKUP(A9,基础资料!$Y$5:$Z$204,2,FALSE),""))</f>
        <v>张伟</v>
      </c>
      <c r="P9" s="54" t="s">
        <v>476</v>
      </c>
      <c r="Q9" s="60">
        <v>46210</v>
      </c>
      <c r="R9" s="54" t="s">
        <v>484</v>
      </c>
    </row>
    <row r="10" spans="1:18">
      <c r="A10" t="str">
        <f>IF(基础资料!Y10="","",基础资料!Y10)</f>
        <v>客户F</v>
      </c>
      <c r="B10">
        <f>IF(A10="","",IFERROR(VLOOKUP(A10,基础资料!$Y$5:$AA$204,3,FALSE),0))</f>
        <v>30</v>
      </c>
      <c r="C10" s="17">
        <f>IF(A10="","",SUMIFS(期初数据!$H$5:$H$14,期初数据!$F$5:$F$14,A10)+SUMIFS(销售录入!$I$4:$I$203,销售录入!$C$4:$C$203,A10,销售录入!$A$4:$A$203,"&lt;"&amp;EOMONTH($B$2,-1)+1)-SUMIFS(资金流水!$J$4:$J$203,资金流水!$F$4:$F$203,A10,资金流水!$D$4:$D$203,"客户回款",资金流水!$A$4:$A$203,"&lt;"&amp;EOMONTH($B$2,-1)+1))</f>
        <v>16000</v>
      </c>
      <c r="D10" s="17">
        <f>IF(A10="","",SUMIFS(销售录入!$I$4:$I$203,销售录入!$C$4:$C$203,A10,销售录入!$B$4:$B$203,TEXT($B$2,"yyyy-mm")))</f>
        <v>1920</v>
      </c>
      <c r="E10" s="17">
        <f>IF(A10="","",SUMIFS(资金流水!$J$4:$J$203,资金流水!$F$4:$F$203,A10,资金流水!$D$4:$D$203,"客户回款",资金流水!$B$4:$B$203,TEXT($B$2,"yyyy-mm")))</f>
        <v>0</v>
      </c>
      <c r="F10" s="17">
        <f>IF(A10="","",SUMIFS(应收明细账龄!$L$4:$L$213,应收明细账龄!$C$4:$C$213,A10))</f>
        <v>17920</v>
      </c>
      <c r="G10" s="17">
        <f>IF(A10="","",SUMIFS(应收明细账龄!$L$4:$L$213,应收明细账龄!$C$4:$C$213,A10,应收明细账龄!$N$4:$N$213,"未到期"))</f>
        <v>1920</v>
      </c>
      <c r="H10" s="17">
        <f>IF(A10="","",SUMIFS(应收明细账龄!$L$4:$L$213,应收明细账龄!$C$4:$C$213,A10,应收明细账龄!$N$4:$N$213,"逾期1-30天"))</f>
        <v>0</v>
      </c>
      <c r="I10" s="17">
        <f>IF(A10="","",SUMIFS(应收明细账龄!$L$4:$L$213,应收明细账龄!$C$4:$C$213,A10,应收明细账龄!$N$4:$N$213,"逾期31-60天"))</f>
        <v>0</v>
      </c>
      <c r="J10" s="17">
        <f>IF(A10="","",SUMIFS(应收明细账龄!$L$4:$L$213,应收明细账龄!$C$4:$C$213,A10,应收明细账龄!$N$4:$N$213,"逾期61-90天"))</f>
        <v>0</v>
      </c>
      <c r="K10" s="17">
        <f>IF(A10="","",SUMIFS(应收明细账龄!$L$4:$L$213,应收明细账龄!$C$4:$C$213,A10,应收明细账龄!$N$4:$N$213,"逾期90天以上"))</f>
        <v>16000</v>
      </c>
      <c r="L10" s="17">
        <f t="shared" si="1"/>
        <v>16000</v>
      </c>
      <c r="M10" t="str">
        <f t="shared" si="2"/>
        <v>90天以上</v>
      </c>
      <c r="N10" t="str">
        <f t="shared" si="3"/>
        <v>高风险</v>
      </c>
      <c r="O10" t="str">
        <f>IF(A10="","",IFERROR(VLOOKUP(A10,基础资料!$Y$5:$Z$204,2,FALSE),""))</f>
        <v>李娜</v>
      </c>
      <c r="P10" s="54" t="s">
        <v>482</v>
      </c>
      <c r="Q10" s="60">
        <v>46211</v>
      </c>
      <c r="R10" s="54" t="s">
        <v>485</v>
      </c>
    </row>
    <row r="11" spans="1:18">
      <c r="A11" t="str">
        <f>IF(基础资料!Y11="","",基础资料!Y11)</f>
        <v>客户G</v>
      </c>
      <c r="B11">
        <f>IF(A11="","",IFERROR(VLOOKUP(A11,基础资料!$Y$5:$AA$204,3,FALSE),0))</f>
        <v>45</v>
      </c>
      <c r="C11" s="17">
        <f>IF(A11="","",SUMIFS(期初数据!$H$5:$H$14,期初数据!$F$5:$F$14,A11)+SUMIFS(销售录入!$I$4:$I$203,销售录入!$C$4:$C$203,A11,销售录入!$A$4:$A$203,"&lt;"&amp;EOMONTH($B$2,-1)+1)-SUMIFS(资金流水!$J$4:$J$203,资金流水!$F$4:$F$203,A11,资金流水!$D$4:$D$203,"客户回款",资金流水!$A$4:$A$203,"&lt;"&amp;EOMONTH($B$2,-1)+1))</f>
        <v>14000</v>
      </c>
      <c r="D11" s="17">
        <f>IF(A11="","",SUMIFS(销售录入!$I$4:$I$203,销售录入!$C$4:$C$203,A11,销售录入!$B$4:$B$203,TEXT($B$2,"yyyy-mm")))</f>
        <v>2250</v>
      </c>
      <c r="E11" s="17">
        <f>IF(A11="","",SUMIFS(资金流水!$J$4:$J$203,资金流水!$F$4:$F$203,A11,资金流水!$D$4:$D$203,"客户回款",资金流水!$B$4:$B$203,TEXT($B$2,"yyyy-mm")))</f>
        <v>0</v>
      </c>
      <c r="F11" s="17">
        <f>IF(A11="","",SUMIFS(应收明细账龄!$L$4:$L$213,应收明细账龄!$C$4:$C$213,A11))</f>
        <v>16250</v>
      </c>
      <c r="G11" s="17">
        <f>IF(A11="","",SUMIFS(应收明细账龄!$L$4:$L$213,应收明细账龄!$C$4:$C$213,A11,应收明细账龄!$N$4:$N$213,"未到期"))</f>
        <v>2250</v>
      </c>
      <c r="H11" s="17">
        <f>IF(A11="","",SUMIFS(应收明细账龄!$L$4:$L$213,应收明细账龄!$C$4:$C$213,A11,应收明细账龄!$N$4:$N$213,"逾期1-30天"))</f>
        <v>0</v>
      </c>
      <c r="I11" s="17">
        <f>IF(A11="","",SUMIFS(应收明细账龄!$L$4:$L$213,应收明细账龄!$C$4:$C$213,A11,应收明细账龄!$N$4:$N$213,"逾期31-60天"))</f>
        <v>0</v>
      </c>
      <c r="J11" s="17">
        <f>IF(A11="","",SUMIFS(应收明细账龄!$L$4:$L$213,应收明细账龄!$C$4:$C$213,A11,应收明细账龄!$N$4:$N$213,"逾期61-90天"))</f>
        <v>0</v>
      </c>
      <c r="K11" s="17">
        <f>IF(A11="","",SUMIFS(应收明细账龄!$L$4:$L$213,应收明细账龄!$C$4:$C$213,A11,应收明细账龄!$N$4:$N$213,"逾期90天以上"))</f>
        <v>14000</v>
      </c>
      <c r="L11" s="17">
        <f t="shared" si="1"/>
        <v>14000</v>
      </c>
      <c r="M11" t="str">
        <f t="shared" si="2"/>
        <v>90天以上</v>
      </c>
      <c r="N11" t="str">
        <f t="shared" si="3"/>
        <v>高风险</v>
      </c>
      <c r="O11" t="str">
        <f>IF(A11="","",IFERROR(VLOOKUP(A11,基础资料!$Y$5:$Z$204,2,FALSE),""))</f>
        <v>张伟</v>
      </c>
      <c r="P11" s="54" t="s">
        <v>478</v>
      </c>
      <c r="Q11" s="60">
        <v>46212</v>
      </c>
      <c r="R11" s="54" t="s">
        <v>486</v>
      </c>
    </row>
    <row r="12" spans="1:18">
      <c r="A12" t="str">
        <f>IF(基础资料!Y12="","",基础资料!Y12)</f>
        <v>客户H</v>
      </c>
      <c r="B12">
        <f>IF(A12="","",IFERROR(VLOOKUP(A12,基础资料!$Y$5:$AA$204,3,FALSE),0))</f>
        <v>30</v>
      </c>
      <c r="C12" s="17">
        <f>IF(A12="","",SUMIFS(期初数据!$H$5:$H$14,期初数据!$F$5:$F$14,A12)+SUMIFS(销售录入!$I$4:$I$203,销售录入!$C$4:$C$203,A12,销售录入!$A$4:$A$203,"&lt;"&amp;EOMONTH($B$2,-1)+1)-SUMIFS(资金流水!$J$4:$J$203,资金流水!$F$4:$F$203,A12,资金流水!$D$4:$D$203,"客户回款",资金流水!$A$4:$A$203,"&lt;"&amp;EOMONTH($B$2,-1)+1))</f>
        <v>20000</v>
      </c>
      <c r="D12" s="17">
        <f>IF(A12="","",SUMIFS(销售录入!$I$4:$I$203,销售录入!$C$4:$C$203,A12,销售录入!$B$4:$B$203,TEXT($B$2,"yyyy-mm")))</f>
        <v>1800</v>
      </c>
      <c r="E12" s="17">
        <f>IF(A12="","",SUMIFS(资金流水!$J$4:$J$203,资金流水!$F$4:$F$203,A12,资金流水!$D$4:$D$203,"客户回款",资金流水!$B$4:$B$203,TEXT($B$2,"yyyy-mm")))</f>
        <v>0</v>
      </c>
      <c r="F12" s="17">
        <f>IF(A12="","",SUMIFS(应收明细账龄!$L$4:$L$213,应收明细账龄!$C$4:$C$213,A12))</f>
        <v>21800</v>
      </c>
      <c r="G12" s="17">
        <f>IF(A12="","",SUMIFS(应收明细账龄!$L$4:$L$213,应收明细账龄!$C$4:$C$213,A12,应收明细账龄!$N$4:$N$213,"未到期"))</f>
        <v>1800</v>
      </c>
      <c r="H12" s="17">
        <f>IF(A12="","",SUMIFS(应收明细账龄!$L$4:$L$213,应收明细账龄!$C$4:$C$213,A12,应收明细账龄!$N$4:$N$213,"逾期1-30天"))</f>
        <v>0</v>
      </c>
      <c r="I12" s="17">
        <f>IF(A12="","",SUMIFS(应收明细账龄!$L$4:$L$213,应收明细账龄!$C$4:$C$213,A12,应收明细账龄!$N$4:$N$213,"逾期31-60天"))</f>
        <v>0</v>
      </c>
      <c r="J12" s="17">
        <f>IF(A12="","",SUMIFS(应收明细账龄!$L$4:$L$213,应收明细账龄!$C$4:$C$213,A12,应收明细账龄!$N$4:$N$213,"逾期61-90天"))</f>
        <v>0</v>
      </c>
      <c r="K12" s="17">
        <f>IF(A12="","",SUMIFS(应收明细账龄!$L$4:$L$213,应收明细账龄!$C$4:$C$213,A12,应收明细账龄!$N$4:$N$213,"逾期90天以上"))</f>
        <v>20000</v>
      </c>
      <c r="L12" s="17">
        <f t="shared" si="1"/>
        <v>20000</v>
      </c>
      <c r="M12" t="str">
        <f t="shared" si="2"/>
        <v>90天以上</v>
      </c>
      <c r="N12" t="str">
        <f t="shared" si="3"/>
        <v>高风险</v>
      </c>
      <c r="O12" t="str">
        <f>IF(A12="","",IFERROR(VLOOKUP(A12,基础资料!$Y$5:$Z$204,2,FALSE),""))</f>
        <v>李娜</v>
      </c>
      <c r="P12" s="54" t="s">
        <v>476</v>
      </c>
      <c r="Q12" s="60">
        <v>46213</v>
      </c>
      <c r="R12" s="54" t="s">
        <v>487</v>
      </c>
    </row>
    <row r="13" spans="1:18">
      <c r="A13" t="str">
        <f>IF(基础资料!Y13="","",基础资料!Y13)</f>
        <v>客户I</v>
      </c>
      <c r="B13">
        <f>IF(A13="","",IFERROR(VLOOKUP(A13,基础资料!$Y$5:$AA$204,3,FALSE),0))</f>
        <v>30</v>
      </c>
      <c r="C13" s="17">
        <f>IF(A13="","",SUMIFS(期初数据!$H$5:$H$14,期初数据!$F$5:$F$14,A13)+SUMIFS(销售录入!$I$4:$I$203,销售录入!$C$4:$C$203,A13,销售录入!$A$4:$A$203,"&lt;"&amp;EOMONTH($B$2,-1)+1)-SUMIFS(资金流水!$J$4:$J$203,资金流水!$F$4:$F$203,A13,资金流水!$D$4:$D$203,"客户回款",资金流水!$A$4:$A$203,"&lt;"&amp;EOMONTH($B$2,-1)+1))</f>
        <v>10000</v>
      </c>
      <c r="D13" s="17">
        <f>IF(A13="","",SUMIFS(销售录入!$I$4:$I$203,销售录入!$C$4:$C$203,A13,销售录入!$B$4:$B$203,TEXT($B$2,"yyyy-mm")))</f>
        <v>1500</v>
      </c>
      <c r="E13" s="17">
        <f>IF(A13="","",SUMIFS(资金流水!$J$4:$J$203,资金流水!$F$4:$F$203,A13,资金流水!$D$4:$D$203,"客户回款",资金流水!$B$4:$B$203,TEXT($B$2,"yyyy-mm")))</f>
        <v>0</v>
      </c>
      <c r="F13" s="17">
        <f>IF(A13="","",SUMIFS(应收明细账龄!$L$4:$L$213,应收明细账龄!$C$4:$C$213,A13))</f>
        <v>11500</v>
      </c>
      <c r="G13" s="17">
        <f>IF(A13="","",SUMIFS(应收明细账龄!$L$4:$L$213,应收明细账龄!$C$4:$C$213,A13,应收明细账龄!$N$4:$N$213,"未到期"))</f>
        <v>1500</v>
      </c>
      <c r="H13" s="17">
        <f>IF(A13="","",SUMIFS(应收明细账龄!$L$4:$L$213,应收明细账龄!$C$4:$C$213,A13,应收明细账龄!$N$4:$N$213,"逾期1-30天"))</f>
        <v>0</v>
      </c>
      <c r="I13" s="17">
        <f>IF(A13="","",SUMIFS(应收明细账龄!$L$4:$L$213,应收明细账龄!$C$4:$C$213,A13,应收明细账龄!$N$4:$N$213,"逾期31-60天"))</f>
        <v>0</v>
      </c>
      <c r="J13" s="17">
        <f>IF(A13="","",SUMIFS(应收明细账龄!$L$4:$L$213,应收明细账龄!$C$4:$C$213,A13,应收明细账龄!$N$4:$N$213,"逾期61-90天"))</f>
        <v>0</v>
      </c>
      <c r="K13" s="17">
        <f>IF(A13="","",SUMIFS(应收明细账龄!$L$4:$L$213,应收明细账龄!$C$4:$C$213,A13,应收明细账龄!$N$4:$N$213,"逾期90天以上"))</f>
        <v>10000</v>
      </c>
      <c r="L13" s="17">
        <f t="shared" si="1"/>
        <v>10000</v>
      </c>
      <c r="M13" t="str">
        <f t="shared" si="2"/>
        <v>90天以上</v>
      </c>
      <c r="N13" t="str">
        <f t="shared" si="3"/>
        <v>高风险</v>
      </c>
      <c r="O13" t="str">
        <f>IF(A13="","",IFERROR(VLOOKUP(A13,基础资料!$Y$5:$Z$204,2,FALSE),""))</f>
        <v>张伟</v>
      </c>
      <c r="P13" s="54" t="s">
        <v>482</v>
      </c>
      <c r="Q13" s="60">
        <v>46214</v>
      </c>
      <c r="R13" s="54" t="s">
        <v>488</v>
      </c>
    </row>
    <row r="14" spans="1:18">
      <c r="A14" t="str">
        <f>IF(基础资料!Y14="","",基础资料!Y14)</f>
        <v>客户J</v>
      </c>
      <c r="B14">
        <f>IF(A14="","",IFERROR(VLOOKUP(A14,基础资料!$Y$5:$AA$204,3,FALSE),0))</f>
        <v>60</v>
      </c>
      <c r="C14" s="17">
        <f>IF(A14="","",SUMIFS(期初数据!$H$5:$H$14,期初数据!$F$5:$F$14,A14)+SUMIFS(销售录入!$I$4:$I$203,销售录入!$C$4:$C$203,A14,销售录入!$A$4:$A$203,"&lt;"&amp;EOMONTH($B$2,-1)+1)-SUMIFS(资金流水!$J$4:$J$203,资金流水!$F$4:$F$203,A14,资金流水!$D$4:$D$203,"客户回款",资金流水!$A$4:$A$203,"&lt;"&amp;EOMONTH($B$2,-1)+1))</f>
        <v>20000</v>
      </c>
      <c r="D14" s="17">
        <f>IF(A14="","",SUMIFS(销售录入!$I$4:$I$203,销售录入!$C$4:$C$203,A14,销售录入!$B$4:$B$203,TEXT($B$2,"yyyy-mm")))</f>
        <v>2160</v>
      </c>
      <c r="E14" s="17">
        <f>IF(A14="","",SUMIFS(资金流水!$J$4:$J$203,资金流水!$F$4:$F$203,A14,资金流水!$D$4:$D$203,"客户回款",资金流水!$B$4:$B$203,TEXT($B$2,"yyyy-mm")))</f>
        <v>0</v>
      </c>
      <c r="F14" s="17">
        <f>IF(A14="","",SUMIFS(应收明细账龄!$L$4:$L$213,应收明细账龄!$C$4:$C$213,A14))</f>
        <v>22160</v>
      </c>
      <c r="G14" s="17">
        <f>IF(A14="","",SUMIFS(应收明细账龄!$L$4:$L$213,应收明细账龄!$C$4:$C$213,A14,应收明细账龄!$N$4:$N$213,"未到期"))</f>
        <v>2160</v>
      </c>
      <c r="H14" s="17">
        <f>IF(A14="","",SUMIFS(应收明细账龄!$L$4:$L$213,应收明细账龄!$C$4:$C$213,A14,应收明细账龄!$N$4:$N$213,"逾期1-30天"))</f>
        <v>0</v>
      </c>
      <c r="I14" s="17">
        <f>IF(A14="","",SUMIFS(应收明细账龄!$L$4:$L$213,应收明细账龄!$C$4:$C$213,A14,应收明细账龄!$N$4:$N$213,"逾期31-60天"))</f>
        <v>0</v>
      </c>
      <c r="J14" s="17">
        <f>IF(A14="","",SUMIFS(应收明细账龄!$L$4:$L$213,应收明细账龄!$C$4:$C$213,A14,应收明细账龄!$N$4:$N$213,"逾期61-90天"))</f>
        <v>0</v>
      </c>
      <c r="K14" s="17">
        <f>IF(A14="","",SUMIFS(应收明细账龄!$L$4:$L$213,应收明细账龄!$C$4:$C$213,A14,应收明细账龄!$N$4:$N$213,"逾期90天以上"))</f>
        <v>20000</v>
      </c>
      <c r="L14" s="17">
        <f t="shared" si="1"/>
        <v>20000</v>
      </c>
      <c r="M14" t="str">
        <f t="shared" si="2"/>
        <v>90天以上</v>
      </c>
      <c r="N14" t="str">
        <f t="shared" si="3"/>
        <v>高风险</v>
      </c>
      <c r="O14" t="str">
        <f>IF(A14="","",IFERROR(VLOOKUP(A14,基础资料!$Y$5:$Z$204,2,FALSE),""))</f>
        <v>李娜</v>
      </c>
      <c r="P14" s="54" t="s">
        <v>480</v>
      </c>
      <c r="Q14" s="60">
        <v>46215</v>
      </c>
      <c r="R14" s="54" t="s">
        <v>480</v>
      </c>
    </row>
    <row r="15" spans="1:18">
      <c r="A15" t="str">
        <f>IF(基础资料!Y15="","",基础资料!Y15)</f>
        <v/>
      </c>
      <c r="B15" t="str">
        <f>IF(A15="","",IFERROR(VLOOKUP(A15,基础资料!$Y$5:$AA$204,3,FALSE),0))</f>
        <v/>
      </c>
      <c r="C15" s="17" t="str">
        <f>IF(A15="","",SUMIFS(期初数据!$H$5:$H$14,期初数据!$F$5:$F$14,A15)+SUMIFS(销售录入!$I$4:$I$203,销售录入!$C$4:$C$203,A15,销售录入!$A$4:$A$203,"&lt;"&amp;EOMONTH($B$2,-1)+1)-SUMIFS(资金流水!$J$4:$J$203,资金流水!$F$4:$F$203,A15,资金流水!$D$4:$D$203,"客户回款",资金流水!$A$4:$A$203,"&lt;"&amp;EOMONTH($B$2,-1)+1))</f>
        <v/>
      </c>
      <c r="D15" s="17" t="str">
        <f>IF(A15="","",SUMIFS(销售录入!$I$4:$I$203,销售录入!$C$4:$C$203,A15,销售录入!$B$4:$B$203,TEXT($B$2,"yyyy-mm")))</f>
        <v/>
      </c>
      <c r="E15" s="17" t="str">
        <f>IF(A15="","",SUMIFS(资金流水!$J$4:$J$203,资金流水!$F$4:$F$203,A15,资金流水!$D$4:$D$203,"客户回款",资金流水!$B$4:$B$203,TEXT($B$2,"yyyy-mm")))</f>
        <v/>
      </c>
      <c r="F15" s="17" t="str">
        <f>IF(A15="","",SUMIFS(应收明细账龄!$L$4:$L$213,应收明细账龄!$C$4:$C$213,A15))</f>
        <v/>
      </c>
      <c r="G15" s="17" t="str">
        <f>IF(A15="","",SUMIFS(应收明细账龄!$L$4:$L$213,应收明细账龄!$C$4:$C$213,A15,应收明细账龄!$N$4:$N$213,"未到期"))</f>
        <v/>
      </c>
      <c r="H15" s="17" t="str">
        <f>IF(A15="","",SUMIFS(应收明细账龄!$L$4:$L$213,应收明细账龄!$C$4:$C$213,A15,应收明细账龄!$N$4:$N$213,"逾期1-30天"))</f>
        <v/>
      </c>
      <c r="I15" s="17" t="str">
        <f>IF(A15="","",SUMIFS(应收明细账龄!$L$4:$L$213,应收明细账龄!$C$4:$C$213,A15,应收明细账龄!$N$4:$N$213,"逾期31-60天"))</f>
        <v/>
      </c>
      <c r="J15" s="17" t="str">
        <f>IF(A15="","",SUMIFS(应收明细账龄!$L$4:$L$213,应收明细账龄!$C$4:$C$213,A15,应收明细账龄!$N$4:$N$213,"逾期61-90天"))</f>
        <v/>
      </c>
      <c r="K15" s="17" t="str">
        <f>IF(A15="","",SUMIFS(应收明细账龄!$L$4:$L$213,应收明细账龄!$C$4:$C$213,A15,应收明细账龄!$N$4:$N$213,"逾期90天以上"))</f>
        <v/>
      </c>
      <c r="L15" s="17" t="str">
        <f t="shared" si="1"/>
        <v/>
      </c>
      <c r="M15" t="str">
        <f t="shared" si="2"/>
        <v/>
      </c>
      <c r="N15" t="str">
        <f t="shared" si="3"/>
        <v/>
      </c>
      <c r="O15" t="str">
        <f>IF(A15="","",IFERROR(VLOOKUP(A15,基础资料!$Y$5:$Z$204,2,FALSE),""))</f>
        <v/>
      </c>
      <c r="P15" s="54"/>
      <c r="Q15" s="60"/>
      <c r="R15" s="54"/>
    </row>
    <row r="16" spans="1:18">
      <c r="A16" t="str">
        <f>IF(基础资料!Y16="","",基础资料!Y16)</f>
        <v/>
      </c>
      <c r="B16" t="str">
        <f>IF(A16="","",IFERROR(VLOOKUP(A16,基础资料!$Y$5:$AA$204,3,FALSE),0))</f>
        <v/>
      </c>
      <c r="C16" s="17" t="str">
        <f>IF(A16="","",SUMIFS(期初数据!$H$5:$H$14,期初数据!$F$5:$F$14,A16)+SUMIFS(销售录入!$I$4:$I$203,销售录入!$C$4:$C$203,A16,销售录入!$A$4:$A$203,"&lt;"&amp;EOMONTH($B$2,-1)+1)-SUMIFS(资金流水!$J$4:$J$203,资金流水!$F$4:$F$203,A16,资金流水!$D$4:$D$203,"客户回款",资金流水!$A$4:$A$203,"&lt;"&amp;EOMONTH($B$2,-1)+1))</f>
        <v/>
      </c>
      <c r="D16" s="17" t="str">
        <f>IF(A16="","",SUMIFS(销售录入!$I$4:$I$203,销售录入!$C$4:$C$203,A16,销售录入!$B$4:$B$203,TEXT($B$2,"yyyy-mm")))</f>
        <v/>
      </c>
      <c r="E16" s="17" t="str">
        <f>IF(A16="","",SUMIFS(资金流水!$J$4:$J$203,资金流水!$F$4:$F$203,A16,资金流水!$D$4:$D$203,"客户回款",资金流水!$B$4:$B$203,TEXT($B$2,"yyyy-mm")))</f>
        <v/>
      </c>
      <c r="F16" s="17" t="str">
        <f>IF(A16="","",SUMIFS(应收明细账龄!$L$4:$L$213,应收明细账龄!$C$4:$C$213,A16))</f>
        <v/>
      </c>
      <c r="G16" s="17" t="str">
        <f>IF(A16="","",SUMIFS(应收明细账龄!$L$4:$L$213,应收明细账龄!$C$4:$C$213,A16,应收明细账龄!$N$4:$N$213,"未到期"))</f>
        <v/>
      </c>
      <c r="H16" s="17" t="str">
        <f>IF(A16="","",SUMIFS(应收明细账龄!$L$4:$L$213,应收明细账龄!$C$4:$C$213,A16,应收明细账龄!$N$4:$N$213,"逾期1-30天"))</f>
        <v/>
      </c>
      <c r="I16" s="17" t="str">
        <f>IF(A16="","",SUMIFS(应收明细账龄!$L$4:$L$213,应收明细账龄!$C$4:$C$213,A16,应收明细账龄!$N$4:$N$213,"逾期31-60天"))</f>
        <v/>
      </c>
      <c r="J16" s="17" t="str">
        <f>IF(A16="","",SUMIFS(应收明细账龄!$L$4:$L$213,应收明细账龄!$C$4:$C$213,A16,应收明细账龄!$N$4:$N$213,"逾期61-90天"))</f>
        <v/>
      </c>
      <c r="K16" s="17" t="str">
        <f>IF(A16="","",SUMIFS(应收明细账龄!$L$4:$L$213,应收明细账龄!$C$4:$C$213,A16,应收明细账龄!$N$4:$N$213,"逾期90天以上"))</f>
        <v/>
      </c>
      <c r="L16" s="17" t="str">
        <f t="shared" si="1"/>
        <v/>
      </c>
      <c r="M16" t="str">
        <f t="shared" si="2"/>
        <v/>
      </c>
      <c r="N16" t="str">
        <f t="shared" si="3"/>
        <v/>
      </c>
      <c r="O16" t="str">
        <f>IF(A16="","",IFERROR(VLOOKUP(A16,基础资料!$Y$5:$Z$204,2,FALSE),""))</f>
        <v/>
      </c>
      <c r="P16" s="54"/>
      <c r="Q16" s="60"/>
      <c r="R16" s="54"/>
    </row>
    <row r="17" spans="1:18">
      <c r="A17" t="str">
        <f>IF(基础资料!Y17="","",基础资料!Y17)</f>
        <v/>
      </c>
      <c r="B17" t="str">
        <f>IF(A17="","",IFERROR(VLOOKUP(A17,基础资料!$Y$5:$AA$204,3,FALSE),0))</f>
        <v/>
      </c>
      <c r="C17" s="17" t="str">
        <f>IF(A17="","",SUMIFS(期初数据!$H$5:$H$14,期初数据!$F$5:$F$14,A17)+SUMIFS(销售录入!$I$4:$I$203,销售录入!$C$4:$C$203,A17,销售录入!$A$4:$A$203,"&lt;"&amp;EOMONTH($B$2,-1)+1)-SUMIFS(资金流水!$J$4:$J$203,资金流水!$F$4:$F$203,A17,资金流水!$D$4:$D$203,"客户回款",资金流水!$A$4:$A$203,"&lt;"&amp;EOMONTH($B$2,-1)+1))</f>
        <v/>
      </c>
      <c r="D17" s="17" t="str">
        <f>IF(A17="","",SUMIFS(销售录入!$I$4:$I$203,销售录入!$C$4:$C$203,A17,销售录入!$B$4:$B$203,TEXT($B$2,"yyyy-mm")))</f>
        <v/>
      </c>
      <c r="E17" s="17" t="str">
        <f>IF(A17="","",SUMIFS(资金流水!$J$4:$J$203,资金流水!$F$4:$F$203,A17,资金流水!$D$4:$D$203,"客户回款",资金流水!$B$4:$B$203,TEXT($B$2,"yyyy-mm")))</f>
        <v/>
      </c>
      <c r="F17" s="17" t="str">
        <f>IF(A17="","",SUMIFS(应收明细账龄!$L$4:$L$213,应收明细账龄!$C$4:$C$213,A17))</f>
        <v/>
      </c>
      <c r="G17" s="17" t="str">
        <f>IF(A17="","",SUMIFS(应收明细账龄!$L$4:$L$213,应收明细账龄!$C$4:$C$213,A17,应收明细账龄!$N$4:$N$213,"未到期"))</f>
        <v/>
      </c>
      <c r="H17" s="17" t="str">
        <f>IF(A17="","",SUMIFS(应收明细账龄!$L$4:$L$213,应收明细账龄!$C$4:$C$213,A17,应收明细账龄!$N$4:$N$213,"逾期1-30天"))</f>
        <v/>
      </c>
      <c r="I17" s="17" t="str">
        <f>IF(A17="","",SUMIFS(应收明细账龄!$L$4:$L$213,应收明细账龄!$C$4:$C$213,A17,应收明细账龄!$N$4:$N$213,"逾期31-60天"))</f>
        <v/>
      </c>
      <c r="J17" s="17" t="str">
        <f>IF(A17="","",SUMIFS(应收明细账龄!$L$4:$L$213,应收明细账龄!$C$4:$C$213,A17,应收明细账龄!$N$4:$N$213,"逾期61-90天"))</f>
        <v/>
      </c>
      <c r="K17" s="17" t="str">
        <f>IF(A17="","",SUMIFS(应收明细账龄!$L$4:$L$213,应收明细账龄!$C$4:$C$213,A17,应收明细账龄!$N$4:$N$213,"逾期90天以上"))</f>
        <v/>
      </c>
      <c r="L17" s="17" t="str">
        <f t="shared" si="1"/>
        <v/>
      </c>
      <c r="M17" t="str">
        <f t="shared" si="2"/>
        <v/>
      </c>
      <c r="N17" t="str">
        <f t="shared" si="3"/>
        <v/>
      </c>
      <c r="O17" t="str">
        <f>IF(A17="","",IFERROR(VLOOKUP(A17,基础资料!$Y$5:$Z$204,2,FALSE),""))</f>
        <v/>
      </c>
      <c r="P17" s="54"/>
      <c r="Q17" s="60"/>
      <c r="R17" s="54"/>
    </row>
    <row r="18" spans="1:18">
      <c r="A18" t="str">
        <f>IF(基础资料!Y18="","",基础资料!Y18)</f>
        <v/>
      </c>
      <c r="B18" t="str">
        <f>IF(A18="","",IFERROR(VLOOKUP(A18,基础资料!$Y$5:$AA$204,3,FALSE),0))</f>
        <v/>
      </c>
      <c r="C18" s="17" t="str">
        <f>IF(A18="","",SUMIFS(期初数据!$H$5:$H$14,期初数据!$F$5:$F$14,A18)+SUMIFS(销售录入!$I$4:$I$203,销售录入!$C$4:$C$203,A18,销售录入!$A$4:$A$203,"&lt;"&amp;EOMONTH($B$2,-1)+1)-SUMIFS(资金流水!$J$4:$J$203,资金流水!$F$4:$F$203,A18,资金流水!$D$4:$D$203,"客户回款",资金流水!$A$4:$A$203,"&lt;"&amp;EOMONTH($B$2,-1)+1))</f>
        <v/>
      </c>
      <c r="D18" s="17" t="str">
        <f>IF(A18="","",SUMIFS(销售录入!$I$4:$I$203,销售录入!$C$4:$C$203,A18,销售录入!$B$4:$B$203,TEXT($B$2,"yyyy-mm")))</f>
        <v/>
      </c>
      <c r="E18" s="17" t="str">
        <f>IF(A18="","",SUMIFS(资金流水!$J$4:$J$203,资金流水!$F$4:$F$203,A18,资金流水!$D$4:$D$203,"客户回款",资金流水!$B$4:$B$203,TEXT($B$2,"yyyy-mm")))</f>
        <v/>
      </c>
      <c r="F18" s="17" t="str">
        <f>IF(A18="","",SUMIFS(应收明细账龄!$L$4:$L$213,应收明细账龄!$C$4:$C$213,A18))</f>
        <v/>
      </c>
      <c r="G18" s="17" t="str">
        <f>IF(A18="","",SUMIFS(应收明细账龄!$L$4:$L$213,应收明细账龄!$C$4:$C$213,A18,应收明细账龄!$N$4:$N$213,"未到期"))</f>
        <v/>
      </c>
      <c r="H18" s="17" t="str">
        <f>IF(A18="","",SUMIFS(应收明细账龄!$L$4:$L$213,应收明细账龄!$C$4:$C$213,A18,应收明细账龄!$N$4:$N$213,"逾期1-30天"))</f>
        <v/>
      </c>
      <c r="I18" s="17" t="str">
        <f>IF(A18="","",SUMIFS(应收明细账龄!$L$4:$L$213,应收明细账龄!$C$4:$C$213,A18,应收明细账龄!$N$4:$N$213,"逾期31-60天"))</f>
        <v/>
      </c>
      <c r="J18" s="17" t="str">
        <f>IF(A18="","",SUMIFS(应收明细账龄!$L$4:$L$213,应收明细账龄!$C$4:$C$213,A18,应收明细账龄!$N$4:$N$213,"逾期61-90天"))</f>
        <v/>
      </c>
      <c r="K18" s="17" t="str">
        <f>IF(A18="","",SUMIFS(应收明细账龄!$L$4:$L$213,应收明细账龄!$C$4:$C$213,A18,应收明细账龄!$N$4:$N$213,"逾期90天以上"))</f>
        <v/>
      </c>
      <c r="L18" s="17" t="str">
        <f t="shared" si="1"/>
        <v/>
      </c>
      <c r="M18" t="str">
        <f t="shared" si="2"/>
        <v/>
      </c>
      <c r="N18" t="str">
        <f t="shared" si="3"/>
        <v/>
      </c>
      <c r="O18" t="str">
        <f>IF(A18="","",IFERROR(VLOOKUP(A18,基础资料!$Y$5:$Z$204,2,FALSE),""))</f>
        <v/>
      </c>
      <c r="P18" s="54"/>
      <c r="Q18" s="60"/>
      <c r="R18" s="54"/>
    </row>
    <row r="19" spans="1:18">
      <c r="A19" t="str">
        <f>IF(基础资料!Y19="","",基础资料!Y19)</f>
        <v/>
      </c>
      <c r="B19" t="str">
        <f>IF(A19="","",IFERROR(VLOOKUP(A19,基础资料!$Y$5:$AA$204,3,FALSE),0))</f>
        <v/>
      </c>
      <c r="C19" s="17" t="str">
        <f>IF(A19="","",SUMIFS(期初数据!$H$5:$H$14,期初数据!$F$5:$F$14,A19)+SUMIFS(销售录入!$I$4:$I$203,销售录入!$C$4:$C$203,A19,销售录入!$A$4:$A$203,"&lt;"&amp;EOMONTH($B$2,-1)+1)-SUMIFS(资金流水!$J$4:$J$203,资金流水!$F$4:$F$203,A19,资金流水!$D$4:$D$203,"客户回款",资金流水!$A$4:$A$203,"&lt;"&amp;EOMONTH($B$2,-1)+1))</f>
        <v/>
      </c>
      <c r="D19" s="17" t="str">
        <f>IF(A19="","",SUMIFS(销售录入!$I$4:$I$203,销售录入!$C$4:$C$203,A19,销售录入!$B$4:$B$203,TEXT($B$2,"yyyy-mm")))</f>
        <v/>
      </c>
      <c r="E19" s="17" t="str">
        <f>IF(A19="","",SUMIFS(资金流水!$J$4:$J$203,资金流水!$F$4:$F$203,A19,资金流水!$D$4:$D$203,"客户回款",资金流水!$B$4:$B$203,TEXT($B$2,"yyyy-mm")))</f>
        <v/>
      </c>
      <c r="F19" s="17" t="str">
        <f>IF(A19="","",SUMIFS(应收明细账龄!$L$4:$L$213,应收明细账龄!$C$4:$C$213,A19))</f>
        <v/>
      </c>
      <c r="G19" s="17" t="str">
        <f>IF(A19="","",SUMIFS(应收明细账龄!$L$4:$L$213,应收明细账龄!$C$4:$C$213,A19,应收明细账龄!$N$4:$N$213,"未到期"))</f>
        <v/>
      </c>
      <c r="H19" s="17" t="str">
        <f>IF(A19="","",SUMIFS(应收明细账龄!$L$4:$L$213,应收明细账龄!$C$4:$C$213,A19,应收明细账龄!$N$4:$N$213,"逾期1-30天"))</f>
        <v/>
      </c>
      <c r="I19" s="17" t="str">
        <f>IF(A19="","",SUMIFS(应收明细账龄!$L$4:$L$213,应收明细账龄!$C$4:$C$213,A19,应收明细账龄!$N$4:$N$213,"逾期31-60天"))</f>
        <v/>
      </c>
      <c r="J19" s="17" t="str">
        <f>IF(A19="","",SUMIFS(应收明细账龄!$L$4:$L$213,应收明细账龄!$C$4:$C$213,A19,应收明细账龄!$N$4:$N$213,"逾期61-90天"))</f>
        <v/>
      </c>
      <c r="K19" s="17" t="str">
        <f>IF(A19="","",SUMIFS(应收明细账龄!$L$4:$L$213,应收明细账龄!$C$4:$C$213,A19,应收明细账龄!$N$4:$N$213,"逾期90天以上"))</f>
        <v/>
      </c>
      <c r="L19" s="17" t="str">
        <f t="shared" si="1"/>
        <v/>
      </c>
      <c r="M19" t="str">
        <f t="shared" si="2"/>
        <v/>
      </c>
      <c r="N19" t="str">
        <f t="shared" si="3"/>
        <v/>
      </c>
      <c r="O19" t="str">
        <f>IF(A19="","",IFERROR(VLOOKUP(A19,基础资料!$Y$5:$Z$204,2,FALSE),""))</f>
        <v/>
      </c>
      <c r="P19" s="54"/>
      <c r="Q19" s="60"/>
      <c r="R19" s="54"/>
    </row>
    <row r="20" spans="1:18">
      <c r="A20" t="str">
        <f>IF(基础资料!Y20="","",基础资料!Y20)</f>
        <v/>
      </c>
      <c r="B20" t="str">
        <f>IF(A20="","",IFERROR(VLOOKUP(A20,基础资料!$Y$5:$AA$204,3,FALSE),0))</f>
        <v/>
      </c>
      <c r="C20" s="17" t="str">
        <f>IF(A20="","",SUMIFS(期初数据!$H$5:$H$14,期初数据!$F$5:$F$14,A20)+SUMIFS(销售录入!$I$4:$I$203,销售录入!$C$4:$C$203,A20,销售录入!$A$4:$A$203,"&lt;"&amp;EOMONTH($B$2,-1)+1)-SUMIFS(资金流水!$J$4:$J$203,资金流水!$F$4:$F$203,A20,资金流水!$D$4:$D$203,"客户回款",资金流水!$A$4:$A$203,"&lt;"&amp;EOMONTH($B$2,-1)+1))</f>
        <v/>
      </c>
      <c r="D20" s="17" t="str">
        <f>IF(A20="","",SUMIFS(销售录入!$I$4:$I$203,销售录入!$C$4:$C$203,A20,销售录入!$B$4:$B$203,TEXT($B$2,"yyyy-mm")))</f>
        <v/>
      </c>
      <c r="E20" s="17" t="str">
        <f>IF(A20="","",SUMIFS(资金流水!$J$4:$J$203,资金流水!$F$4:$F$203,A20,资金流水!$D$4:$D$203,"客户回款",资金流水!$B$4:$B$203,TEXT($B$2,"yyyy-mm")))</f>
        <v/>
      </c>
      <c r="F20" s="17" t="str">
        <f>IF(A20="","",SUMIFS(应收明细账龄!$L$4:$L$213,应收明细账龄!$C$4:$C$213,A20))</f>
        <v/>
      </c>
      <c r="G20" s="17" t="str">
        <f>IF(A20="","",SUMIFS(应收明细账龄!$L$4:$L$213,应收明细账龄!$C$4:$C$213,A20,应收明细账龄!$N$4:$N$213,"未到期"))</f>
        <v/>
      </c>
      <c r="H20" s="17" t="str">
        <f>IF(A20="","",SUMIFS(应收明细账龄!$L$4:$L$213,应收明细账龄!$C$4:$C$213,A20,应收明细账龄!$N$4:$N$213,"逾期1-30天"))</f>
        <v/>
      </c>
      <c r="I20" s="17" t="str">
        <f>IF(A20="","",SUMIFS(应收明细账龄!$L$4:$L$213,应收明细账龄!$C$4:$C$213,A20,应收明细账龄!$N$4:$N$213,"逾期31-60天"))</f>
        <v/>
      </c>
      <c r="J20" s="17" t="str">
        <f>IF(A20="","",SUMIFS(应收明细账龄!$L$4:$L$213,应收明细账龄!$C$4:$C$213,A20,应收明细账龄!$N$4:$N$213,"逾期61-90天"))</f>
        <v/>
      </c>
      <c r="K20" s="17" t="str">
        <f>IF(A20="","",SUMIFS(应收明细账龄!$L$4:$L$213,应收明细账龄!$C$4:$C$213,A20,应收明细账龄!$N$4:$N$213,"逾期90天以上"))</f>
        <v/>
      </c>
      <c r="L20" s="17" t="str">
        <f t="shared" si="1"/>
        <v/>
      </c>
      <c r="M20" t="str">
        <f t="shared" si="2"/>
        <v/>
      </c>
      <c r="N20" t="str">
        <f t="shared" si="3"/>
        <v/>
      </c>
      <c r="O20" t="str">
        <f>IF(A20="","",IFERROR(VLOOKUP(A20,基础资料!$Y$5:$Z$204,2,FALSE),""))</f>
        <v/>
      </c>
      <c r="P20" s="54"/>
      <c r="Q20" s="60"/>
      <c r="R20" s="54"/>
    </row>
    <row r="21" spans="1:18">
      <c r="A21" t="str">
        <f>IF(基础资料!Y21="","",基础资料!Y21)</f>
        <v/>
      </c>
      <c r="B21" t="str">
        <f>IF(A21="","",IFERROR(VLOOKUP(A21,基础资料!$Y$5:$AA$204,3,FALSE),0))</f>
        <v/>
      </c>
      <c r="C21" s="17" t="str">
        <f>IF(A21="","",SUMIFS(期初数据!$H$5:$H$14,期初数据!$F$5:$F$14,A21)+SUMIFS(销售录入!$I$4:$I$203,销售录入!$C$4:$C$203,A21,销售录入!$A$4:$A$203,"&lt;"&amp;EOMONTH($B$2,-1)+1)-SUMIFS(资金流水!$J$4:$J$203,资金流水!$F$4:$F$203,A21,资金流水!$D$4:$D$203,"客户回款",资金流水!$A$4:$A$203,"&lt;"&amp;EOMONTH($B$2,-1)+1))</f>
        <v/>
      </c>
      <c r="D21" s="17" t="str">
        <f>IF(A21="","",SUMIFS(销售录入!$I$4:$I$203,销售录入!$C$4:$C$203,A21,销售录入!$B$4:$B$203,TEXT($B$2,"yyyy-mm")))</f>
        <v/>
      </c>
      <c r="E21" s="17" t="str">
        <f>IF(A21="","",SUMIFS(资金流水!$J$4:$J$203,资金流水!$F$4:$F$203,A21,资金流水!$D$4:$D$203,"客户回款",资金流水!$B$4:$B$203,TEXT($B$2,"yyyy-mm")))</f>
        <v/>
      </c>
      <c r="F21" s="17" t="str">
        <f>IF(A21="","",SUMIFS(应收明细账龄!$L$4:$L$213,应收明细账龄!$C$4:$C$213,A21))</f>
        <v/>
      </c>
      <c r="G21" s="17" t="str">
        <f>IF(A21="","",SUMIFS(应收明细账龄!$L$4:$L$213,应收明细账龄!$C$4:$C$213,A21,应收明细账龄!$N$4:$N$213,"未到期"))</f>
        <v/>
      </c>
      <c r="H21" s="17" t="str">
        <f>IF(A21="","",SUMIFS(应收明细账龄!$L$4:$L$213,应收明细账龄!$C$4:$C$213,A21,应收明细账龄!$N$4:$N$213,"逾期1-30天"))</f>
        <v/>
      </c>
      <c r="I21" s="17" t="str">
        <f>IF(A21="","",SUMIFS(应收明细账龄!$L$4:$L$213,应收明细账龄!$C$4:$C$213,A21,应收明细账龄!$N$4:$N$213,"逾期31-60天"))</f>
        <v/>
      </c>
      <c r="J21" s="17" t="str">
        <f>IF(A21="","",SUMIFS(应收明细账龄!$L$4:$L$213,应收明细账龄!$C$4:$C$213,A21,应收明细账龄!$N$4:$N$213,"逾期61-90天"))</f>
        <v/>
      </c>
      <c r="K21" s="17" t="str">
        <f>IF(A21="","",SUMIFS(应收明细账龄!$L$4:$L$213,应收明细账龄!$C$4:$C$213,A21,应收明细账龄!$N$4:$N$213,"逾期90天以上"))</f>
        <v/>
      </c>
      <c r="L21" s="17" t="str">
        <f t="shared" si="1"/>
        <v/>
      </c>
      <c r="M21" t="str">
        <f t="shared" si="2"/>
        <v/>
      </c>
      <c r="N21" t="str">
        <f t="shared" si="3"/>
        <v/>
      </c>
      <c r="O21" t="str">
        <f>IF(A21="","",IFERROR(VLOOKUP(A21,基础资料!$Y$5:$Z$204,2,FALSE),""))</f>
        <v/>
      </c>
      <c r="P21" s="54"/>
      <c r="Q21" s="60"/>
      <c r="R21" s="54"/>
    </row>
    <row r="22" spans="1:18">
      <c r="A22" t="str">
        <f>IF(基础资料!Y22="","",基础资料!Y22)</f>
        <v/>
      </c>
      <c r="B22" t="str">
        <f>IF(A22="","",IFERROR(VLOOKUP(A22,基础资料!$Y$5:$AA$204,3,FALSE),0))</f>
        <v/>
      </c>
      <c r="C22" s="17" t="str">
        <f>IF(A22="","",SUMIFS(期初数据!$H$5:$H$14,期初数据!$F$5:$F$14,A22)+SUMIFS(销售录入!$I$4:$I$203,销售录入!$C$4:$C$203,A22,销售录入!$A$4:$A$203,"&lt;"&amp;EOMONTH($B$2,-1)+1)-SUMIFS(资金流水!$J$4:$J$203,资金流水!$F$4:$F$203,A22,资金流水!$D$4:$D$203,"客户回款",资金流水!$A$4:$A$203,"&lt;"&amp;EOMONTH($B$2,-1)+1))</f>
        <v/>
      </c>
      <c r="D22" s="17" t="str">
        <f>IF(A22="","",SUMIFS(销售录入!$I$4:$I$203,销售录入!$C$4:$C$203,A22,销售录入!$B$4:$B$203,TEXT($B$2,"yyyy-mm")))</f>
        <v/>
      </c>
      <c r="E22" s="17" t="str">
        <f>IF(A22="","",SUMIFS(资金流水!$J$4:$J$203,资金流水!$F$4:$F$203,A22,资金流水!$D$4:$D$203,"客户回款",资金流水!$B$4:$B$203,TEXT($B$2,"yyyy-mm")))</f>
        <v/>
      </c>
      <c r="F22" s="17" t="str">
        <f>IF(A22="","",SUMIFS(应收明细账龄!$L$4:$L$213,应收明细账龄!$C$4:$C$213,A22))</f>
        <v/>
      </c>
      <c r="G22" s="17" t="str">
        <f>IF(A22="","",SUMIFS(应收明细账龄!$L$4:$L$213,应收明细账龄!$C$4:$C$213,A22,应收明细账龄!$N$4:$N$213,"未到期"))</f>
        <v/>
      </c>
      <c r="H22" s="17" t="str">
        <f>IF(A22="","",SUMIFS(应收明细账龄!$L$4:$L$213,应收明细账龄!$C$4:$C$213,A22,应收明细账龄!$N$4:$N$213,"逾期1-30天"))</f>
        <v/>
      </c>
      <c r="I22" s="17" t="str">
        <f>IF(A22="","",SUMIFS(应收明细账龄!$L$4:$L$213,应收明细账龄!$C$4:$C$213,A22,应收明细账龄!$N$4:$N$213,"逾期31-60天"))</f>
        <v/>
      </c>
      <c r="J22" s="17" t="str">
        <f>IF(A22="","",SUMIFS(应收明细账龄!$L$4:$L$213,应收明细账龄!$C$4:$C$213,A22,应收明细账龄!$N$4:$N$213,"逾期61-90天"))</f>
        <v/>
      </c>
      <c r="K22" s="17" t="str">
        <f>IF(A22="","",SUMIFS(应收明细账龄!$L$4:$L$213,应收明细账龄!$C$4:$C$213,A22,应收明细账龄!$N$4:$N$213,"逾期90天以上"))</f>
        <v/>
      </c>
      <c r="L22" s="17" t="str">
        <f t="shared" si="1"/>
        <v/>
      </c>
      <c r="M22" t="str">
        <f t="shared" si="2"/>
        <v/>
      </c>
      <c r="N22" t="str">
        <f t="shared" si="3"/>
        <v/>
      </c>
      <c r="O22" t="str">
        <f>IF(A22="","",IFERROR(VLOOKUP(A22,基础资料!$Y$5:$Z$204,2,FALSE),""))</f>
        <v/>
      </c>
      <c r="P22" s="54"/>
      <c r="Q22" s="60"/>
      <c r="R22" s="54"/>
    </row>
    <row r="23" spans="1:18">
      <c r="A23" t="str">
        <f>IF(基础资料!Y23="","",基础资料!Y23)</f>
        <v/>
      </c>
      <c r="B23" t="str">
        <f>IF(A23="","",IFERROR(VLOOKUP(A23,基础资料!$Y$5:$AA$204,3,FALSE),0))</f>
        <v/>
      </c>
      <c r="C23" s="17" t="str">
        <f>IF(A23="","",SUMIFS(期初数据!$H$5:$H$14,期初数据!$F$5:$F$14,A23)+SUMIFS(销售录入!$I$4:$I$203,销售录入!$C$4:$C$203,A23,销售录入!$A$4:$A$203,"&lt;"&amp;EOMONTH($B$2,-1)+1)-SUMIFS(资金流水!$J$4:$J$203,资金流水!$F$4:$F$203,A23,资金流水!$D$4:$D$203,"客户回款",资金流水!$A$4:$A$203,"&lt;"&amp;EOMONTH($B$2,-1)+1))</f>
        <v/>
      </c>
      <c r="D23" s="17" t="str">
        <f>IF(A23="","",SUMIFS(销售录入!$I$4:$I$203,销售录入!$C$4:$C$203,A23,销售录入!$B$4:$B$203,TEXT($B$2,"yyyy-mm")))</f>
        <v/>
      </c>
      <c r="E23" s="17" t="str">
        <f>IF(A23="","",SUMIFS(资金流水!$J$4:$J$203,资金流水!$F$4:$F$203,A23,资金流水!$D$4:$D$203,"客户回款",资金流水!$B$4:$B$203,TEXT($B$2,"yyyy-mm")))</f>
        <v/>
      </c>
      <c r="F23" s="17" t="str">
        <f>IF(A23="","",SUMIFS(应收明细账龄!$L$4:$L$213,应收明细账龄!$C$4:$C$213,A23))</f>
        <v/>
      </c>
      <c r="G23" s="17" t="str">
        <f>IF(A23="","",SUMIFS(应收明细账龄!$L$4:$L$213,应收明细账龄!$C$4:$C$213,A23,应收明细账龄!$N$4:$N$213,"未到期"))</f>
        <v/>
      </c>
      <c r="H23" s="17" t="str">
        <f>IF(A23="","",SUMIFS(应收明细账龄!$L$4:$L$213,应收明细账龄!$C$4:$C$213,A23,应收明细账龄!$N$4:$N$213,"逾期1-30天"))</f>
        <v/>
      </c>
      <c r="I23" s="17" t="str">
        <f>IF(A23="","",SUMIFS(应收明细账龄!$L$4:$L$213,应收明细账龄!$C$4:$C$213,A23,应收明细账龄!$N$4:$N$213,"逾期31-60天"))</f>
        <v/>
      </c>
      <c r="J23" s="17" t="str">
        <f>IF(A23="","",SUMIFS(应收明细账龄!$L$4:$L$213,应收明细账龄!$C$4:$C$213,A23,应收明细账龄!$N$4:$N$213,"逾期61-90天"))</f>
        <v/>
      </c>
      <c r="K23" s="17" t="str">
        <f>IF(A23="","",SUMIFS(应收明细账龄!$L$4:$L$213,应收明细账龄!$C$4:$C$213,A23,应收明细账龄!$N$4:$N$213,"逾期90天以上"))</f>
        <v/>
      </c>
      <c r="L23" s="17" t="str">
        <f t="shared" si="1"/>
        <v/>
      </c>
      <c r="M23" t="str">
        <f t="shared" si="2"/>
        <v/>
      </c>
      <c r="N23" t="str">
        <f t="shared" si="3"/>
        <v/>
      </c>
      <c r="O23" t="str">
        <f>IF(A23="","",IFERROR(VLOOKUP(A23,基础资料!$Y$5:$Z$204,2,FALSE),""))</f>
        <v/>
      </c>
      <c r="P23" s="54"/>
      <c r="Q23" s="60"/>
      <c r="R23" s="54"/>
    </row>
    <row r="24" spans="1:18">
      <c r="A24" t="str">
        <f>IF(基础资料!Y24="","",基础资料!Y24)</f>
        <v/>
      </c>
      <c r="B24" t="str">
        <f>IF(A24="","",IFERROR(VLOOKUP(A24,基础资料!$Y$5:$AA$204,3,FALSE),0))</f>
        <v/>
      </c>
      <c r="C24" s="17" t="str">
        <f>IF(A24="","",SUMIFS(期初数据!$H$5:$H$14,期初数据!$F$5:$F$14,A24)+SUMIFS(销售录入!$I$4:$I$203,销售录入!$C$4:$C$203,A24,销售录入!$A$4:$A$203,"&lt;"&amp;EOMONTH($B$2,-1)+1)-SUMIFS(资金流水!$J$4:$J$203,资金流水!$F$4:$F$203,A24,资金流水!$D$4:$D$203,"客户回款",资金流水!$A$4:$A$203,"&lt;"&amp;EOMONTH($B$2,-1)+1))</f>
        <v/>
      </c>
      <c r="D24" s="17" t="str">
        <f>IF(A24="","",SUMIFS(销售录入!$I$4:$I$203,销售录入!$C$4:$C$203,A24,销售录入!$B$4:$B$203,TEXT($B$2,"yyyy-mm")))</f>
        <v/>
      </c>
      <c r="E24" s="17" t="str">
        <f>IF(A24="","",SUMIFS(资金流水!$J$4:$J$203,资金流水!$F$4:$F$203,A24,资金流水!$D$4:$D$203,"客户回款",资金流水!$B$4:$B$203,TEXT($B$2,"yyyy-mm")))</f>
        <v/>
      </c>
      <c r="F24" s="17" t="str">
        <f>IF(A24="","",SUMIFS(应收明细账龄!$L$4:$L$213,应收明细账龄!$C$4:$C$213,A24))</f>
        <v/>
      </c>
      <c r="G24" s="17" t="str">
        <f>IF(A24="","",SUMIFS(应收明细账龄!$L$4:$L$213,应收明细账龄!$C$4:$C$213,A24,应收明细账龄!$N$4:$N$213,"未到期"))</f>
        <v/>
      </c>
      <c r="H24" s="17" t="str">
        <f>IF(A24="","",SUMIFS(应收明细账龄!$L$4:$L$213,应收明细账龄!$C$4:$C$213,A24,应收明细账龄!$N$4:$N$213,"逾期1-30天"))</f>
        <v/>
      </c>
      <c r="I24" s="17" t="str">
        <f>IF(A24="","",SUMIFS(应收明细账龄!$L$4:$L$213,应收明细账龄!$C$4:$C$213,A24,应收明细账龄!$N$4:$N$213,"逾期31-60天"))</f>
        <v/>
      </c>
      <c r="J24" s="17" t="str">
        <f>IF(A24="","",SUMIFS(应收明细账龄!$L$4:$L$213,应收明细账龄!$C$4:$C$213,A24,应收明细账龄!$N$4:$N$213,"逾期61-90天"))</f>
        <v/>
      </c>
      <c r="K24" s="17" t="str">
        <f>IF(A24="","",SUMIFS(应收明细账龄!$L$4:$L$213,应收明细账龄!$C$4:$C$213,A24,应收明细账龄!$N$4:$N$213,"逾期90天以上"))</f>
        <v/>
      </c>
      <c r="L24" s="17" t="str">
        <f t="shared" si="1"/>
        <v/>
      </c>
      <c r="M24" t="str">
        <f t="shared" si="2"/>
        <v/>
      </c>
      <c r="N24" t="str">
        <f t="shared" si="3"/>
        <v/>
      </c>
      <c r="O24" t="str">
        <f>IF(A24="","",IFERROR(VLOOKUP(A24,基础资料!$Y$5:$Z$204,2,FALSE),""))</f>
        <v/>
      </c>
      <c r="P24" s="54"/>
      <c r="Q24" s="60"/>
      <c r="R24" s="54"/>
    </row>
    <row r="25" spans="1:18">
      <c r="A25" t="str">
        <f>IF(基础资料!Y25="","",基础资料!Y25)</f>
        <v/>
      </c>
      <c r="B25" t="str">
        <f>IF(A25="","",IFERROR(VLOOKUP(A25,基础资料!$Y$5:$AA$204,3,FALSE),0))</f>
        <v/>
      </c>
      <c r="C25" s="17" t="str">
        <f>IF(A25="","",SUMIFS(期初数据!$H$5:$H$14,期初数据!$F$5:$F$14,A25)+SUMIFS(销售录入!$I$4:$I$203,销售录入!$C$4:$C$203,A25,销售录入!$A$4:$A$203,"&lt;"&amp;EOMONTH($B$2,-1)+1)-SUMIFS(资金流水!$J$4:$J$203,资金流水!$F$4:$F$203,A25,资金流水!$D$4:$D$203,"客户回款",资金流水!$A$4:$A$203,"&lt;"&amp;EOMONTH($B$2,-1)+1))</f>
        <v/>
      </c>
      <c r="D25" s="17" t="str">
        <f>IF(A25="","",SUMIFS(销售录入!$I$4:$I$203,销售录入!$C$4:$C$203,A25,销售录入!$B$4:$B$203,TEXT($B$2,"yyyy-mm")))</f>
        <v/>
      </c>
      <c r="E25" s="17" t="str">
        <f>IF(A25="","",SUMIFS(资金流水!$J$4:$J$203,资金流水!$F$4:$F$203,A25,资金流水!$D$4:$D$203,"客户回款",资金流水!$B$4:$B$203,TEXT($B$2,"yyyy-mm")))</f>
        <v/>
      </c>
      <c r="F25" s="17" t="str">
        <f>IF(A25="","",SUMIFS(应收明细账龄!$L$4:$L$213,应收明细账龄!$C$4:$C$213,A25))</f>
        <v/>
      </c>
      <c r="G25" s="17" t="str">
        <f>IF(A25="","",SUMIFS(应收明细账龄!$L$4:$L$213,应收明细账龄!$C$4:$C$213,A25,应收明细账龄!$N$4:$N$213,"未到期"))</f>
        <v/>
      </c>
      <c r="H25" s="17" t="str">
        <f>IF(A25="","",SUMIFS(应收明细账龄!$L$4:$L$213,应收明细账龄!$C$4:$C$213,A25,应收明细账龄!$N$4:$N$213,"逾期1-30天"))</f>
        <v/>
      </c>
      <c r="I25" s="17" t="str">
        <f>IF(A25="","",SUMIFS(应收明细账龄!$L$4:$L$213,应收明细账龄!$C$4:$C$213,A25,应收明细账龄!$N$4:$N$213,"逾期31-60天"))</f>
        <v/>
      </c>
      <c r="J25" s="17" t="str">
        <f>IF(A25="","",SUMIFS(应收明细账龄!$L$4:$L$213,应收明细账龄!$C$4:$C$213,A25,应收明细账龄!$N$4:$N$213,"逾期61-90天"))</f>
        <v/>
      </c>
      <c r="K25" s="17" t="str">
        <f>IF(A25="","",SUMIFS(应收明细账龄!$L$4:$L$213,应收明细账龄!$C$4:$C$213,A25,应收明细账龄!$N$4:$N$213,"逾期90天以上"))</f>
        <v/>
      </c>
      <c r="L25" s="17" t="str">
        <f t="shared" si="1"/>
        <v/>
      </c>
      <c r="M25" t="str">
        <f t="shared" si="2"/>
        <v/>
      </c>
      <c r="N25" t="str">
        <f t="shared" si="3"/>
        <v/>
      </c>
      <c r="O25" t="str">
        <f>IF(A25="","",IFERROR(VLOOKUP(A25,基础资料!$Y$5:$Z$204,2,FALSE),""))</f>
        <v/>
      </c>
      <c r="P25" s="54"/>
      <c r="Q25" s="60"/>
      <c r="R25" s="54"/>
    </row>
    <row r="26" spans="1:18">
      <c r="A26" t="str">
        <f>IF(基础资料!Y26="","",基础资料!Y26)</f>
        <v/>
      </c>
      <c r="B26" t="str">
        <f>IF(A26="","",IFERROR(VLOOKUP(A26,基础资料!$Y$5:$AA$204,3,FALSE),0))</f>
        <v/>
      </c>
      <c r="C26" s="17" t="str">
        <f>IF(A26="","",SUMIFS(期初数据!$H$5:$H$14,期初数据!$F$5:$F$14,A26)+SUMIFS(销售录入!$I$4:$I$203,销售录入!$C$4:$C$203,A26,销售录入!$A$4:$A$203,"&lt;"&amp;EOMONTH($B$2,-1)+1)-SUMIFS(资金流水!$J$4:$J$203,资金流水!$F$4:$F$203,A26,资金流水!$D$4:$D$203,"客户回款",资金流水!$A$4:$A$203,"&lt;"&amp;EOMONTH($B$2,-1)+1))</f>
        <v/>
      </c>
      <c r="D26" s="17" t="str">
        <f>IF(A26="","",SUMIFS(销售录入!$I$4:$I$203,销售录入!$C$4:$C$203,A26,销售录入!$B$4:$B$203,TEXT($B$2,"yyyy-mm")))</f>
        <v/>
      </c>
      <c r="E26" s="17" t="str">
        <f>IF(A26="","",SUMIFS(资金流水!$J$4:$J$203,资金流水!$F$4:$F$203,A26,资金流水!$D$4:$D$203,"客户回款",资金流水!$B$4:$B$203,TEXT($B$2,"yyyy-mm")))</f>
        <v/>
      </c>
      <c r="F26" s="17" t="str">
        <f>IF(A26="","",SUMIFS(应收明细账龄!$L$4:$L$213,应收明细账龄!$C$4:$C$213,A26))</f>
        <v/>
      </c>
      <c r="G26" s="17" t="str">
        <f>IF(A26="","",SUMIFS(应收明细账龄!$L$4:$L$213,应收明细账龄!$C$4:$C$213,A26,应收明细账龄!$N$4:$N$213,"未到期"))</f>
        <v/>
      </c>
      <c r="H26" s="17" t="str">
        <f>IF(A26="","",SUMIFS(应收明细账龄!$L$4:$L$213,应收明细账龄!$C$4:$C$213,A26,应收明细账龄!$N$4:$N$213,"逾期1-30天"))</f>
        <v/>
      </c>
      <c r="I26" s="17" t="str">
        <f>IF(A26="","",SUMIFS(应收明细账龄!$L$4:$L$213,应收明细账龄!$C$4:$C$213,A26,应收明细账龄!$N$4:$N$213,"逾期31-60天"))</f>
        <v/>
      </c>
      <c r="J26" s="17" t="str">
        <f>IF(A26="","",SUMIFS(应收明细账龄!$L$4:$L$213,应收明细账龄!$C$4:$C$213,A26,应收明细账龄!$N$4:$N$213,"逾期61-90天"))</f>
        <v/>
      </c>
      <c r="K26" s="17" t="str">
        <f>IF(A26="","",SUMIFS(应收明细账龄!$L$4:$L$213,应收明细账龄!$C$4:$C$213,A26,应收明细账龄!$N$4:$N$213,"逾期90天以上"))</f>
        <v/>
      </c>
      <c r="L26" s="17" t="str">
        <f t="shared" si="1"/>
        <v/>
      </c>
      <c r="M26" t="str">
        <f t="shared" si="2"/>
        <v/>
      </c>
      <c r="N26" t="str">
        <f t="shared" si="3"/>
        <v/>
      </c>
      <c r="O26" t="str">
        <f>IF(A26="","",IFERROR(VLOOKUP(A26,基础资料!$Y$5:$Z$204,2,FALSE),""))</f>
        <v/>
      </c>
      <c r="P26" s="54"/>
      <c r="Q26" s="60"/>
      <c r="R26" s="54"/>
    </row>
    <row r="27" spans="1:18">
      <c r="A27" t="str">
        <f>IF(基础资料!Y27="","",基础资料!Y27)</f>
        <v/>
      </c>
      <c r="B27" t="str">
        <f>IF(A27="","",IFERROR(VLOOKUP(A27,基础资料!$Y$5:$AA$204,3,FALSE),0))</f>
        <v/>
      </c>
      <c r="C27" s="17" t="str">
        <f>IF(A27="","",SUMIFS(期初数据!$H$5:$H$14,期初数据!$F$5:$F$14,A27)+SUMIFS(销售录入!$I$4:$I$203,销售录入!$C$4:$C$203,A27,销售录入!$A$4:$A$203,"&lt;"&amp;EOMONTH($B$2,-1)+1)-SUMIFS(资金流水!$J$4:$J$203,资金流水!$F$4:$F$203,A27,资金流水!$D$4:$D$203,"客户回款",资金流水!$A$4:$A$203,"&lt;"&amp;EOMONTH($B$2,-1)+1))</f>
        <v/>
      </c>
      <c r="D27" s="17" t="str">
        <f>IF(A27="","",SUMIFS(销售录入!$I$4:$I$203,销售录入!$C$4:$C$203,A27,销售录入!$B$4:$B$203,TEXT($B$2,"yyyy-mm")))</f>
        <v/>
      </c>
      <c r="E27" s="17" t="str">
        <f>IF(A27="","",SUMIFS(资金流水!$J$4:$J$203,资金流水!$F$4:$F$203,A27,资金流水!$D$4:$D$203,"客户回款",资金流水!$B$4:$B$203,TEXT($B$2,"yyyy-mm")))</f>
        <v/>
      </c>
      <c r="F27" s="17" t="str">
        <f>IF(A27="","",SUMIFS(应收明细账龄!$L$4:$L$213,应收明细账龄!$C$4:$C$213,A27))</f>
        <v/>
      </c>
      <c r="G27" s="17" t="str">
        <f>IF(A27="","",SUMIFS(应收明细账龄!$L$4:$L$213,应收明细账龄!$C$4:$C$213,A27,应收明细账龄!$N$4:$N$213,"未到期"))</f>
        <v/>
      </c>
      <c r="H27" s="17" t="str">
        <f>IF(A27="","",SUMIFS(应收明细账龄!$L$4:$L$213,应收明细账龄!$C$4:$C$213,A27,应收明细账龄!$N$4:$N$213,"逾期1-30天"))</f>
        <v/>
      </c>
      <c r="I27" s="17" t="str">
        <f>IF(A27="","",SUMIFS(应收明细账龄!$L$4:$L$213,应收明细账龄!$C$4:$C$213,A27,应收明细账龄!$N$4:$N$213,"逾期31-60天"))</f>
        <v/>
      </c>
      <c r="J27" s="17" t="str">
        <f>IF(A27="","",SUMIFS(应收明细账龄!$L$4:$L$213,应收明细账龄!$C$4:$C$213,A27,应收明细账龄!$N$4:$N$213,"逾期61-90天"))</f>
        <v/>
      </c>
      <c r="K27" s="17" t="str">
        <f>IF(A27="","",SUMIFS(应收明细账龄!$L$4:$L$213,应收明细账龄!$C$4:$C$213,A27,应收明细账龄!$N$4:$N$213,"逾期90天以上"))</f>
        <v/>
      </c>
      <c r="L27" s="17" t="str">
        <f t="shared" si="1"/>
        <v/>
      </c>
      <c r="M27" t="str">
        <f t="shared" si="2"/>
        <v/>
      </c>
      <c r="N27" t="str">
        <f t="shared" si="3"/>
        <v/>
      </c>
      <c r="O27" t="str">
        <f>IF(A27="","",IFERROR(VLOOKUP(A27,基础资料!$Y$5:$Z$204,2,FALSE),""))</f>
        <v/>
      </c>
      <c r="P27" s="54"/>
      <c r="Q27" s="60"/>
      <c r="R27" s="54"/>
    </row>
    <row r="28" spans="1:18">
      <c r="A28" t="str">
        <f>IF(基础资料!Y28="","",基础资料!Y28)</f>
        <v/>
      </c>
      <c r="B28" t="str">
        <f>IF(A28="","",IFERROR(VLOOKUP(A28,基础资料!$Y$5:$AA$204,3,FALSE),0))</f>
        <v/>
      </c>
      <c r="C28" s="17" t="str">
        <f>IF(A28="","",SUMIFS(期初数据!$H$5:$H$14,期初数据!$F$5:$F$14,A28)+SUMIFS(销售录入!$I$4:$I$203,销售录入!$C$4:$C$203,A28,销售录入!$A$4:$A$203,"&lt;"&amp;EOMONTH($B$2,-1)+1)-SUMIFS(资金流水!$J$4:$J$203,资金流水!$F$4:$F$203,A28,资金流水!$D$4:$D$203,"客户回款",资金流水!$A$4:$A$203,"&lt;"&amp;EOMONTH($B$2,-1)+1))</f>
        <v/>
      </c>
      <c r="D28" s="17" t="str">
        <f>IF(A28="","",SUMIFS(销售录入!$I$4:$I$203,销售录入!$C$4:$C$203,A28,销售录入!$B$4:$B$203,TEXT($B$2,"yyyy-mm")))</f>
        <v/>
      </c>
      <c r="E28" s="17" t="str">
        <f>IF(A28="","",SUMIFS(资金流水!$J$4:$J$203,资金流水!$F$4:$F$203,A28,资金流水!$D$4:$D$203,"客户回款",资金流水!$B$4:$B$203,TEXT($B$2,"yyyy-mm")))</f>
        <v/>
      </c>
      <c r="F28" s="17" t="str">
        <f>IF(A28="","",SUMIFS(应收明细账龄!$L$4:$L$213,应收明细账龄!$C$4:$C$213,A28))</f>
        <v/>
      </c>
      <c r="G28" s="17" t="str">
        <f>IF(A28="","",SUMIFS(应收明细账龄!$L$4:$L$213,应收明细账龄!$C$4:$C$213,A28,应收明细账龄!$N$4:$N$213,"未到期"))</f>
        <v/>
      </c>
      <c r="H28" s="17" t="str">
        <f>IF(A28="","",SUMIFS(应收明细账龄!$L$4:$L$213,应收明细账龄!$C$4:$C$213,A28,应收明细账龄!$N$4:$N$213,"逾期1-30天"))</f>
        <v/>
      </c>
      <c r="I28" s="17" t="str">
        <f>IF(A28="","",SUMIFS(应收明细账龄!$L$4:$L$213,应收明细账龄!$C$4:$C$213,A28,应收明细账龄!$N$4:$N$213,"逾期31-60天"))</f>
        <v/>
      </c>
      <c r="J28" s="17" t="str">
        <f>IF(A28="","",SUMIFS(应收明细账龄!$L$4:$L$213,应收明细账龄!$C$4:$C$213,A28,应收明细账龄!$N$4:$N$213,"逾期61-90天"))</f>
        <v/>
      </c>
      <c r="K28" s="17" t="str">
        <f>IF(A28="","",SUMIFS(应收明细账龄!$L$4:$L$213,应收明细账龄!$C$4:$C$213,A28,应收明细账龄!$N$4:$N$213,"逾期90天以上"))</f>
        <v/>
      </c>
      <c r="L28" s="17" t="str">
        <f t="shared" si="1"/>
        <v/>
      </c>
      <c r="M28" t="str">
        <f t="shared" si="2"/>
        <v/>
      </c>
      <c r="N28" t="str">
        <f t="shared" si="3"/>
        <v/>
      </c>
      <c r="O28" t="str">
        <f>IF(A28="","",IFERROR(VLOOKUP(A28,基础资料!$Y$5:$Z$204,2,FALSE),""))</f>
        <v/>
      </c>
      <c r="P28" s="54"/>
      <c r="Q28" s="60"/>
      <c r="R28" s="54"/>
    </row>
    <row r="29" spans="1:18">
      <c r="A29" t="str">
        <f>IF(基础资料!Y29="","",基础资料!Y29)</f>
        <v/>
      </c>
      <c r="B29" t="str">
        <f>IF(A29="","",IFERROR(VLOOKUP(A29,基础资料!$Y$5:$AA$204,3,FALSE),0))</f>
        <v/>
      </c>
      <c r="C29" s="17" t="str">
        <f>IF(A29="","",SUMIFS(期初数据!$H$5:$H$14,期初数据!$F$5:$F$14,A29)+SUMIFS(销售录入!$I$4:$I$203,销售录入!$C$4:$C$203,A29,销售录入!$A$4:$A$203,"&lt;"&amp;EOMONTH($B$2,-1)+1)-SUMIFS(资金流水!$J$4:$J$203,资金流水!$F$4:$F$203,A29,资金流水!$D$4:$D$203,"客户回款",资金流水!$A$4:$A$203,"&lt;"&amp;EOMONTH($B$2,-1)+1))</f>
        <v/>
      </c>
      <c r="D29" s="17" t="str">
        <f>IF(A29="","",SUMIFS(销售录入!$I$4:$I$203,销售录入!$C$4:$C$203,A29,销售录入!$B$4:$B$203,TEXT($B$2,"yyyy-mm")))</f>
        <v/>
      </c>
      <c r="E29" s="17" t="str">
        <f>IF(A29="","",SUMIFS(资金流水!$J$4:$J$203,资金流水!$F$4:$F$203,A29,资金流水!$D$4:$D$203,"客户回款",资金流水!$B$4:$B$203,TEXT($B$2,"yyyy-mm")))</f>
        <v/>
      </c>
      <c r="F29" s="17" t="str">
        <f>IF(A29="","",SUMIFS(应收明细账龄!$L$4:$L$213,应收明细账龄!$C$4:$C$213,A29))</f>
        <v/>
      </c>
      <c r="G29" s="17" t="str">
        <f>IF(A29="","",SUMIFS(应收明细账龄!$L$4:$L$213,应收明细账龄!$C$4:$C$213,A29,应收明细账龄!$N$4:$N$213,"未到期"))</f>
        <v/>
      </c>
      <c r="H29" s="17" t="str">
        <f>IF(A29="","",SUMIFS(应收明细账龄!$L$4:$L$213,应收明细账龄!$C$4:$C$213,A29,应收明细账龄!$N$4:$N$213,"逾期1-30天"))</f>
        <v/>
      </c>
      <c r="I29" s="17" t="str">
        <f>IF(A29="","",SUMIFS(应收明细账龄!$L$4:$L$213,应收明细账龄!$C$4:$C$213,A29,应收明细账龄!$N$4:$N$213,"逾期31-60天"))</f>
        <v/>
      </c>
      <c r="J29" s="17" t="str">
        <f>IF(A29="","",SUMIFS(应收明细账龄!$L$4:$L$213,应收明细账龄!$C$4:$C$213,A29,应收明细账龄!$N$4:$N$213,"逾期61-90天"))</f>
        <v/>
      </c>
      <c r="K29" s="17" t="str">
        <f>IF(A29="","",SUMIFS(应收明细账龄!$L$4:$L$213,应收明细账龄!$C$4:$C$213,A29,应收明细账龄!$N$4:$N$213,"逾期90天以上"))</f>
        <v/>
      </c>
      <c r="L29" s="17" t="str">
        <f t="shared" si="1"/>
        <v/>
      </c>
      <c r="M29" t="str">
        <f t="shared" si="2"/>
        <v/>
      </c>
      <c r="N29" t="str">
        <f t="shared" si="3"/>
        <v/>
      </c>
      <c r="O29" t="str">
        <f>IF(A29="","",IFERROR(VLOOKUP(A29,基础资料!$Y$5:$Z$204,2,FALSE),""))</f>
        <v/>
      </c>
      <c r="P29" s="54"/>
      <c r="Q29" s="60"/>
      <c r="R29" s="54"/>
    </row>
    <row r="30" spans="1:18">
      <c r="A30" t="str">
        <f>IF(基础资料!Y30="","",基础资料!Y30)</f>
        <v/>
      </c>
      <c r="B30" t="str">
        <f>IF(A30="","",IFERROR(VLOOKUP(A30,基础资料!$Y$5:$AA$204,3,FALSE),0))</f>
        <v/>
      </c>
      <c r="C30" s="17" t="str">
        <f>IF(A30="","",SUMIFS(期初数据!$H$5:$H$14,期初数据!$F$5:$F$14,A30)+SUMIFS(销售录入!$I$4:$I$203,销售录入!$C$4:$C$203,A30,销售录入!$A$4:$A$203,"&lt;"&amp;EOMONTH($B$2,-1)+1)-SUMIFS(资金流水!$J$4:$J$203,资金流水!$F$4:$F$203,A30,资金流水!$D$4:$D$203,"客户回款",资金流水!$A$4:$A$203,"&lt;"&amp;EOMONTH($B$2,-1)+1))</f>
        <v/>
      </c>
      <c r="D30" s="17" t="str">
        <f>IF(A30="","",SUMIFS(销售录入!$I$4:$I$203,销售录入!$C$4:$C$203,A30,销售录入!$B$4:$B$203,TEXT($B$2,"yyyy-mm")))</f>
        <v/>
      </c>
      <c r="E30" s="17" t="str">
        <f>IF(A30="","",SUMIFS(资金流水!$J$4:$J$203,资金流水!$F$4:$F$203,A30,资金流水!$D$4:$D$203,"客户回款",资金流水!$B$4:$B$203,TEXT($B$2,"yyyy-mm")))</f>
        <v/>
      </c>
      <c r="F30" s="17" t="str">
        <f>IF(A30="","",SUMIFS(应收明细账龄!$L$4:$L$213,应收明细账龄!$C$4:$C$213,A30))</f>
        <v/>
      </c>
      <c r="G30" s="17" t="str">
        <f>IF(A30="","",SUMIFS(应收明细账龄!$L$4:$L$213,应收明细账龄!$C$4:$C$213,A30,应收明细账龄!$N$4:$N$213,"未到期"))</f>
        <v/>
      </c>
      <c r="H30" s="17" t="str">
        <f>IF(A30="","",SUMIFS(应收明细账龄!$L$4:$L$213,应收明细账龄!$C$4:$C$213,A30,应收明细账龄!$N$4:$N$213,"逾期1-30天"))</f>
        <v/>
      </c>
      <c r="I30" s="17" t="str">
        <f>IF(A30="","",SUMIFS(应收明细账龄!$L$4:$L$213,应收明细账龄!$C$4:$C$213,A30,应收明细账龄!$N$4:$N$213,"逾期31-60天"))</f>
        <v/>
      </c>
      <c r="J30" s="17" t="str">
        <f>IF(A30="","",SUMIFS(应收明细账龄!$L$4:$L$213,应收明细账龄!$C$4:$C$213,A30,应收明细账龄!$N$4:$N$213,"逾期61-90天"))</f>
        <v/>
      </c>
      <c r="K30" s="17" t="str">
        <f>IF(A30="","",SUMIFS(应收明细账龄!$L$4:$L$213,应收明细账龄!$C$4:$C$213,A30,应收明细账龄!$N$4:$N$213,"逾期90天以上"))</f>
        <v/>
      </c>
      <c r="L30" s="17" t="str">
        <f t="shared" si="1"/>
        <v/>
      </c>
      <c r="M30" t="str">
        <f t="shared" si="2"/>
        <v/>
      </c>
      <c r="N30" t="str">
        <f t="shared" si="3"/>
        <v/>
      </c>
      <c r="O30" t="str">
        <f>IF(A30="","",IFERROR(VLOOKUP(A30,基础资料!$Y$5:$Z$204,2,FALSE),""))</f>
        <v/>
      </c>
      <c r="P30" s="54"/>
      <c r="Q30" s="60"/>
      <c r="R30" s="54"/>
    </row>
    <row r="31" spans="1:18">
      <c r="A31" t="str">
        <f>IF(基础资料!Y31="","",基础资料!Y31)</f>
        <v/>
      </c>
      <c r="B31" t="str">
        <f>IF(A31="","",IFERROR(VLOOKUP(A31,基础资料!$Y$5:$AA$204,3,FALSE),0))</f>
        <v/>
      </c>
      <c r="C31" s="17" t="str">
        <f>IF(A31="","",SUMIFS(期初数据!$H$5:$H$14,期初数据!$F$5:$F$14,A31)+SUMIFS(销售录入!$I$4:$I$203,销售录入!$C$4:$C$203,A31,销售录入!$A$4:$A$203,"&lt;"&amp;EOMONTH($B$2,-1)+1)-SUMIFS(资金流水!$J$4:$J$203,资金流水!$F$4:$F$203,A31,资金流水!$D$4:$D$203,"客户回款",资金流水!$A$4:$A$203,"&lt;"&amp;EOMONTH($B$2,-1)+1))</f>
        <v/>
      </c>
      <c r="D31" s="17" t="str">
        <f>IF(A31="","",SUMIFS(销售录入!$I$4:$I$203,销售录入!$C$4:$C$203,A31,销售录入!$B$4:$B$203,TEXT($B$2,"yyyy-mm")))</f>
        <v/>
      </c>
      <c r="E31" s="17" t="str">
        <f>IF(A31="","",SUMIFS(资金流水!$J$4:$J$203,资金流水!$F$4:$F$203,A31,资金流水!$D$4:$D$203,"客户回款",资金流水!$B$4:$B$203,TEXT($B$2,"yyyy-mm")))</f>
        <v/>
      </c>
      <c r="F31" s="17" t="str">
        <f>IF(A31="","",SUMIFS(应收明细账龄!$L$4:$L$213,应收明细账龄!$C$4:$C$213,A31))</f>
        <v/>
      </c>
      <c r="G31" s="17" t="str">
        <f>IF(A31="","",SUMIFS(应收明细账龄!$L$4:$L$213,应收明细账龄!$C$4:$C$213,A31,应收明细账龄!$N$4:$N$213,"未到期"))</f>
        <v/>
      </c>
      <c r="H31" s="17" t="str">
        <f>IF(A31="","",SUMIFS(应收明细账龄!$L$4:$L$213,应收明细账龄!$C$4:$C$213,A31,应收明细账龄!$N$4:$N$213,"逾期1-30天"))</f>
        <v/>
      </c>
      <c r="I31" s="17" t="str">
        <f>IF(A31="","",SUMIFS(应收明细账龄!$L$4:$L$213,应收明细账龄!$C$4:$C$213,A31,应收明细账龄!$N$4:$N$213,"逾期31-60天"))</f>
        <v/>
      </c>
      <c r="J31" s="17" t="str">
        <f>IF(A31="","",SUMIFS(应收明细账龄!$L$4:$L$213,应收明细账龄!$C$4:$C$213,A31,应收明细账龄!$N$4:$N$213,"逾期61-90天"))</f>
        <v/>
      </c>
      <c r="K31" s="17" t="str">
        <f>IF(A31="","",SUMIFS(应收明细账龄!$L$4:$L$213,应收明细账龄!$C$4:$C$213,A31,应收明细账龄!$N$4:$N$213,"逾期90天以上"))</f>
        <v/>
      </c>
      <c r="L31" s="17" t="str">
        <f t="shared" si="1"/>
        <v/>
      </c>
      <c r="M31" t="str">
        <f t="shared" si="2"/>
        <v/>
      </c>
      <c r="N31" t="str">
        <f t="shared" si="3"/>
        <v/>
      </c>
      <c r="O31" t="str">
        <f>IF(A31="","",IFERROR(VLOOKUP(A31,基础资料!$Y$5:$Z$204,2,FALSE),""))</f>
        <v/>
      </c>
      <c r="P31" s="54"/>
      <c r="Q31" s="60"/>
      <c r="R31" s="54"/>
    </row>
    <row r="32" spans="1:18">
      <c r="A32" t="str">
        <f>IF(基础资料!Y32="","",基础资料!Y32)</f>
        <v/>
      </c>
      <c r="B32" t="str">
        <f>IF(A32="","",IFERROR(VLOOKUP(A32,基础资料!$Y$5:$AA$204,3,FALSE),0))</f>
        <v/>
      </c>
      <c r="C32" s="17" t="str">
        <f>IF(A32="","",SUMIFS(期初数据!$H$5:$H$14,期初数据!$F$5:$F$14,A32)+SUMIFS(销售录入!$I$4:$I$203,销售录入!$C$4:$C$203,A32,销售录入!$A$4:$A$203,"&lt;"&amp;EOMONTH($B$2,-1)+1)-SUMIFS(资金流水!$J$4:$J$203,资金流水!$F$4:$F$203,A32,资金流水!$D$4:$D$203,"客户回款",资金流水!$A$4:$A$203,"&lt;"&amp;EOMONTH($B$2,-1)+1))</f>
        <v/>
      </c>
      <c r="D32" s="17" t="str">
        <f>IF(A32="","",SUMIFS(销售录入!$I$4:$I$203,销售录入!$C$4:$C$203,A32,销售录入!$B$4:$B$203,TEXT($B$2,"yyyy-mm")))</f>
        <v/>
      </c>
      <c r="E32" s="17" t="str">
        <f>IF(A32="","",SUMIFS(资金流水!$J$4:$J$203,资金流水!$F$4:$F$203,A32,资金流水!$D$4:$D$203,"客户回款",资金流水!$B$4:$B$203,TEXT($B$2,"yyyy-mm")))</f>
        <v/>
      </c>
      <c r="F32" s="17" t="str">
        <f>IF(A32="","",SUMIFS(应收明细账龄!$L$4:$L$213,应收明细账龄!$C$4:$C$213,A32))</f>
        <v/>
      </c>
      <c r="G32" s="17" t="str">
        <f>IF(A32="","",SUMIFS(应收明细账龄!$L$4:$L$213,应收明细账龄!$C$4:$C$213,A32,应收明细账龄!$N$4:$N$213,"未到期"))</f>
        <v/>
      </c>
      <c r="H32" s="17" t="str">
        <f>IF(A32="","",SUMIFS(应收明细账龄!$L$4:$L$213,应收明细账龄!$C$4:$C$213,A32,应收明细账龄!$N$4:$N$213,"逾期1-30天"))</f>
        <v/>
      </c>
      <c r="I32" s="17" t="str">
        <f>IF(A32="","",SUMIFS(应收明细账龄!$L$4:$L$213,应收明细账龄!$C$4:$C$213,A32,应收明细账龄!$N$4:$N$213,"逾期31-60天"))</f>
        <v/>
      </c>
      <c r="J32" s="17" t="str">
        <f>IF(A32="","",SUMIFS(应收明细账龄!$L$4:$L$213,应收明细账龄!$C$4:$C$213,A32,应收明细账龄!$N$4:$N$213,"逾期61-90天"))</f>
        <v/>
      </c>
      <c r="K32" s="17" t="str">
        <f>IF(A32="","",SUMIFS(应收明细账龄!$L$4:$L$213,应收明细账龄!$C$4:$C$213,A32,应收明细账龄!$N$4:$N$213,"逾期90天以上"))</f>
        <v/>
      </c>
      <c r="L32" s="17" t="str">
        <f t="shared" si="1"/>
        <v/>
      </c>
      <c r="M32" t="str">
        <f t="shared" si="2"/>
        <v/>
      </c>
      <c r="N32" t="str">
        <f t="shared" si="3"/>
        <v/>
      </c>
      <c r="O32" t="str">
        <f>IF(A32="","",IFERROR(VLOOKUP(A32,基础资料!$Y$5:$Z$204,2,FALSE),""))</f>
        <v/>
      </c>
      <c r="P32" s="54"/>
      <c r="Q32" s="60"/>
      <c r="R32" s="54"/>
    </row>
    <row r="33" spans="1:18">
      <c r="A33" t="str">
        <f>IF(基础资料!Y33="","",基础资料!Y33)</f>
        <v/>
      </c>
      <c r="B33" t="str">
        <f>IF(A33="","",IFERROR(VLOOKUP(A33,基础资料!$Y$5:$AA$204,3,FALSE),0))</f>
        <v/>
      </c>
      <c r="C33" s="17" t="str">
        <f>IF(A33="","",SUMIFS(期初数据!$H$5:$H$14,期初数据!$F$5:$F$14,A33)+SUMIFS(销售录入!$I$4:$I$203,销售录入!$C$4:$C$203,A33,销售录入!$A$4:$A$203,"&lt;"&amp;EOMONTH($B$2,-1)+1)-SUMIFS(资金流水!$J$4:$J$203,资金流水!$F$4:$F$203,A33,资金流水!$D$4:$D$203,"客户回款",资金流水!$A$4:$A$203,"&lt;"&amp;EOMONTH($B$2,-1)+1))</f>
        <v/>
      </c>
      <c r="D33" s="17" t="str">
        <f>IF(A33="","",SUMIFS(销售录入!$I$4:$I$203,销售录入!$C$4:$C$203,A33,销售录入!$B$4:$B$203,TEXT($B$2,"yyyy-mm")))</f>
        <v/>
      </c>
      <c r="E33" s="17" t="str">
        <f>IF(A33="","",SUMIFS(资金流水!$J$4:$J$203,资金流水!$F$4:$F$203,A33,资金流水!$D$4:$D$203,"客户回款",资金流水!$B$4:$B$203,TEXT($B$2,"yyyy-mm")))</f>
        <v/>
      </c>
      <c r="F33" s="17" t="str">
        <f>IF(A33="","",SUMIFS(应收明细账龄!$L$4:$L$213,应收明细账龄!$C$4:$C$213,A33))</f>
        <v/>
      </c>
      <c r="G33" s="17" t="str">
        <f>IF(A33="","",SUMIFS(应收明细账龄!$L$4:$L$213,应收明细账龄!$C$4:$C$213,A33,应收明细账龄!$N$4:$N$213,"未到期"))</f>
        <v/>
      </c>
      <c r="H33" s="17" t="str">
        <f>IF(A33="","",SUMIFS(应收明细账龄!$L$4:$L$213,应收明细账龄!$C$4:$C$213,A33,应收明细账龄!$N$4:$N$213,"逾期1-30天"))</f>
        <v/>
      </c>
      <c r="I33" s="17" t="str">
        <f>IF(A33="","",SUMIFS(应收明细账龄!$L$4:$L$213,应收明细账龄!$C$4:$C$213,A33,应收明细账龄!$N$4:$N$213,"逾期31-60天"))</f>
        <v/>
      </c>
      <c r="J33" s="17" t="str">
        <f>IF(A33="","",SUMIFS(应收明细账龄!$L$4:$L$213,应收明细账龄!$C$4:$C$213,A33,应收明细账龄!$N$4:$N$213,"逾期61-90天"))</f>
        <v/>
      </c>
      <c r="K33" s="17" t="str">
        <f>IF(A33="","",SUMIFS(应收明细账龄!$L$4:$L$213,应收明细账龄!$C$4:$C$213,A33,应收明细账龄!$N$4:$N$213,"逾期90天以上"))</f>
        <v/>
      </c>
      <c r="L33" s="17" t="str">
        <f t="shared" si="1"/>
        <v/>
      </c>
      <c r="M33" t="str">
        <f t="shared" si="2"/>
        <v/>
      </c>
      <c r="N33" t="str">
        <f t="shared" si="3"/>
        <v/>
      </c>
      <c r="O33" t="str">
        <f>IF(A33="","",IFERROR(VLOOKUP(A33,基础资料!$Y$5:$Z$204,2,FALSE),""))</f>
        <v/>
      </c>
      <c r="P33" s="54"/>
      <c r="Q33" s="60"/>
      <c r="R33" s="54"/>
    </row>
    <row r="34" spans="1:18">
      <c r="A34" t="str">
        <f>IF(基础资料!Y34="","",基础资料!Y34)</f>
        <v/>
      </c>
      <c r="B34" t="str">
        <f>IF(A34="","",IFERROR(VLOOKUP(A34,基础资料!$Y$5:$AA$204,3,FALSE),0))</f>
        <v/>
      </c>
      <c r="C34" s="17" t="str">
        <f>IF(A34="","",SUMIFS(期初数据!$H$5:$H$14,期初数据!$F$5:$F$14,A34)+SUMIFS(销售录入!$I$4:$I$203,销售录入!$C$4:$C$203,A34,销售录入!$A$4:$A$203,"&lt;"&amp;EOMONTH($B$2,-1)+1)-SUMIFS(资金流水!$J$4:$J$203,资金流水!$F$4:$F$203,A34,资金流水!$D$4:$D$203,"客户回款",资金流水!$A$4:$A$203,"&lt;"&amp;EOMONTH($B$2,-1)+1))</f>
        <v/>
      </c>
      <c r="D34" s="17" t="str">
        <f>IF(A34="","",SUMIFS(销售录入!$I$4:$I$203,销售录入!$C$4:$C$203,A34,销售录入!$B$4:$B$203,TEXT($B$2,"yyyy-mm")))</f>
        <v/>
      </c>
      <c r="E34" s="17" t="str">
        <f>IF(A34="","",SUMIFS(资金流水!$J$4:$J$203,资金流水!$F$4:$F$203,A34,资金流水!$D$4:$D$203,"客户回款",资金流水!$B$4:$B$203,TEXT($B$2,"yyyy-mm")))</f>
        <v/>
      </c>
      <c r="F34" s="17" t="str">
        <f>IF(A34="","",SUMIFS(应收明细账龄!$L$4:$L$213,应收明细账龄!$C$4:$C$213,A34))</f>
        <v/>
      </c>
      <c r="G34" s="17" t="str">
        <f>IF(A34="","",SUMIFS(应收明细账龄!$L$4:$L$213,应收明细账龄!$C$4:$C$213,A34,应收明细账龄!$N$4:$N$213,"未到期"))</f>
        <v/>
      </c>
      <c r="H34" s="17" t="str">
        <f>IF(A34="","",SUMIFS(应收明细账龄!$L$4:$L$213,应收明细账龄!$C$4:$C$213,A34,应收明细账龄!$N$4:$N$213,"逾期1-30天"))</f>
        <v/>
      </c>
      <c r="I34" s="17" t="str">
        <f>IF(A34="","",SUMIFS(应收明细账龄!$L$4:$L$213,应收明细账龄!$C$4:$C$213,A34,应收明细账龄!$N$4:$N$213,"逾期31-60天"))</f>
        <v/>
      </c>
      <c r="J34" s="17" t="str">
        <f>IF(A34="","",SUMIFS(应收明细账龄!$L$4:$L$213,应收明细账龄!$C$4:$C$213,A34,应收明细账龄!$N$4:$N$213,"逾期61-90天"))</f>
        <v/>
      </c>
      <c r="K34" s="17" t="str">
        <f>IF(A34="","",SUMIFS(应收明细账龄!$L$4:$L$213,应收明细账龄!$C$4:$C$213,A34,应收明细账龄!$N$4:$N$213,"逾期90天以上"))</f>
        <v/>
      </c>
      <c r="L34" s="17" t="str">
        <f t="shared" si="1"/>
        <v/>
      </c>
      <c r="M34" t="str">
        <f t="shared" si="2"/>
        <v/>
      </c>
      <c r="N34" t="str">
        <f t="shared" si="3"/>
        <v/>
      </c>
      <c r="O34" t="str">
        <f>IF(A34="","",IFERROR(VLOOKUP(A34,基础资料!$Y$5:$Z$204,2,FALSE),""))</f>
        <v/>
      </c>
      <c r="P34" s="54"/>
      <c r="Q34" s="60"/>
      <c r="R34" s="54"/>
    </row>
    <row r="35" spans="1:18">
      <c r="A35" t="str">
        <f>IF(基础资料!Y35="","",基础资料!Y35)</f>
        <v/>
      </c>
      <c r="B35" t="str">
        <f>IF(A35="","",IFERROR(VLOOKUP(A35,基础资料!$Y$5:$AA$204,3,FALSE),0))</f>
        <v/>
      </c>
      <c r="C35" s="17" t="str">
        <f>IF(A35="","",SUMIFS(期初数据!$H$5:$H$14,期初数据!$F$5:$F$14,A35)+SUMIFS(销售录入!$I$4:$I$203,销售录入!$C$4:$C$203,A35,销售录入!$A$4:$A$203,"&lt;"&amp;EOMONTH($B$2,-1)+1)-SUMIFS(资金流水!$J$4:$J$203,资金流水!$F$4:$F$203,A35,资金流水!$D$4:$D$203,"客户回款",资金流水!$A$4:$A$203,"&lt;"&amp;EOMONTH($B$2,-1)+1))</f>
        <v/>
      </c>
      <c r="D35" s="17" t="str">
        <f>IF(A35="","",SUMIFS(销售录入!$I$4:$I$203,销售录入!$C$4:$C$203,A35,销售录入!$B$4:$B$203,TEXT($B$2,"yyyy-mm")))</f>
        <v/>
      </c>
      <c r="E35" s="17" t="str">
        <f>IF(A35="","",SUMIFS(资金流水!$J$4:$J$203,资金流水!$F$4:$F$203,A35,资金流水!$D$4:$D$203,"客户回款",资金流水!$B$4:$B$203,TEXT($B$2,"yyyy-mm")))</f>
        <v/>
      </c>
      <c r="F35" s="17" t="str">
        <f>IF(A35="","",SUMIFS(应收明细账龄!$L$4:$L$213,应收明细账龄!$C$4:$C$213,A35))</f>
        <v/>
      </c>
      <c r="G35" s="17" t="str">
        <f>IF(A35="","",SUMIFS(应收明细账龄!$L$4:$L$213,应收明细账龄!$C$4:$C$213,A35,应收明细账龄!$N$4:$N$213,"未到期"))</f>
        <v/>
      </c>
      <c r="H35" s="17" t="str">
        <f>IF(A35="","",SUMIFS(应收明细账龄!$L$4:$L$213,应收明细账龄!$C$4:$C$213,A35,应收明细账龄!$N$4:$N$213,"逾期1-30天"))</f>
        <v/>
      </c>
      <c r="I35" s="17" t="str">
        <f>IF(A35="","",SUMIFS(应收明细账龄!$L$4:$L$213,应收明细账龄!$C$4:$C$213,A35,应收明细账龄!$N$4:$N$213,"逾期31-60天"))</f>
        <v/>
      </c>
      <c r="J35" s="17" t="str">
        <f>IF(A35="","",SUMIFS(应收明细账龄!$L$4:$L$213,应收明细账龄!$C$4:$C$213,A35,应收明细账龄!$N$4:$N$213,"逾期61-90天"))</f>
        <v/>
      </c>
      <c r="K35" s="17" t="str">
        <f>IF(A35="","",SUMIFS(应收明细账龄!$L$4:$L$213,应收明细账龄!$C$4:$C$213,A35,应收明细账龄!$N$4:$N$213,"逾期90天以上"))</f>
        <v/>
      </c>
      <c r="L35" s="17" t="str">
        <f t="shared" si="1"/>
        <v/>
      </c>
      <c r="M35" t="str">
        <f t="shared" si="2"/>
        <v/>
      </c>
      <c r="N35" t="str">
        <f t="shared" si="3"/>
        <v/>
      </c>
      <c r="O35" t="str">
        <f>IF(A35="","",IFERROR(VLOOKUP(A35,基础资料!$Y$5:$Z$204,2,FALSE),""))</f>
        <v/>
      </c>
      <c r="P35" s="54"/>
      <c r="Q35" s="60"/>
      <c r="R35" s="54"/>
    </row>
    <row r="36" spans="1:18">
      <c r="A36" t="str">
        <f>IF(基础资料!Y36="","",基础资料!Y36)</f>
        <v/>
      </c>
      <c r="B36" t="str">
        <f>IF(A36="","",IFERROR(VLOOKUP(A36,基础资料!$Y$5:$AA$204,3,FALSE),0))</f>
        <v/>
      </c>
      <c r="C36" s="17" t="str">
        <f>IF(A36="","",SUMIFS(期初数据!$H$5:$H$14,期初数据!$F$5:$F$14,A36)+SUMIFS(销售录入!$I$4:$I$203,销售录入!$C$4:$C$203,A36,销售录入!$A$4:$A$203,"&lt;"&amp;EOMONTH($B$2,-1)+1)-SUMIFS(资金流水!$J$4:$J$203,资金流水!$F$4:$F$203,A36,资金流水!$D$4:$D$203,"客户回款",资金流水!$A$4:$A$203,"&lt;"&amp;EOMONTH($B$2,-1)+1))</f>
        <v/>
      </c>
      <c r="D36" s="17" t="str">
        <f>IF(A36="","",SUMIFS(销售录入!$I$4:$I$203,销售录入!$C$4:$C$203,A36,销售录入!$B$4:$B$203,TEXT($B$2,"yyyy-mm")))</f>
        <v/>
      </c>
      <c r="E36" s="17" t="str">
        <f>IF(A36="","",SUMIFS(资金流水!$J$4:$J$203,资金流水!$F$4:$F$203,A36,资金流水!$D$4:$D$203,"客户回款",资金流水!$B$4:$B$203,TEXT($B$2,"yyyy-mm")))</f>
        <v/>
      </c>
      <c r="F36" s="17" t="str">
        <f>IF(A36="","",SUMIFS(应收明细账龄!$L$4:$L$213,应收明细账龄!$C$4:$C$213,A36))</f>
        <v/>
      </c>
      <c r="G36" s="17" t="str">
        <f>IF(A36="","",SUMIFS(应收明细账龄!$L$4:$L$213,应收明细账龄!$C$4:$C$213,A36,应收明细账龄!$N$4:$N$213,"未到期"))</f>
        <v/>
      </c>
      <c r="H36" s="17" t="str">
        <f>IF(A36="","",SUMIFS(应收明细账龄!$L$4:$L$213,应收明细账龄!$C$4:$C$213,A36,应收明细账龄!$N$4:$N$213,"逾期1-30天"))</f>
        <v/>
      </c>
      <c r="I36" s="17" t="str">
        <f>IF(A36="","",SUMIFS(应收明细账龄!$L$4:$L$213,应收明细账龄!$C$4:$C$213,A36,应收明细账龄!$N$4:$N$213,"逾期31-60天"))</f>
        <v/>
      </c>
      <c r="J36" s="17" t="str">
        <f>IF(A36="","",SUMIFS(应收明细账龄!$L$4:$L$213,应收明细账龄!$C$4:$C$213,A36,应收明细账龄!$N$4:$N$213,"逾期61-90天"))</f>
        <v/>
      </c>
      <c r="K36" s="17" t="str">
        <f>IF(A36="","",SUMIFS(应收明细账龄!$L$4:$L$213,应收明细账龄!$C$4:$C$213,A36,应收明细账龄!$N$4:$N$213,"逾期90天以上"))</f>
        <v/>
      </c>
      <c r="L36" s="17" t="str">
        <f t="shared" si="1"/>
        <v/>
      </c>
      <c r="M36" t="str">
        <f t="shared" si="2"/>
        <v/>
      </c>
      <c r="N36" t="str">
        <f t="shared" si="3"/>
        <v/>
      </c>
      <c r="O36" t="str">
        <f>IF(A36="","",IFERROR(VLOOKUP(A36,基础资料!$Y$5:$Z$204,2,FALSE),""))</f>
        <v/>
      </c>
      <c r="P36" s="54"/>
      <c r="Q36" s="60"/>
      <c r="R36" s="54"/>
    </row>
    <row r="37" spans="1:18">
      <c r="A37" t="str">
        <f>IF(基础资料!Y37="","",基础资料!Y37)</f>
        <v/>
      </c>
      <c r="B37" t="str">
        <f>IF(A37="","",IFERROR(VLOOKUP(A37,基础资料!$Y$5:$AA$204,3,FALSE),0))</f>
        <v/>
      </c>
      <c r="C37" s="17" t="str">
        <f>IF(A37="","",SUMIFS(期初数据!$H$5:$H$14,期初数据!$F$5:$F$14,A37)+SUMIFS(销售录入!$I$4:$I$203,销售录入!$C$4:$C$203,A37,销售录入!$A$4:$A$203,"&lt;"&amp;EOMONTH($B$2,-1)+1)-SUMIFS(资金流水!$J$4:$J$203,资金流水!$F$4:$F$203,A37,资金流水!$D$4:$D$203,"客户回款",资金流水!$A$4:$A$203,"&lt;"&amp;EOMONTH($B$2,-1)+1))</f>
        <v/>
      </c>
      <c r="D37" s="17" t="str">
        <f>IF(A37="","",SUMIFS(销售录入!$I$4:$I$203,销售录入!$C$4:$C$203,A37,销售录入!$B$4:$B$203,TEXT($B$2,"yyyy-mm")))</f>
        <v/>
      </c>
      <c r="E37" s="17" t="str">
        <f>IF(A37="","",SUMIFS(资金流水!$J$4:$J$203,资金流水!$F$4:$F$203,A37,资金流水!$D$4:$D$203,"客户回款",资金流水!$B$4:$B$203,TEXT($B$2,"yyyy-mm")))</f>
        <v/>
      </c>
      <c r="F37" s="17" t="str">
        <f>IF(A37="","",SUMIFS(应收明细账龄!$L$4:$L$213,应收明细账龄!$C$4:$C$213,A37))</f>
        <v/>
      </c>
      <c r="G37" s="17" t="str">
        <f>IF(A37="","",SUMIFS(应收明细账龄!$L$4:$L$213,应收明细账龄!$C$4:$C$213,A37,应收明细账龄!$N$4:$N$213,"未到期"))</f>
        <v/>
      </c>
      <c r="H37" s="17" t="str">
        <f>IF(A37="","",SUMIFS(应收明细账龄!$L$4:$L$213,应收明细账龄!$C$4:$C$213,A37,应收明细账龄!$N$4:$N$213,"逾期1-30天"))</f>
        <v/>
      </c>
      <c r="I37" s="17" t="str">
        <f>IF(A37="","",SUMIFS(应收明细账龄!$L$4:$L$213,应收明细账龄!$C$4:$C$213,A37,应收明细账龄!$N$4:$N$213,"逾期31-60天"))</f>
        <v/>
      </c>
      <c r="J37" s="17" t="str">
        <f>IF(A37="","",SUMIFS(应收明细账龄!$L$4:$L$213,应收明细账龄!$C$4:$C$213,A37,应收明细账龄!$N$4:$N$213,"逾期61-90天"))</f>
        <v/>
      </c>
      <c r="K37" s="17" t="str">
        <f>IF(A37="","",SUMIFS(应收明细账龄!$L$4:$L$213,应收明细账龄!$C$4:$C$213,A37,应收明细账龄!$N$4:$N$213,"逾期90天以上"))</f>
        <v/>
      </c>
      <c r="L37" s="17" t="str">
        <f t="shared" si="1"/>
        <v/>
      </c>
      <c r="M37" t="str">
        <f t="shared" si="2"/>
        <v/>
      </c>
      <c r="N37" t="str">
        <f t="shared" si="3"/>
        <v/>
      </c>
      <c r="O37" t="str">
        <f>IF(A37="","",IFERROR(VLOOKUP(A37,基础资料!$Y$5:$Z$204,2,FALSE),""))</f>
        <v/>
      </c>
      <c r="P37" s="54"/>
      <c r="Q37" s="60"/>
      <c r="R37" s="54"/>
    </row>
    <row r="38" spans="1:18">
      <c r="A38" t="str">
        <f>IF(基础资料!Y38="","",基础资料!Y38)</f>
        <v/>
      </c>
      <c r="B38" t="str">
        <f>IF(A38="","",IFERROR(VLOOKUP(A38,基础资料!$Y$5:$AA$204,3,FALSE),0))</f>
        <v/>
      </c>
      <c r="C38" s="17" t="str">
        <f>IF(A38="","",SUMIFS(期初数据!$H$5:$H$14,期初数据!$F$5:$F$14,A38)+SUMIFS(销售录入!$I$4:$I$203,销售录入!$C$4:$C$203,A38,销售录入!$A$4:$A$203,"&lt;"&amp;EOMONTH($B$2,-1)+1)-SUMIFS(资金流水!$J$4:$J$203,资金流水!$F$4:$F$203,A38,资金流水!$D$4:$D$203,"客户回款",资金流水!$A$4:$A$203,"&lt;"&amp;EOMONTH($B$2,-1)+1))</f>
        <v/>
      </c>
      <c r="D38" s="17" t="str">
        <f>IF(A38="","",SUMIFS(销售录入!$I$4:$I$203,销售录入!$C$4:$C$203,A38,销售录入!$B$4:$B$203,TEXT($B$2,"yyyy-mm")))</f>
        <v/>
      </c>
      <c r="E38" s="17" t="str">
        <f>IF(A38="","",SUMIFS(资金流水!$J$4:$J$203,资金流水!$F$4:$F$203,A38,资金流水!$D$4:$D$203,"客户回款",资金流水!$B$4:$B$203,TEXT($B$2,"yyyy-mm")))</f>
        <v/>
      </c>
      <c r="F38" s="17" t="str">
        <f>IF(A38="","",SUMIFS(应收明细账龄!$L$4:$L$213,应收明细账龄!$C$4:$C$213,A38))</f>
        <v/>
      </c>
      <c r="G38" s="17" t="str">
        <f>IF(A38="","",SUMIFS(应收明细账龄!$L$4:$L$213,应收明细账龄!$C$4:$C$213,A38,应收明细账龄!$N$4:$N$213,"未到期"))</f>
        <v/>
      </c>
      <c r="H38" s="17" t="str">
        <f>IF(A38="","",SUMIFS(应收明细账龄!$L$4:$L$213,应收明细账龄!$C$4:$C$213,A38,应收明细账龄!$N$4:$N$213,"逾期1-30天"))</f>
        <v/>
      </c>
      <c r="I38" s="17" t="str">
        <f>IF(A38="","",SUMIFS(应收明细账龄!$L$4:$L$213,应收明细账龄!$C$4:$C$213,A38,应收明细账龄!$N$4:$N$213,"逾期31-60天"))</f>
        <v/>
      </c>
      <c r="J38" s="17" t="str">
        <f>IF(A38="","",SUMIFS(应收明细账龄!$L$4:$L$213,应收明细账龄!$C$4:$C$213,A38,应收明细账龄!$N$4:$N$213,"逾期61-90天"))</f>
        <v/>
      </c>
      <c r="K38" s="17" t="str">
        <f>IF(A38="","",SUMIFS(应收明细账龄!$L$4:$L$213,应收明细账龄!$C$4:$C$213,A38,应收明细账龄!$N$4:$N$213,"逾期90天以上"))</f>
        <v/>
      </c>
      <c r="L38" s="17" t="str">
        <f t="shared" si="1"/>
        <v/>
      </c>
      <c r="M38" t="str">
        <f t="shared" si="2"/>
        <v/>
      </c>
      <c r="N38" t="str">
        <f t="shared" si="3"/>
        <v/>
      </c>
      <c r="O38" t="str">
        <f>IF(A38="","",IFERROR(VLOOKUP(A38,基础资料!$Y$5:$Z$204,2,FALSE),""))</f>
        <v/>
      </c>
      <c r="P38" s="54"/>
      <c r="Q38" s="60"/>
      <c r="R38" s="54"/>
    </row>
    <row r="39" spans="1:18">
      <c r="A39" t="str">
        <f>IF(基础资料!Y39="","",基础资料!Y39)</f>
        <v/>
      </c>
      <c r="B39" t="str">
        <f>IF(A39="","",IFERROR(VLOOKUP(A39,基础资料!$Y$5:$AA$204,3,FALSE),0))</f>
        <v/>
      </c>
      <c r="C39" s="17" t="str">
        <f>IF(A39="","",SUMIFS(期初数据!$H$5:$H$14,期初数据!$F$5:$F$14,A39)+SUMIFS(销售录入!$I$4:$I$203,销售录入!$C$4:$C$203,A39,销售录入!$A$4:$A$203,"&lt;"&amp;EOMONTH($B$2,-1)+1)-SUMIFS(资金流水!$J$4:$J$203,资金流水!$F$4:$F$203,A39,资金流水!$D$4:$D$203,"客户回款",资金流水!$A$4:$A$203,"&lt;"&amp;EOMONTH($B$2,-1)+1))</f>
        <v/>
      </c>
      <c r="D39" s="17" t="str">
        <f>IF(A39="","",SUMIFS(销售录入!$I$4:$I$203,销售录入!$C$4:$C$203,A39,销售录入!$B$4:$B$203,TEXT($B$2,"yyyy-mm")))</f>
        <v/>
      </c>
      <c r="E39" s="17" t="str">
        <f>IF(A39="","",SUMIFS(资金流水!$J$4:$J$203,资金流水!$F$4:$F$203,A39,资金流水!$D$4:$D$203,"客户回款",资金流水!$B$4:$B$203,TEXT($B$2,"yyyy-mm")))</f>
        <v/>
      </c>
      <c r="F39" s="17" t="str">
        <f>IF(A39="","",SUMIFS(应收明细账龄!$L$4:$L$213,应收明细账龄!$C$4:$C$213,A39))</f>
        <v/>
      </c>
      <c r="G39" s="17" t="str">
        <f>IF(A39="","",SUMIFS(应收明细账龄!$L$4:$L$213,应收明细账龄!$C$4:$C$213,A39,应收明细账龄!$N$4:$N$213,"未到期"))</f>
        <v/>
      </c>
      <c r="H39" s="17" t="str">
        <f>IF(A39="","",SUMIFS(应收明细账龄!$L$4:$L$213,应收明细账龄!$C$4:$C$213,A39,应收明细账龄!$N$4:$N$213,"逾期1-30天"))</f>
        <v/>
      </c>
      <c r="I39" s="17" t="str">
        <f>IF(A39="","",SUMIFS(应收明细账龄!$L$4:$L$213,应收明细账龄!$C$4:$C$213,A39,应收明细账龄!$N$4:$N$213,"逾期31-60天"))</f>
        <v/>
      </c>
      <c r="J39" s="17" t="str">
        <f>IF(A39="","",SUMIFS(应收明细账龄!$L$4:$L$213,应收明细账龄!$C$4:$C$213,A39,应收明细账龄!$N$4:$N$213,"逾期61-90天"))</f>
        <v/>
      </c>
      <c r="K39" s="17" t="str">
        <f>IF(A39="","",SUMIFS(应收明细账龄!$L$4:$L$213,应收明细账龄!$C$4:$C$213,A39,应收明细账龄!$N$4:$N$213,"逾期90天以上"))</f>
        <v/>
      </c>
      <c r="L39" s="17" t="str">
        <f t="shared" si="1"/>
        <v/>
      </c>
      <c r="M39" t="str">
        <f t="shared" si="2"/>
        <v/>
      </c>
      <c r="N39" t="str">
        <f t="shared" si="3"/>
        <v/>
      </c>
      <c r="O39" t="str">
        <f>IF(A39="","",IFERROR(VLOOKUP(A39,基础资料!$Y$5:$Z$204,2,FALSE),""))</f>
        <v/>
      </c>
      <c r="P39" s="54"/>
      <c r="Q39" s="60"/>
      <c r="R39" s="54"/>
    </row>
    <row r="40" spans="1:18">
      <c r="A40" t="str">
        <f>IF(基础资料!Y40="","",基础资料!Y40)</f>
        <v/>
      </c>
      <c r="B40" t="str">
        <f>IF(A40="","",IFERROR(VLOOKUP(A40,基础资料!$Y$5:$AA$204,3,FALSE),0))</f>
        <v/>
      </c>
      <c r="C40" s="17" t="str">
        <f>IF(A40="","",SUMIFS(期初数据!$H$5:$H$14,期初数据!$F$5:$F$14,A40)+SUMIFS(销售录入!$I$4:$I$203,销售录入!$C$4:$C$203,A40,销售录入!$A$4:$A$203,"&lt;"&amp;EOMONTH($B$2,-1)+1)-SUMIFS(资金流水!$J$4:$J$203,资金流水!$F$4:$F$203,A40,资金流水!$D$4:$D$203,"客户回款",资金流水!$A$4:$A$203,"&lt;"&amp;EOMONTH($B$2,-1)+1))</f>
        <v/>
      </c>
      <c r="D40" s="17" t="str">
        <f>IF(A40="","",SUMIFS(销售录入!$I$4:$I$203,销售录入!$C$4:$C$203,A40,销售录入!$B$4:$B$203,TEXT($B$2,"yyyy-mm")))</f>
        <v/>
      </c>
      <c r="E40" s="17" t="str">
        <f>IF(A40="","",SUMIFS(资金流水!$J$4:$J$203,资金流水!$F$4:$F$203,A40,资金流水!$D$4:$D$203,"客户回款",资金流水!$B$4:$B$203,TEXT($B$2,"yyyy-mm")))</f>
        <v/>
      </c>
      <c r="F40" s="17" t="str">
        <f>IF(A40="","",SUMIFS(应收明细账龄!$L$4:$L$213,应收明细账龄!$C$4:$C$213,A40))</f>
        <v/>
      </c>
      <c r="G40" s="17" t="str">
        <f>IF(A40="","",SUMIFS(应收明细账龄!$L$4:$L$213,应收明细账龄!$C$4:$C$213,A40,应收明细账龄!$N$4:$N$213,"未到期"))</f>
        <v/>
      </c>
      <c r="H40" s="17" t="str">
        <f>IF(A40="","",SUMIFS(应收明细账龄!$L$4:$L$213,应收明细账龄!$C$4:$C$213,A40,应收明细账龄!$N$4:$N$213,"逾期1-30天"))</f>
        <v/>
      </c>
      <c r="I40" s="17" t="str">
        <f>IF(A40="","",SUMIFS(应收明细账龄!$L$4:$L$213,应收明细账龄!$C$4:$C$213,A40,应收明细账龄!$N$4:$N$213,"逾期31-60天"))</f>
        <v/>
      </c>
      <c r="J40" s="17" t="str">
        <f>IF(A40="","",SUMIFS(应收明细账龄!$L$4:$L$213,应收明细账龄!$C$4:$C$213,A40,应收明细账龄!$N$4:$N$213,"逾期61-90天"))</f>
        <v/>
      </c>
      <c r="K40" s="17" t="str">
        <f>IF(A40="","",SUMIFS(应收明细账龄!$L$4:$L$213,应收明细账龄!$C$4:$C$213,A40,应收明细账龄!$N$4:$N$213,"逾期90天以上"))</f>
        <v/>
      </c>
      <c r="L40" s="17" t="str">
        <f t="shared" si="1"/>
        <v/>
      </c>
      <c r="M40" t="str">
        <f t="shared" si="2"/>
        <v/>
      </c>
      <c r="N40" t="str">
        <f t="shared" si="3"/>
        <v/>
      </c>
      <c r="O40" t="str">
        <f>IF(A40="","",IFERROR(VLOOKUP(A40,基础资料!$Y$5:$Z$204,2,FALSE),""))</f>
        <v/>
      </c>
      <c r="P40" s="54"/>
      <c r="Q40" s="60"/>
      <c r="R40" s="54"/>
    </row>
    <row r="41" spans="1:18">
      <c r="A41" t="str">
        <f>IF(基础资料!Y41="","",基础资料!Y41)</f>
        <v/>
      </c>
      <c r="B41" t="str">
        <f>IF(A41="","",IFERROR(VLOOKUP(A41,基础资料!$Y$5:$AA$204,3,FALSE),0))</f>
        <v/>
      </c>
      <c r="C41" s="17" t="str">
        <f>IF(A41="","",SUMIFS(期初数据!$H$5:$H$14,期初数据!$F$5:$F$14,A41)+SUMIFS(销售录入!$I$4:$I$203,销售录入!$C$4:$C$203,A41,销售录入!$A$4:$A$203,"&lt;"&amp;EOMONTH($B$2,-1)+1)-SUMIFS(资金流水!$J$4:$J$203,资金流水!$F$4:$F$203,A41,资金流水!$D$4:$D$203,"客户回款",资金流水!$A$4:$A$203,"&lt;"&amp;EOMONTH($B$2,-1)+1))</f>
        <v/>
      </c>
      <c r="D41" s="17" t="str">
        <f>IF(A41="","",SUMIFS(销售录入!$I$4:$I$203,销售录入!$C$4:$C$203,A41,销售录入!$B$4:$B$203,TEXT($B$2,"yyyy-mm")))</f>
        <v/>
      </c>
      <c r="E41" s="17" t="str">
        <f>IF(A41="","",SUMIFS(资金流水!$J$4:$J$203,资金流水!$F$4:$F$203,A41,资金流水!$D$4:$D$203,"客户回款",资金流水!$B$4:$B$203,TEXT($B$2,"yyyy-mm")))</f>
        <v/>
      </c>
      <c r="F41" s="17" t="str">
        <f>IF(A41="","",SUMIFS(应收明细账龄!$L$4:$L$213,应收明细账龄!$C$4:$C$213,A41))</f>
        <v/>
      </c>
      <c r="G41" s="17" t="str">
        <f>IF(A41="","",SUMIFS(应收明细账龄!$L$4:$L$213,应收明细账龄!$C$4:$C$213,A41,应收明细账龄!$N$4:$N$213,"未到期"))</f>
        <v/>
      </c>
      <c r="H41" s="17" t="str">
        <f>IF(A41="","",SUMIFS(应收明细账龄!$L$4:$L$213,应收明细账龄!$C$4:$C$213,A41,应收明细账龄!$N$4:$N$213,"逾期1-30天"))</f>
        <v/>
      </c>
      <c r="I41" s="17" t="str">
        <f>IF(A41="","",SUMIFS(应收明细账龄!$L$4:$L$213,应收明细账龄!$C$4:$C$213,A41,应收明细账龄!$N$4:$N$213,"逾期31-60天"))</f>
        <v/>
      </c>
      <c r="J41" s="17" t="str">
        <f>IF(A41="","",SUMIFS(应收明细账龄!$L$4:$L$213,应收明细账龄!$C$4:$C$213,A41,应收明细账龄!$N$4:$N$213,"逾期61-90天"))</f>
        <v/>
      </c>
      <c r="K41" s="17" t="str">
        <f>IF(A41="","",SUMIFS(应收明细账龄!$L$4:$L$213,应收明细账龄!$C$4:$C$213,A41,应收明细账龄!$N$4:$N$213,"逾期90天以上"))</f>
        <v/>
      </c>
      <c r="L41" s="17" t="str">
        <f t="shared" si="1"/>
        <v/>
      </c>
      <c r="M41" t="str">
        <f t="shared" si="2"/>
        <v/>
      </c>
      <c r="N41" t="str">
        <f t="shared" si="3"/>
        <v/>
      </c>
      <c r="O41" t="str">
        <f>IF(A41="","",IFERROR(VLOOKUP(A41,基础资料!$Y$5:$Z$204,2,FALSE),""))</f>
        <v/>
      </c>
      <c r="P41" s="54"/>
      <c r="Q41" s="60"/>
      <c r="R41" s="54"/>
    </row>
    <row r="42" spans="1:18">
      <c r="A42" t="str">
        <f>IF(基础资料!Y42="","",基础资料!Y42)</f>
        <v/>
      </c>
      <c r="B42" t="str">
        <f>IF(A42="","",IFERROR(VLOOKUP(A42,基础资料!$Y$5:$AA$204,3,FALSE),0))</f>
        <v/>
      </c>
      <c r="C42" s="17" t="str">
        <f>IF(A42="","",SUMIFS(期初数据!$H$5:$H$14,期初数据!$F$5:$F$14,A42)+SUMIFS(销售录入!$I$4:$I$203,销售录入!$C$4:$C$203,A42,销售录入!$A$4:$A$203,"&lt;"&amp;EOMONTH($B$2,-1)+1)-SUMIFS(资金流水!$J$4:$J$203,资金流水!$F$4:$F$203,A42,资金流水!$D$4:$D$203,"客户回款",资金流水!$A$4:$A$203,"&lt;"&amp;EOMONTH($B$2,-1)+1))</f>
        <v/>
      </c>
      <c r="D42" s="17" t="str">
        <f>IF(A42="","",SUMIFS(销售录入!$I$4:$I$203,销售录入!$C$4:$C$203,A42,销售录入!$B$4:$B$203,TEXT($B$2,"yyyy-mm")))</f>
        <v/>
      </c>
      <c r="E42" s="17" t="str">
        <f>IF(A42="","",SUMIFS(资金流水!$J$4:$J$203,资金流水!$F$4:$F$203,A42,资金流水!$D$4:$D$203,"客户回款",资金流水!$B$4:$B$203,TEXT($B$2,"yyyy-mm")))</f>
        <v/>
      </c>
      <c r="F42" s="17" t="str">
        <f>IF(A42="","",SUMIFS(应收明细账龄!$L$4:$L$213,应收明细账龄!$C$4:$C$213,A42))</f>
        <v/>
      </c>
      <c r="G42" s="17" t="str">
        <f>IF(A42="","",SUMIFS(应收明细账龄!$L$4:$L$213,应收明细账龄!$C$4:$C$213,A42,应收明细账龄!$N$4:$N$213,"未到期"))</f>
        <v/>
      </c>
      <c r="H42" s="17" t="str">
        <f>IF(A42="","",SUMIFS(应收明细账龄!$L$4:$L$213,应收明细账龄!$C$4:$C$213,A42,应收明细账龄!$N$4:$N$213,"逾期1-30天"))</f>
        <v/>
      </c>
      <c r="I42" s="17" t="str">
        <f>IF(A42="","",SUMIFS(应收明细账龄!$L$4:$L$213,应收明细账龄!$C$4:$C$213,A42,应收明细账龄!$N$4:$N$213,"逾期31-60天"))</f>
        <v/>
      </c>
      <c r="J42" s="17" t="str">
        <f>IF(A42="","",SUMIFS(应收明细账龄!$L$4:$L$213,应收明细账龄!$C$4:$C$213,A42,应收明细账龄!$N$4:$N$213,"逾期61-90天"))</f>
        <v/>
      </c>
      <c r="K42" s="17" t="str">
        <f>IF(A42="","",SUMIFS(应收明细账龄!$L$4:$L$213,应收明细账龄!$C$4:$C$213,A42,应收明细账龄!$N$4:$N$213,"逾期90天以上"))</f>
        <v/>
      </c>
      <c r="L42" s="17" t="str">
        <f t="shared" si="1"/>
        <v/>
      </c>
      <c r="M42" t="str">
        <f t="shared" si="2"/>
        <v/>
      </c>
      <c r="N42" t="str">
        <f t="shared" si="3"/>
        <v/>
      </c>
      <c r="O42" t="str">
        <f>IF(A42="","",IFERROR(VLOOKUP(A42,基础资料!$Y$5:$Z$204,2,FALSE),""))</f>
        <v/>
      </c>
      <c r="P42" s="54"/>
      <c r="Q42" s="60"/>
      <c r="R42" s="54"/>
    </row>
    <row r="43" spans="1:18">
      <c r="A43" t="str">
        <f>IF(基础资料!Y43="","",基础资料!Y43)</f>
        <v/>
      </c>
      <c r="B43" t="str">
        <f>IF(A43="","",IFERROR(VLOOKUP(A43,基础资料!$Y$5:$AA$204,3,FALSE),0))</f>
        <v/>
      </c>
      <c r="C43" s="17" t="str">
        <f>IF(A43="","",SUMIFS(期初数据!$H$5:$H$14,期初数据!$F$5:$F$14,A43)+SUMIFS(销售录入!$I$4:$I$203,销售录入!$C$4:$C$203,A43,销售录入!$A$4:$A$203,"&lt;"&amp;EOMONTH($B$2,-1)+1)-SUMIFS(资金流水!$J$4:$J$203,资金流水!$F$4:$F$203,A43,资金流水!$D$4:$D$203,"客户回款",资金流水!$A$4:$A$203,"&lt;"&amp;EOMONTH($B$2,-1)+1))</f>
        <v/>
      </c>
      <c r="D43" s="17" t="str">
        <f>IF(A43="","",SUMIFS(销售录入!$I$4:$I$203,销售录入!$C$4:$C$203,A43,销售录入!$B$4:$B$203,TEXT($B$2,"yyyy-mm")))</f>
        <v/>
      </c>
      <c r="E43" s="17" t="str">
        <f>IF(A43="","",SUMIFS(资金流水!$J$4:$J$203,资金流水!$F$4:$F$203,A43,资金流水!$D$4:$D$203,"客户回款",资金流水!$B$4:$B$203,TEXT($B$2,"yyyy-mm")))</f>
        <v/>
      </c>
      <c r="F43" s="17" t="str">
        <f>IF(A43="","",SUMIFS(应收明细账龄!$L$4:$L$213,应收明细账龄!$C$4:$C$213,A43))</f>
        <v/>
      </c>
      <c r="G43" s="17" t="str">
        <f>IF(A43="","",SUMIFS(应收明细账龄!$L$4:$L$213,应收明细账龄!$C$4:$C$213,A43,应收明细账龄!$N$4:$N$213,"未到期"))</f>
        <v/>
      </c>
      <c r="H43" s="17" t="str">
        <f>IF(A43="","",SUMIFS(应收明细账龄!$L$4:$L$213,应收明细账龄!$C$4:$C$213,A43,应收明细账龄!$N$4:$N$213,"逾期1-30天"))</f>
        <v/>
      </c>
      <c r="I43" s="17" t="str">
        <f>IF(A43="","",SUMIFS(应收明细账龄!$L$4:$L$213,应收明细账龄!$C$4:$C$213,A43,应收明细账龄!$N$4:$N$213,"逾期31-60天"))</f>
        <v/>
      </c>
      <c r="J43" s="17" t="str">
        <f>IF(A43="","",SUMIFS(应收明细账龄!$L$4:$L$213,应收明细账龄!$C$4:$C$213,A43,应收明细账龄!$N$4:$N$213,"逾期61-90天"))</f>
        <v/>
      </c>
      <c r="K43" s="17" t="str">
        <f>IF(A43="","",SUMIFS(应收明细账龄!$L$4:$L$213,应收明细账龄!$C$4:$C$213,A43,应收明细账龄!$N$4:$N$213,"逾期90天以上"))</f>
        <v/>
      </c>
      <c r="L43" s="17" t="str">
        <f t="shared" si="1"/>
        <v/>
      </c>
      <c r="M43" t="str">
        <f t="shared" si="2"/>
        <v/>
      </c>
      <c r="N43" t="str">
        <f t="shared" si="3"/>
        <v/>
      </c>
      <c r="O43" t="str">
        <f>IF(A43="","",IFERROR(VLOOKUP(A43,基础资料!$Y$5:$Z$204,2,FALSE),""))</f>
        <v/>
      </c>
      <c r="P43" s="54"/>
      <c r="Q43" s="60"/>
      <c r="R43" s="54"/>
    </row>
    <row r="44" spans="1:18">
      <c r="A44" t="str">
        <f>IF(基础资料!Y44="","",基础资料!Y44)</f>
        <v/>
      </c>
      <c r="B44" t="str">
        <f>IF(A44="","",IFERROR(VLOOKUP(A44,基础资料!$Y$5:$AA$204,3,FALSE),0))</f>
        <v/>
      </c>
      <c r="C44" s="17" t="str">
        <f>IF(A44="","",SUMIFS(期初数据!$H$5:$H$14,期初数据!$F$5:$F$14,A44)+SUMIFS(销售录入!$I$4:$I$203,销售录入!$C$4:$C$203,A44,销售录入!$A$4:$A$203,"&lt;"&amp;EOMONTH($B$2,-1)+1)-SUMIFS(资金流水!$J$4:$J$203,资金流水!$F$4:$F$203,A44,资金流水!$D$4:$D$203,"客户回款",资金流水!$A$4:$A$203,"&lt;"&amp;EOMONTH($B$2,-1)+1))</f>
        <v/>
      </c>
      <c r="D44" s="17" t="str">
        <f>IF(A44="","",SUMIFS(销售录入!$I$4:$I$203,销售录入!$C$4:$C$203,A44,销售录入!$B$4:$B$203,TEXT($B$2,"yyyy-mm")))</f>
        <v/>
      </c>
      <c r="E44" s="17" t="str">
        <f>IF(A44="","",SUMIFS(资金流水!$J$4:$J$203,资金流水!$F$4:$F$203,A44,资金流水!$D$4:$D$203,"客户回款",资金流水!$B$4:$B$203,TEXT($B$2,"yyyy-mm")))</f>
        <v/>
      </c>
      <c r="F44" s="17" t="str">
        <f>IF(A44="","",SUMIFS(应收明细账龄!$L$4:$L$213,应收明细账龄!$C$4:$C$213,A44))</f>
        <v/>
      </c>
      <c r="G44" s="17" t="str">
        <f>IF(A44="","",SUMIFS(应收明细账龄!$L$4:$L$213,应收明细账龄!$C$4:$C$213,A44,应收明细账龄!$N$4:$N$213,"未到期"))</f>
        <v/>
      </c>
      <c r="H44" s="17" t="str">
        <f>IF(A44="","",SUMIFS(应收明细账龄!$L$4:$L$213,应收明细账龄!$C$4:$C$213,A44,应收明细账龄!$N$4:$N$213,"逾期1-30天"))</f>
        <v/>
      </c>
      <c r="I44" s="17" t="str">
        <f>IF(A44="","",SUMIFS(应收明细账龄!$L$4:$L$213,应收明细账龄!$C$4:$C$213,A44,应收明细账龄!$N$4:$N$213,"逾期31-60天"))</f>
        <v/>
      </c>
      <c r="J44" s="17" t="str">
        <f>IF(A44="","",SUMIFS(应收明细账龄!$L$4:$L$213,应收明细账龄!$C$4:$C$213,A44,应收明细账龄!$N$4:$N$213,"逾期61-90天"))</f>
        <v/>
      </c>
      <c r="K44" s="17" t="str">
        <f>IF(A44="","",SUMIFS(应收明细账龄!$L$4:$L$213,应收明细账龄!$C$4:$C$213,A44,应收明细账龄!$N$4:$N$213,"逾期90天以上"))</f>
        <v/>
      </c>
      <c r="L44" s="17" t="str">
        <f t="shared" si="1"/>
        <v/>
      </c>
      <c r="M44" t="str">
        <f t="shared" si="2"/>
        <v/>
      </c>
      <c r="N44" t="str">
        <f t="shared" si="3"/>
        <v/>
      </c>
      <c r="O44" t="str">
        <f>IF(A44="","",IFERROR(VLOOKUP(A44,基础资料!$Y$5:$Z$204,2,FALSE),""))</f>
        <v/>
      </c>
      <c r="P44" s="54"/>
      <c r="Q44" s="60"/>
      <c r="R44" s="54"/>
    </row>
    <row r="45" spans="1:18">
      <c r="A45" t="str">
        <f>IF(基础资料!Y45="","",基础资料!Y45)</f>
        <v/>
      </c>
      <c r="B45" t="str">
        <f>IF(A45="","",IFERROR(VLOOKUP(A45,基础资料!$Y$5:$AA$204,3,FALSE),0))</f>
        <v/>
      </c>
      <c r="C45" s="17" t="str">
        <f>IF(A45="","",SUMIFS(期初数据!$H$5:$H$14,期初数据!$F$5:$F$14,A45)+SUMIFS(销售录入!$I$4:$I$203,销售录入!$C$4:$C$203,A45,销售录入!$A$4:$A$203,"&lt;"&amp;EOMONTH($B$2,-1)+1)-SUMIFS(资金流水!$J$4:$J$203,资金流水!$F$4:$F$203,A45,资金流水!$D$4:$D$203,"客户回款",资金流水!$A$4:$A$203,"&lt;"&amp;EOMONTH($B$2,-1)+1))</f>
        <v/>
      </c>
      <c r="D45" s="17" t="str">
        <f>IF(A45="","",SUMIFS(销售录入!$I$4:$I$203,销售录入!$C$4:$C$203,A45,销售录入!$B$4:$B$203,TEXT($B$2,"yyyy-mm")))</f>
        <v/>
      </c>
      <c r="E45" s="17" t="str">
        <f>IF(A45="","",SUMIFS(资金流水!$J$4:$J$203,资金流水!$F$4:$F$203,A45,资金流水!$D$4:$D$203,"客户回款",资金流水!$B$4:$B$203,TEXT($B$2,"yyyy-mm")))</f>
        <v/>
      </c>
      <c r="F45" s="17" t="str">
        <f>IF(A45="","",SUMIFS(应收明细账龄!$L$4:$L$213,应收明细账龄!$C$4:$C$213,A45))</f>
        <v/>
      </c>
      <c r="G45" s="17" t="str">
        <f>IF(A45="","",SUMIFS(应收明细账龄!$L$4:$L$213,应收明细账龄!$C$4:$C$213,A45,应收明细账龄!$N$4:$N$213,"未到期"))</f>
        <v/>
      </c>
      <c r="H45" s="17" t="str">
        <f>IF(A45="","",SUMIFS(应收明细账龄!$L$4:$L$213,应收明细账龄!$C$4:$C$213,A45,应收明细账龄!$N$4:$N$213,"逾期1-30天"))</f>
        <v/>
      </c>
      <c r="I45" s="17" t="str">
        <f>IF(A45="","",SUMIFS(应收明细账龄!$L$4:$L$213,应收明细账龄!$C$4:$C$213,A45,应收明细账龄!$N$4:$N$213,"逾期31-60天"))</f>
        <v/>
      </c>
      <c r="J45" s="17" t="str">
        <f>IF(A45="","",SUMIFS(应收明细账龄!$L$4:$L$213,应收明细账龄!$C$4:$C$213,A45,应收明细账龄!$N$4:$N$213,"逾期61-90天"))</f>
        <v/>
      </c>
      <c r="K45" s="17" t="str">
        <f>IF(A45="","",SUMIFS(应收明细账龄!$L$4:$L$213,应收明细账龄!$C$4:$C$213,A45,应收明细账龄!$N$4:$N$213,"逾期90天以上"))</f>
        <v/>
      </c>
      <c r="L45" s="17" t="str">
        <f t="shared" si="1"/>
        <v/>
      </c>
      <c r="M45" t="str">
        <f t="shared" si="2"/>
        <v/>
      </c>
      <c r="N45" t="str">
        <f t="shared" si="3"/>
        <v/>
      </c>
      <c r="O45" t="str">
        <f>IF(A45="","",IFERROR(VLOOKUP(A45,基础资料!$Y$5:$Z$204,2,FALSE),""))</f>
        <v/>
      </c>
      <c r="P45" s="54"/>
      <c r="Q45" s="60"/>
      <c r="R45" s="54"/>
    </row>
    <row r="46" spans="1:18">
      <c r="A46" t="str">
        <f>IF(基础资料!Y46="","",基础资料!Y46)</f>
        <v/>
      </c>
      <c r="B46" t="str">
        <f>IF(A46="","",IFERROR(VLOOKUP(A46,基础资料!$Y$5:$AA$204,3,FALSE),0))</f>
        <v/>
      </c>
      <c r="C46" s="17" t="str">
        <f>IF(A46="","",SUMIFS(期初数据!$H$5:$H$14,期初数据!$F$5:$F$14,A46)+SUMIFS(销售录入!$I$4:$I$203,销售录入!$C$4:$C$203,A46,销售录入!$A$4:$A$203,"&lt;"&amp;EOMONTH($B$2,-1)+1)-SUMIFS(资金流水!$J$4:$J$203,资金流水!$F$4:$F$203,A46,资金流水!$D$4:$D$203,"客户回款",资金流水!$A$4:$A$203,"&lt;"&amp;EOMONTH($B$2,-1)+1))</f>
        <v/>
      </c>
      <c r="D46" s="17" t="str">
        <f>IF(A46="","",SUMIFS(销售录入!$I$4:$I$203,销售录入!$C$4:$C$203,A46,销售录入!$B$4:$B$203,TEXT($B$2,"yyyy-mm")))</f>
        <v/>
      </c>
      <c r="E46" s="17" t="str">
        <f>IF(A46="","",SUMIFS(资金流水!$J$4:$J$203,资金流水!$F$4:$F$203,A46,资金流水!$D$4:$D$203,"客户回款",资金流水!$B$4:$B$203,TEXT($B$2,"yyyy-mm")))</f>
        <v/>
      </c>
      <c r="F46" s="17" t="str">
        <f>IF(A46="","",SUMIFS(应收明细账龄!$L$4:$L$213,应收明细账龄!$C$4:$C$213,A46))</f>
        <v/>
      </c>
      <c r="G46" s="17" t="str">
        <f>IF(A46="","",SUMIFS(应收明细账龄!$L$4:$L$213,应收明细账龄!$C$4:$C$213,A46,应收明细账龄!$N$4:$N$213,"未到期"))</f>
        <v/>
      </c>
      <c r="H46" s="17" t="str">
        <f>IF(A46="","",SUMIFS(应收明细账龄!$L$4:$L$213,应收明细账龄!$C$4:$C$213,A46,应收明细账龄!$N$4:$N$213,"逾期1-30天"))</f>
        <v/>
      </c>
      <c r="I46" s="17" t="str">
        <f>IF(A46="","",SUMIFS(应收明细账龄!$L$4:$L$213,应收明细账龄!$C$4:$C$213,A46,应收明细账龄!$N$4:$N$213,"逾期31-60天"))</f>
        <v/>
      </c>
      <c r="J46" s="17" t="str">
        <f>IF(A46="","",SUMIFS(应收明细账龄!$L$4:$L$213,应收明细账龄!$C$4:$C$213,A46,应收明细账龄!$N$4:$N$213,"逾期61-90天"))</f>
        <v/>
      </c>
      <c r="K46" s="17" t="str">
        <f>IF(A46="","",SUMIFS(应收明细账龄!$L$4:$L$213,应收明细账龄!$C$4:$C$213,A46,应收明细账龄!$N$4:$N$213,"逾期90天以上"))</f>
        <v/>
      </c>
      <c r="L46" s="17" t="str">
        <f t="shared" si="1"/>
        <v/>
      </c>
      <c r="M46" t="str">
        <f t="shared" si="2"/>
        <v/>
      </c>
      <c r="N46" t="str">
        <f t="shared" si="3"/>
        <v/>
      </c>
      <c r="O46" t="str">
        <f>IF(A46="","",IFERROR(VLOOKUP(A46,基础资料!$Y$5:$Z$204,2,FALSE),""))</f>
        <v/>
      </c>
      <c r="P46" s="54"/>
      <c r="Q46" s="60"/>
      <c r="R46" s="54"/>
    </row>
    <row r="47" spans="1:18">
      <c r="A47" t="str">
        <f>IF(基础资料!Y47="","",基础资料!Y47)</f>
        <v/>
      </c>
      <c r="B47" t="str">
        <f>IF(A47="","",IFERROR(VLOOKUP(A47,基础资料!$Y$5:$AA$204,3,FALSE),0))</f>
        <v/>
      </c>
      <c r="C47" s="17" t="str">
        <f>IF(A47="","",SUMIFS(期初数据!$H$5:$H$14,期初数据!$F$5:$F$14,A47)+SUMIFS(销售录入!$I$4:$I$203,销售录入!$C$4:$C$203,A47,销售录入!$A$4:$A$203,"&lt;"&amp;EOMONTH($B$2,-1)+1)-SUMIFS(资金流水!$J$4:$J$203,资金流水!$F$4:$F$203,A47,资金流水!$D$4:$D$203,"客户回款",资金流水!$A$4:$A$203,"&lt;"&amp;EOMONTH($B$2,-1)+1))</f>
        <v/>
      </c>
      <c r="D47" s="17" t="str">
        <f>IF(A47="","",SUMIFS(销售录入!$I$4:$I$203,销售录入!$C$4:$C$203,A47,销售录入!$B$4:$B$203,TEXT($B$2,"yyyy-mm")))</f>
        <v/>
      </c>
      <c r="E47" s="17" t="str">
        <f>IF(A47="","",SUMIFS(资金流水!$J$4:$J$203,资金流水!$F$4:$F$203,A47,资金流水!$D$4:$D$203,"客户回款",资金流水!$B$4:$B$203,TEXT($B$2,"yyyy-mm")))</f>
        <v/>
      </c>
      <c r="F47" s="17" t="str">
        <f>IF(A47="","",SUMIFS(应收明细账龄!$L$4:$L$213,应收明细账龄!$C$4:$C$213,A47))</f>
        <v/>
      </c>
      <c r="G47" s="17" t="str">
        <f>IF(A47="","",SUMIFS(应收明细账龄!$L$4:$L$213,应收明细账龄!$C$4:$C$213,A47,应收明细账龄!$N$4:$N$213,"未到期"))</f>
        <v/>
      </c>
      <c r="H47" s="17" t="str">
        <f>IF(A47="","",SUMIFS(应收明细账龄!$L$4:$L$213,应收明细账龄!$C$4:$C$213,A47,应收明细账龄!$N$4:$N$213,"逾期1-30天"))</f>
        <v/>
      </c>
      <c r="I47" s="17" t="str">
        <f>IF(A47="","",SUMIFS(应收明细账龄!$L$4:$L$213,应收明细账龄!$C$4:$C$213,A47,应收明细账龄!$N$4:$N$213,"逾期31-60天"))</f>
        <v/>
      </c>
      <c r="J47" s="17" t="str">
        <f>IF(A47="","",SUMIFS(应收明细账龄!$L$4:$L$213,应收明细账龄!$C$4:$C$213,A47,应收明细账龄!$N$4:$N$213,"逾期61-90天"))</f>
        <v/>
      </c>
      <c r="K47" s="17" t="str">
        <f>IF(A47="","",SUMIFS(应收明细账龄!$L$4:$L$213,应收明细账龄!$C$4:$C$213,A47,应收明细账龄!$N$4:$N$213,"逾期90天以上"))</f>
        <v/>
      </c>
      <c r="L47" s="17" t="str">
        <f t="shared" si="1"/>
        <v/>
      </c>
      <c r="M47" t="str">
        <f t="shared" si="2"/>
        <v/>
      </c>
      <c r="N47" t="str">
        <f t="shared" si="3"/>
        <v/>
      </c>
      <c r="O47" t="str">
        <f>IF(A47="","",IFERROR(VLOOKUP(A47,基础资料!$Y$5:$Z$204,2,FALSE),""))</f>
        <v/>
      </c>
      <c r="P47" s="54"/>
      <c r="Q47" s="60"/>
      <c r="R47" s="54"/>
    </row>
    <row r="48" spans="1:18">
      <c r="A48" t="str">
        <f>IF(基础资料!Y48="","",基础资料!Y48)</f>
        <v/>
      </c>
      <c r="B48" t="str">
        <f>IF(A48="","",IFERROR(VLOOKUP(A48,基础资料!$Y$5:$AA$204,3,FALSE),0))</f>
        <v/>
      </c>
      <c r="C48" s="17" t="str">
        <f>IF(A48="","",SUMIFS(期初数据!$H$5:$H$14,期初数据!$F$5:$F$14,A48)+SUMIFS(销售录入!$I$4:$I$203,销售录入!$C$4:$C$203,A48,销售录入!$A$4:$A$203,"&lt;"&amp;EOMONTH($B$2,-1)+1)-SUMIFS(资金流水!$J$4:$J$203,资金流水!$F$4:$F$203,A48,资金流水!$D$4:$D$203,"客户回款",资金流水!$A$4:$A$203,"&lt;"&amp;EOMONTH($B$2,-1)+1))</f>
        <v/>
      </c>
      <c r="D48" s="17" t="str">
        <f>IF(A48="","",SUMIFS(销售录入!$I$4:$I$203,销售录入!$C$4:$C$203,A48,销售录入!$B$4:$B$203,TEXT($B$2,"yyyy-mm")))</f>
        <v/>
      </c>
      <c r="E48" s="17" t="str">
        <f>IF(A48="","",SUMIFS(资金流水!$J$4:$J$203,资金流水!$F$4:$F$203,A48,资金流水!$D$4:$D$203,"客户回款",资金流水!$B$4:$B$203,TEXT($B$2,"yyyy-mm")))</f>
        <v/>
      </c>
      <c r="F48" s="17" t="str">
        <f>IF(A48="","",SUMIFS(应收明细账龄!$L$4:$L$213,应收明细账龄!$C$4:$C$213,A48))</f>
        <v/>
      </c>
      <c r="G48" s="17" t="str">
        <f>IF(A48="","",SUMIFS(应收明细账龄!$L$4:$L$213,应收明细账龄!$C$4:$C$213,A48,应收明细账龄!$N$4:$N$213,"未到期"))</f>
        <v/>
      </c>
      <c r="H48" s="17" t="str">
        <f>IF(A48="","",SUMIFS(应收明细账龄!$L$4:$L$213,应收明细账龄!$C$4:$C$213,A48,应收明细账龄!$N$4:$N$213,"逾期1-30天"))</f>
        <v/>
      </c>
      <c r="I48" s="17" t="str">
        <f>IF(A48="","",SUMIFS(应收明细账龄!$L$4:$L$213,应收明细账龄!$C$4:$C$213,A48,应收明细账龄!$N$4:$N$213,"逾期31-60天"))</f>
        <v/>
      </c>
      <c r="J48" s="17" t="str">
        <f>IF(A48="","",SUMIFS(应收明细账龄!$L$4:$L$213,应收明细账龄!$C$4:$C$213,A48,应收明细账龄!$N$4:$N$213,"逾期61-90天"))</f>
        <v/>
      </c>
      <c r="K48" s="17" t="str">
        <f>IF(A48="","",SUMIFS(应收明细账龄!$L$4:$L$213,应收明细账龄!$C$4:$C$213,A48,应收明细账龄!$N$4:$N$213,"逾期90天以上"))</f>
        <v/>
      </c>
      <c r="L48" s="17" t="str">
        <f t="shared" si="1"/>
        <v/>
      </c>
      <c r="M48" t="str">
        <f t="shared" si="2"/>
        <v/>
      </c>
      <c r="N48" t="str">
        <f t="shared" si="3"/>
        <v/>
      </c>
      <c r="O48" t="str">
        <f>IF(A48="","",IFERROR(VLOOKUP(A48,基础资料!$Y$5:$Z$204,2,FALSE),""))</f>
        <v/>
      </c>
      <c r="P48" s="54"/>
      <c r="Q48" s="60"/>
      <c r="R48" s="54"/>
    </row>
    <row r="49" spans="1:18">
      <c r="A49" t="str">
        <f>IF(基础资料!Y49="","",基础资料!Y49)</f>
        <v/>
      </c>
      <c r="B49" t="str">
        <f>IF(A49="","",IFERROR(VLOOKUP(A49,基础资料!$Y$5:$AA$204,3,FALSE),0))</f>
        <v/>
      </c>
      <c r="C49" s="17" t="str">
        <f>IF(A49="","",SUMIFS(期初数据!$H$5:$H$14,期初数据!$F$5:$F$14,A49)+SUMIFS(销售录入!$I$4:$I$203,销售录入!$C$4:$C$203,A49,销售录入!$A$4:$A$203,"&lt;"&amp;EOMONTH($B$2,-1)+1)-SUMIFS(资金流水!$J$4:$J$203,资金流水!$F$4:$F$203,A49,资金流水!$D$4:$D$203,"客户回款",资金流水!$A$4:$A$203,"&lt;"&amp;EOMONTH($B$2,-1)+1))</f>
        <v/>
      </c>
      <c r="D49" s="17" t="str">
        <f>IF(A49="","",SUMIFS(销售录入!$I$4:$I$203,销售录入!$C$4:$C$203,A49,销售录入!$B$4:$B$203,TEXT($B$2,"yyyy-mm")))</f>
        <v/>
      </c>
      <c r="E49" s="17" t="str">
        <f>IF(A49="","",SUMIFS(资金流水!$J$4:$J$203,资金流水!$F$4:$F$203,A49,资金流水!$D$4:$D$203,"客户回款",资金流水!$B$4:$B$203,TEXT($B$2,"yyyy-mm")))</f>
        <v/>
      </c>
      <c r="F49" s="17" t="str">
        <f>IF(A49="","",SUMIFS(应收明细账龄!$L$4:$L$213,应收明细账龄!$C$4:$C$213,A49))</f>
        <v/>
      </c>
      <c r="G49" s="17" t="str">
        <f>IF(A49="","",SUMIFS(应收明细账龄!$L$4:$L$213,应收明细账龄!$C$4:$C$213,A49,应收明细账龄!$N$4:$N$213,"未到期"))</f>
        <v/>
      </c>
      <c r="H49" s="17" t="str">
        <f>IF(A49="","",SUMIFS(应收明细账龄!$L$4:$L$213,应收明细账龄!$C$4:$C$213,A49,应收明细账龄!$N$4:$N$213,"逾期1-30天"))</f>
        <v/>
      </c>
      <c r="I49" s="17" t="str">
        <f>IF(A49="","",SUMIFS(应收明细账龄!$L$4:$L$213,应收明细账龄!$C$4:$C$213,A49,应收明细账龄!$N$4:$N$213,"逾期31-60天"))</f>
        <v/>
      </c>
      <c r="J49" s="17" t="str">
        <f>IF(A49="","",SUMIFS(应收明细账龄!$L$4:$L$213,应收明细账龄!$C$4:$C$213,A49,应收明细账龄!$N$4:$N$213,"逾期61-90天"))</f>
        <v/>
      </c>
      <c r="K49" s="17" t="str">
        <f>IF(A49="","",SUMIFS(应收明细账龄!$L$4:$L$213,应收明细账龄!$C$4:$C$213,A49,应收明细账龄!$N$4:$N$213,"逾期90天以上"))</f>
        <v/>
      </c>
      <c r="L49" s="17" t="str">
        <f t="shared" si="1"/>
        <v/>
      </c>
      <c r="M49" t="str">
        <f t="shared" si="2"/>
        <v/>
      </c>
      <c r="N49" t="str">
        <f t="shared" si="3"/>
        <v/>
      </c>
      <c r="O49" t="str">
        <f>IF(A49="","",IFERROR(VLOOKUP(A49,基础资料!$Y$5:$Z$204,2,FALSE),""))</f>
        <v/>
      </c>
      <c r="P49" s="54"/>
      <c r="Q49" s="60"/>
      <c r="R49" s="54"/>
    </row>
    <row r="50" spans="1:18">
      <c r="A50" t="str">
        <f>IF(基础资料!Y50="","",基础资料!Y50)</f>
        <v/>
      </c>
      <c r="B50" t="str">
        <f>IF(A50="","",IFERROR(VLOOKUP(A50,基础资料!$Y$5:$AA$204,3,FALSE),0))</f>
        <v/>
      </c>
      <c r="C50" s="17" t="str">
        <f>IF(A50="","",SUMIFS(期初数据!$H$5:$H$14,期初数据!$F$5:$F$14,A50)+SUMIFS(销售录入!$I$4:$I$203,销售录入!$C$4:$C$203,A50,销售录入!$A$4:$A$203,"&lt;"&amp;EOMONTH($B$2,-1)+1)-SUMIFS(资金流水!$J$4:$J$203,资金流水!$F$4:$F$203,A50,资金流水!$D$4:$D$203,"客户回款",资金流水!$A$4:$A$203,"&lt;"&amp;EOMONTH($B$2,-1)+1))</f>
        <v/>
      </c>
      <c r="D50" s="17" t="str">
        <f>IF(A50="","",SUMIFS(销售录入!$I$4:$I$203,销售录入!$C$4:$C$203,A50,销售录入!$B$4:$B$203,TEXT($B$2,"yyyy-mm")))</f>
        <v/>
      </c>
      <c r="E50" s="17" t="str">
        <f>IF(A50="","",SUMIFS(资金流水!$J$4:$J$203,资金流水!$F$4:$F$203,A50,资金流水!$D$4:$D$203,"客户回款",资金流水!$B$4:$B$203,TEXT($B$2,"yyyy-mm")))</f>
        <v/>
      </c>
      <c r="F50" s="17" t="str">
        <f>IF(A50="","",SUMIFS(应收明细账龄!$L$4:$L$213,应收明细账龄!$C$4:$C$213,A50))</f>
        <v/>
      </c>
      <c r="G50" s="17" t="str">
        <f>IF(A50="","",SUMIFS(应收明细账龄!$L$4:$L$213,应收明细账龄!$C$4:$C$213,A50,应收明细账龄!$N$4:$N$213,"未到期"))</f>
        <v/>
      </c>
      <c r="H50" s="17" t="str">
        <f>IF(A50="","",SUMIFS(应收明细账龄!$L$4:$L$213,应收明细账龄!$C$4:$C$213,A50,应收明细账龄!$N$4:$N$213,"逾期1-30天"))</f>
        <v/>
      </c>
      <c r="I50" s="17" t="str">
        <f>IF(A50="","",SUMIFS(应收明细账龄!$L$4:$L$213,应收明细账龄!$C$4:$C$213,A50,应收明细账龄!$N$4:$N$213,"逾期31-60天"))</f>
        <v/>
      </c>
      <c r="J50" s="17" t="str">
        <f>IF(A50="","",SUMIFS(应收明细账龄!$L$4:$L$213,应收明细账龄!$C$4:$C$213,A50,应收明细账龄!$N$4:$N$213,"逾期61-90天"))</f>
        <v/>
      </c>
      <c r="K50" s="17" t="str">
        <f>IF(A50="","",SUMIFS(应收明细账龄!$L$4:$L$213,应收明细账龄!$C$4:$C$213,A50,应收明细账龄!$N$4:$N$213,"逾期90天以上"))</f>
        <v/>
      </c>
      <c r="L50" s="17" t="str">
        <f t="shared" si="1"/>
        <v/>
      </c>
      <c r="M50" t="str">
        <f t="shared" si="2"/>
        <v/>
      </c>
      <c r="N50" t="str">
        <f t="shared" si="3"/>
        <v/>
      </c>
      <c r="O50" t="str">
        <f>IF(A50="","",IFERROR(VLOOKUP(A50,基础资料!$Y$5:$Z$204,2,FALSE),""))</f>
        <v/>
      </c>
      <c r="P50" s="54"/>
      <c r="Q50" s="60"/>
      <c r="R50" s="54"/>
    </row>
    <row r="51" spans="1:18">
      <c r="A51" t="str">
        <f>IF(基础资料!Y51="","",基础资料!Y51)</f>
        <v/>
      </c>
      <c r="B51" t="str">
        <f>IF(A51="","",IFERROR(VLOOKUP(A51,基础资料!$Y$5:$AA$204,3,FALSE),0))</f>
        <v/>
      </c>
      <c r="C51" s="17" t="str">
        <f>IF(A51="","",SUMIFS(期初数据!$H$5:$H$14,期初数据!$F$5:$F$14,A51)+SUMIFS(销售录入!$I$4:$I$203,销售录入!$C$4:$C$203,A51,销售录入!$A$4:$A$203,"&lt;"&amp;EOMONTH($B$2,-1)+1)-SUMIFS(资金流水!$J$4:$J$203,资金流水!$F$4:$F$203,A51,资金流水!$D$4:$D$203,"客户回款",资金流水!$A$4:$A$203,"&lt;"&amp;EOMONTH($B$2,-1)+1))</f>
        <v/>
      </c>
      <c r="D51" s="17" t="str">
        <f>IF(A51="","",SUMIFS(销售录入!$I$4:$I$203,销售录入!$C$4:$C$203,A51,销售录入!$B$4:$B$203,TEXT($B$2,"yyyy-mm")))</f>
        <v/>
      </c>
      <c r="E51" s="17" t="str">
        <f>IF(A51="","",SUMIFS(资金流水!$J$4:$J$203,资金流水!$F$4:$F$203,A51,资金流水!$D$4:$D$203,"客户回款",资金流水!$B$4:$B$203,TEXT($B$2,"yyyy-mm")))</f>
        <v/>
      </c>
      <c r="F51" s="17" t="str">
        <f>IF(A51="","",SUMIFS(应收明细账龄!$L$4:$L$213,应收明细账龄!$C$4:$C$213,A51))</f>
        <v/>
      </c>
      <c r="G51" s="17" t="str">
        <f>IF(A51="","",SUMIFS(应收明细账龄!$L$4:$L$213,应收明细账龄!$C$4:$C$213,A51,应收明细账龄!$N$4:$N$213,"未到期"))</f>
        <v/>
      </c>
      <c r="H51" s="17" t="str">
        <f>IF(A51="","",SUMIFS(应收明细账龄!$L$4:$L$213,应收明细账龄!$C$4:$C$213,A51,应收明细账龄!$N$4:$N$213,"逾期1-30天"))</f>
        <v/>
      </c>
      <c r="I51" s="17" t="str">
        <f>IF(A51="","",SUMIFS(应收明细账龄!$L$4:$L$213,应收明细账龄!$C$4:$C$213,A51,应收明细账龄!$N$4:$N$213,"逾期31-60天"))</f>
        <v/>
      </c>
      <c r="J51" s="17" t="str">
        <f>IF(A51="","",SUMIFS(应收明细账龄!$L$4:$L$213,应收明细账龄!$C$4:$C$213,A51,应收明细账龄!$N$4:$N$213,"逾期61-90天"))</f>
        <v/>
      </c>
      <c r="K51" s="17" t="str">
        <f>IF(A51="","",SUMIFS(应收明细账龄!$L$4:$L$213,应收明细账龄!$C$4:$C$213,A51,应收明细账龄!$N$4:$N$213,"逾期90天以上"))</f>
        <v/>
      </c>
      <c r="L51" s="17" t="str">
        <f t="shared" si="1"/>
        <v/>
      </c>
      <c r="M51" t="str">
        <f t="shared" si="2"/>
        <v/>
      </c>
      <c r="N51" t="str">
        <f t="shared" si="3"/>
        <v/>
      </c>
      <c r="O51" t="str">
        <f>IF(A51="","",IFERROR(VLOOKUP(A51,基础资料!$Y$5:$Z$204,2,FALSE),""))</f>
        <v/>
      </c>
      <c r="P51" s="54"/>
      <c r="Q51" s="60"/>
      <c r="R51" s="54"/>
    </row>
    <row r="52" spans="1:18">
      <c r="A52" t="str">
        <f>IF(基础资料!Y52="","",基础资料!Y52)</f>
        <v/>
      </c>
      <c r="B52" t="str">
        <f>IF(A52="","",IFERROR(VLOOKUP(A52,基础资料!$Y$5:$AA$204,3,FALSE),0))</f>
        <v/>
      </c>
      <c r="C52" s="17" t="str">
        <f>IF(A52="","",SUMIFS(期初数据!$H$5:$H$14,期初数据!$F$5:$F$14,A52)+SUMIFS(销售录入!$I$4:$I$203,销售录入!$C$4:$C$203,A52,销售录入!$A$4:$A$203,"&lt;"&amp;EOMONTH($B$2,-1)+1)-SUMIFS(资金流水!$J$4:$J$203,资金流水!$F$4:$F$203,A52,资金流水!$D$4:$D$203,"客户回款",资金流水!$A$4:$A$203,"&lt;"&amp;EOMONTH($B$2,-1)+1))</f>
        <v/>
      </c>
      <c r="D52" s="17" t="str">
        <f>IF(A52="","",SUMIFS(销售录入!$I$4:$I$203,销售录入!$C$4:$C$203,A52,销售录入!$B$4:$B$203,TEXT($B$2,"yyyy-mm")))</f>
        <v/>
      </c>
      <c r="E52" s="17" t="str">
        <f>IF(A52="","",SUMIFS(资金流水!$J$4:$J$203,资金流水!$F$4:$F$203,A52,资金流水!$D$4:$D$203,"客户回款",资金流水!$B$4:$B$203,TEXT($B$2,"yyyy-mm")))</f>
        <v/>
      </c>
      <c r="F52" s="17" t="str">
        <f>IF(A52="","",SUMIFS(应收明细账龄!$L$4:$L$213,应收明细账龄!$C$4:$C$213,A52))</f>
        <v/>
      </c>
      <c r="G52" s="17" t="str">
        <f>IF(A52="","",SUMIFS(应收明细账龄!$L$4:$L$213,应收明细账龄!$C$4:$C$213,A52,应收明细账龄!$N$4:$N$213,"未到期"))</f>
        <v/>
      </c>
      <c r="H52" s="17" t="str">
        <f>IF(A52="","",SUMIFS(应收明细账龄!$L$4:$L$213,应收明细账龄!$C$4:$C$213,A52,应收明细账龄!$N$4:$N$213,"逾期1-30天"))</f>
        <v/>
      </c>
      <c r="I52" s="17" t="str">
        <f>IF(A52="","",SUMIFS(应收明细账龄!$L$4:$L$213,应收明细账龄!$C$4:$C$213,A52,应收明细账龄!$N$4:$N$213,"逾期31-60天"))</f>
        <v/>
      </c>
      <c r="J52" s="17" t="str">
        <f>IF(A52="","",SUMIFS(应收明细账龄!$L$4:$L$213,应收明细账龄!$C$4:$C$213,A52,应收明细账龄!$N$4:$N$213,"逾期61-90天"))</f>
        <v/>
      </c>
      <c r="K52" s="17" t="str">
        <f>IF(A52="","",SUMIFS(应收明细账龄!$L$4:$L$213,应收明细账龄!$C$4:$C$213,A52,应收明细账龄!$N$4:$N$213,"逾期90天以上"))</f>
        <v/>
      </c>
      <c r="L52" s="17" t="str">
        <f t="shared" si="1"/>
        <v/>
      </c>
      <c r="M52" t="str">
        <f t="shared" si="2"/>
        <v/>
      </c>
      <c r="N52" t="str">
        <f t="shared" si="3"/>
        <v/>
      </c>
      <c r="O52" t="str">
        <f>IF(A52="","",IFERROR(VLOOKUP(A52,基础资料!$Y$5:$Z$204,2,FALSE),""))</f>
        <v/>
      </c>
      <c r="P52" s="54"/>
      <c r="Q52" s="60"/>
      <c r="R52" s="54"/>
    </row>
    <row r="53" spans="1:18">
      <c r="A53" t="str">
        <f>IF(基础资料!Y53="","",基础资料!Y53)</f>
        <v/>
      </c>
      <c r="B53" t="str">
        <f>IF(A53="","",IFERROR(VLOOKUP(A53,基础资料!$Y$5:$AA$204,3,FALSE),0))</f>
        <v/>
      </c>
      <c r="C53" s="17" t="str">
        <f>IF(A53="","",SUMIFS(期初数据!$H$5:$H$14,期初数据!$F$5:$F$14,A53)+SUMIFS(销售录入!$I$4:$I$203,销售录入!$C$4:$C$203,A53,销售录入!$A$4:$A$203,"&lt;"&amp;EOMONTH($B$2,-1)+1)-SUMIFS(资金流水!$J$4:$J$203,资金流水!$F$4:$F$203,A53,资金流水!$D$4:$D$203,"客户回款",资金流水!$A$4:$A$203,"&lt;"&amp;EOMONTH($B$2,-1)+1))</f>
        <v/>
      </c>
      <c r="D53" s="17" t="str">
        <f>IF(A53="","",SUMIFS(销售录入!$I$4:$I$203,销售录入!$C$4:$C$203,A53,销售录入!$B$4:$B$203,TEXT($B$2,"yyyy-mm")))</f>
        <v/>
      </c>
      <c r="E53" s="17" t="str">
        <f>IF(A53="","",SUMIFS(资金流水!$J$4:$J$203,资金流水!$F$4:$F$203,A53,资金流水!$D$4:$D$203,"客户回款",资金流水!$B$4:$B$203,TEXT($B$2,"yyyy-mm")))</f>
        <v/>
      </c>
      <c r="F53" s="17" t="str">
        <f>IF(A53="","",SUMIFS(应收明细账龄!$L$4:$L$213,应收明细账龄!$C$4:$C$213,A53))</f>
        <v/>
      </c>
      <c r="G53" s="17" t="str">
        <f>IF(A53="","",SUMIFS(应收明细账龄!$L$4:$L$213,应收明细账龄!$C$4:$C$213,A53,应收明细账龄!$N$4:$N$213,"未到期"))</f>
        <v/>
      </c>
      <c r="H53" s="17" t="str">
        <f>IF(A53="","",SUMIFS(应收明细账龄!$L$4:$L$213,应收明细账龄!$C$4:$C$213,A53,应收明细账龄!$N$4:$N$213,"逾期1-30天"))</f>
        <v/>
      </c>
      <c r="I53" s="17" t="str">
        <f>IF(A53="","",SUMIFS(应收明细账龄!$L$4:$L$213,应收明细账龄!$C$4:$C$213,A53,应收明细账龄!$N$4:$N$213,"逾期31-60天"))</f>
        <v/>
      </c>
      <c r="J53" s="17" t="str">
        <f>IF(A53="","",SUMIFS(应收明细账龄!$L$4:$L$213,应收明细账龄!$C$4:$C$213,A53,应收明细账龄!$N$4:$N$213,"逾期61-90天"))</f>
        <v/>
      </c>
      <c r="K53" s="17" t="str">
        <f>IF(A53="","",SUMIFS(应收明细账龄!$L$4:$L$213,应收明细账龄!$C$4:$C$213,A53,应收明细账龄!$N$4:$N$213,"逾期90天以上"))</f>
        <v/>
      </c>
      <c r="L53" s="17" t="str">
        <f t="shared" si="1"/>
        <v/>
      </c>
      <c r="M53" t="str">
        <f t="shared" si="2"/>
        <v/>
      </c>
      <c r="N53" t="str">
        <f t="shared" si="3"/>
        <v/>
      </c>
      <c r="O53" t="str">
        <f>IF(A53="","",IFERROR(VLOOKUP(A53,基础资料!$Y$5:$Z$204,2,FALSE),""))</f>
        <v/>
      </c>
      <c r="P53" s="54"/>
      <c r="Q53" s="60"/>
      <c r="R53" s="54"/>
    </row>
    <row r="54" spans="1:18">
      <c r="A54" t="str">
        <f>IF(基础资料!Y54="","",基础资料!Y54)</f>
        <v/>
      </c>
      <c r="B54" t="str">
        <f>IF(A54="","",IFERROR(VLOOKUP(A54,基础资料!$Y$5:$AA$204,3,FALSE),0))</f>
        <v/>
      </c>
      <c r="C54" s="17" t="str">
        <f>IF(A54="","",SUMIFS(期初数据!$H$5:$H$14,期初数据!$F$5:$F$14,A54)+SUMIFS(销售录入!$I$4:$I$203,销售录入!$C$4:$C$203,A54,销售录入!$A$4:$A$203,"&lt;"&amp;EOMONTH($B$2,-1)+1)-SUMIFS(资金流水!$J$4:$J$203,资金流水!$F$4:$F$203,A54,资金流水!$D$4:$D$203,"客户回款",资金流水!$A$4:$A$203,"&lt;"&amp;EOMONTH($B$2,-1)+1))</f>
        <v/>
      </c>
      <c r="D54" s="17" t="str">
        <f>IF(A54="","",SUMIFS(销售录入!$I$4:$I$203,销售录入!$C$4:$C$203,A54,销售录入!$B$4:$B$203,TEXT($B$2,"yyyy-mm")))</f>
        <v/>
      </c>
      <c r="E54" s="17" t="str">
        <f>IF(A54="","",SUMIFS(资金流水!$J$4:$J$203,资金流水!$F$4:$F$203,A54,资金流水!$D$4:$D$203,"客户回款",资金流水!$B$4:$B$203,TEXT($B$2,"yyyy-mm")))</f>
        <v/>
      </c>
      <c r="F54" s="17" t="str">
        <f>IF(A54="","",SUMIFS(应收明细账龄!$L$4:$L$213,应收明细账龄!$C$4:$C$213,A54))</f>
        <v/>
      </c>
      <c r="G54" s="17" t="str">
        <f>IF(A54="","",SUMIFS(应收明细账龄!$L$4:$L$213,应收明细账龄!$C$4:$C$213,A54,应收明细账龄!$N$4:$N$213,"未到期"))</f>
        <v/>
      </c>
      <c r="H54" s="17" t="str">
        <f>IF(A54="","",SUMIFS(应收明细账龄!$L$4:$L$213,应收明细账龄!$C$4:$C$213,A54,应收明细账龄!$N$4:$N$213,"逾期1-30天"))</f>
        <v/>
      </c>
      <c r="I54" s="17" t="str">
        <f>IF(A54="","",SUMIFS(应收明细账龄!$L$4:$L$213,应收明细账龄!$C$4:$C$213,A54,应收明细账龄!$N$4:$N$213,"逾期31-60天"))</f>
        <v/>
      </c>
      <c r="J54" s="17" t="str">
        <f>IF(A54="","",SUMIFS(应收明细账龄!$L$4:$L$213,应收明细账龄!$C$4:$C$213,A54,应收明细账龄!$N$4:$N$213,"逾期61-90天"))</f>
        <v/>
      </c>
      <c r="K54" s="17" t="str">
        <f>IF(A54="","",SUMIFS(应收明细账龄!$L$4:$L$213,应收明细账龄!$C$4:$C$213,A54,应收明细账龄!$N$4:$N$213,"逾期90天以上"))</f>
        <v/>
      </c>
      <c r="L54" s="17" t="str">
        <f t="shared" si="1"/>
        <v/>
      </c>
      <c r="M54" t="str">
        <f t="shared" si="2"/>
        <v/>
      </c>
      <c r="N54" t="str">
        <f t="shared" si="3"/>
        <v/>
      </c>
      <c r="O54" t="str">
        <f>IF(A54="","",IFERROR(VLOOKUP(A54,基础资料!$Y$5:$Z$204,2,FALSE),""))</f>
        <v/>
      </c>
      <c r="P54" s="54"/>
      <c r="Q54" s="60"/>
      <c r="R54" s="54"/>
    </row>
  </sheetData>
  <mergeCells count="1">
    <mergeCell ref="A1:R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3"/>
  <sheetViews>
    <sheetView workbookViewId="0">
      <selection activeCell="A1" sqref="A1:Q1"/>
    </sheetView>
  </sheetViews>
  <sheetFormatPr defaultColWidth="9" defaultRowHeight="14.25"/>
  <cols>
    <col min="2" max="2" width="10.75" customWidth="1"/>
    <col min="6" max="6" width="10.75" customWidth="1"/>
  </cols>
  <sheetData>
    <row r="1" ht="20.25" spans="1:17">
      <c r="A1" s="45" t="s">
        <v>489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>
      <c r="A2" t="s">
        <v>490</v>
      </c>
    </row>
    <row r="3" ht="28.5" spans="1:17">
      <c r="A3" s="43" t="s">
        <v>491</v>
      </c>
      <c r="B3" s="43" t="s">
        <v>492</v>
      </c>
      <c r="C3" s="43" t="s">
        <v>156</v>
      </c>
      <c r="D3" s="43" t="s">
        <v>493</v>
      </c>
      <c r="E3" s="43" t="s">
        <v>494</v>
      </c>
      <c r="F3" s="43" t="s">
        <v>436</v>
      </c>
      <c r="G3" s="43" t="s">
        <v>495</v>
      </c>
      <c r="H3" s="43" t="s">
        <v>496</v>
      </c>
      <c r="I3" s="43" t="s">
        <v>497</v>
      </c>
      <c r="J3" s="43" t="s">
        <v>498</v>
      </c>
      <c r="K3" s="43" t="s">
        <v>499</v>
      </c>
      <c r="L3" s="43" t="s">
        <v>500</v>
      </c>
      <c r="M3" s="43" t="s">
        <v>501</v>
      </c>
      <c r="N3" s="43" t="s">
        <v>502</v>
      </c>
      <c r="O3" s="43" t="s">
        <v>472</v>
      </c>
      <c r="P3" s="43" t="s">
        <v>43</v>
      </c>
      <c r="Q3" s="43" t="s">
        <v>31</v>
      </c>
    </row>
    <row r="4" spans="1:17">
      <c r="A4" t="str">
        <f t="shared" ref="A4:A13" si="0">"期初"</f>
        <v>期初</v>
      </c>
      <c r="B4" s="5">
        <f>期初数据!G5</f>
        <v>46023</v>
      </c>
      <c r="C4" t="str">
        <f>期初数据!F5</f>
        <v>客户A</v>
      </c>
      <c r="D4" t="str">
        <f t="shared" ref="D4:D13" si="1">"期初应收"</f>
        <v>期初应收</v>
      </c>
      <c r="E4" s="17">
        <f>期初数据!H5</f>
        <v>15000</v>
      </c>
      <c r="F4" s="5">
        <f>IF(B4="","",B4+IFERROR(VLOOKUP(C4,基础资料!$Y$5:$AA$204,3,FALSE),0))</f>
        <v>46053</v>
      </c>
      <c r="G4" s="17">
        <f>IF(C4="","",SUMIFS(资金流水!$J$4:$J$203,资金流水!$F$4:$F$203,C4,资金流水!$D$4:$D$203,"客户回款",资金流水!$A$4:$A$203,"&lt;="&amp;应收跟进!$E$2))</f>
        <v>12000</v>
      </c>
      <c r="H4" s="17">
        <f>0</f>
        <v>0</v>
      </c>
      <c r="I4" s="55"/>
      <c r="J4" s="17">
        <f>IF(C4="","",MIN(MAX(0,E4-N(I4)),MAX(0,G4-SUMIFS($I$4:$I$213,$C$4:$C$213,C4))))</f>
        <v>12000</v>
      </c>
      <c r="K4" s="17">
        <f t="shared" ref="K4:K67" si="2">IF(C4="","",MIN(E4,N(I4)+J4))</f>
        <v>12000</v>
      </c>
      <c r="L4" s="17">
        <f t="shared" ref="L4:L67" si="3">IF(C4="","",MAX(0,E4-K4))</f>
        <v>3000</v>
      </c>
      <c r="M4" s="59">
        <f>IF(C4="","",IF(OR(L4&lt;=0,F4=""),0,MAX(0,应收跟进!$E$2-F4)))</f>
        <v>150</v>
      </c>
      <c r="N4" t="str">
        <f>IF(C4="","",IF(L4&lt;=0,"已结清",IF(F4&gt;应收跟进!$E$2,"未到期",IF(M4&lt;=30,"逾期1-30天",IF(M4&lt;=60,"逾期31-60天",IF(M4&lt;=90,"逾期61-90天","逾期90天以上"))))))</f>
        <v>逾期90天以上</v>
      </c>
      <c r="O4" t="str">
        <f t="shared" ref="O4:O67" si="4">IF(C4="","",IF(L4&lt;=0,"已结清",IF(M4&gt;90,"高风险",IF(M4&gt;30,"重点关注",IF(M4&gt;0,"到期提醒","正常")))))</f>
        <v>高风险</v>
      </c>
      <c r="P4" t="str">
        <f>IFERROR(VLOOKUP(C4,基础资料!$Y$5:$Z$204,2,FALSE),"")</f>
        <v>张伟</v>
      </c>
      <c r="Q4" t="str">
        <f t="shared" ref="Q4:Q13" si="5">"期初应收"</f>
        <v>期初应收</v>
      </c>
    </row>
    <row r="5" spans="1:17">
      <c r="A5" t="str">
        <f t="shared" si="0"/>
        <v>期初</v>
      </c>
      <c r="B5" s="5">
        <f>期初数据!G6</f>
        <v>46023</v>
      </c>
      <c r="C5" t="str">
        <f>期初数据!F6</f>
        <v>客户B</v>
      </c>
      <c r="D5" t="str">
        <f t="shared" si="1"/>
        <v>期初应收</v>
      </c>
      <c r="E5" s="17">
        <f>期初数据!H6</f>
        <v>12000</v>
      </c>
      <c r="F5" s="5">
        <f>IF(B5="","",B5+IFERROR(VLOOKUP(C5,基础资料!$Y$5:$AA$204,3,FALSE),0))</f>
        <v>46053</v>
      </c>
      <c r="G5" s="17">
        <f>IF(C5="","",SUMIFS(资金流水!$J$4:$J$203,资金流水!$F$4:$F$203,C5,资金流水!$D$4:$D$203,"客户回款",资金流水!$A$4:$A$203,"&lt;="&amp;应收跟进!$E$2))</f>
        <v>8000</v>
      </c>
      <c r="H5" s="17">
        <f>IF(C5="","",SUMIFS($E$4:E4,$C$4:C4,C5))</f>
        <v>0</v>
      </c>
      <c r="I5" s="55"/>
      <c r="J5" s="17">
        <f>IF(C5="","",MIN(MAX(0,E5-N(I5)),MAX(0,G5-SUMIFS($I$4:$I$213,$C$4:$C$213,C5)-(SUMIFS($E$4:E4,$C$4:C4,C5)-SUMIFS($I$4:I4,$C$4:C4,C5)))))</f>
        <v>8000</v>
      </c>
      <c r="K5" s="17">
        <f t="shared" si="2"/>
        <v>8000</v>
      </c>
      <c r="L5" s="17">
        <f t="shared" si="3"/>
        <v>4000</v>
      </c>
      <c r="M5" s="59">
        <f>IF(C5="","",IF(OR(L5&lt;=0,F5=""),0,MAX(0,应收跟进!$E$2-F5)))</f>
        <v>150</v>
      </c>
      <c r="N5" t="str">
        <f>IF(C5="","",IF(L5&lt;=0,"已结清",IF(F5&gt;应收跟进!$E$2,"未到期",IF(M5&lt;=30,"逾期1-30天",IF(M5&lt;=60,"逾期31-60天",IF(M5&lt;=90,"逾期61-90天","逾期90天以上"))))))</f>
        <v>逾期90天以上</v>
      </c>
      <c r="O5" t="str">
        <f t="shared" si="4"/>
        <v>高风险</v>
      </c>
      <c r="P5" t="str">
        <f>IFERROR(VLOOKUP(C5,基础资料!$Y$5:$Z$204,2,FALSE),"")</f>
        <v>李娜</v>
      </c>
      <c r="Q5" t="str">
        <f t="shared" si="5"/>
        <v>期初应收</v>
      </c>
    </row>
    <row r="6" spans="1:17">
      <c r="A6" t="str">
        <f t="shared" si="0"/>
        <v>期初</v>
      </c>
      <c r="B6" s="5">
        <f>期初数据!G7</f>
        <v>46023</v>
      </c>
      <c r="C6" t="str">
        <f>期初数据!F7</f>
        <v>客户C</v>
      </c>
      <c r="D6" t="str">
        <f t="shared" si="1"/>
        <v>期初应收</v>
      </c>
      <c r="E6" s="17">
        <f>期初数据!H7</f>
        <v>18000</v>
      </c>
      <c r="F6" s="5">
        <f>IF(B6="","",B6+IFERROR(VLOOKUP(C6,基础资料!$Y$5:$AA$204,3,FALSE),0))</f>
        <v>46068</v>
      </c>
      <c r="G6" s="17">
        <f>IF(C6="","",SUMIFS(资金流水!$J$4:$J$203,资金流水!$F$4:$F$203,C6,资金流水!$D$4:$D$203,"客户回款",资金流水!$A$4:$A$203,"&lt;="&amp;应收跟进!$E$2))</f>
        <v>0</v>
      </c>
      <c r="H6" s="17">
        <f>IF(C6="","",SUMIFS($E$4:E5,$C$4:C5,C6))</f>
        <v>0</v>
      </c>
      <c r="I6" s="55"/>
      <c r="J6" s="17">
        <f>IF(C6="","",MIN(MAX(0,E6-N(I6)),MAX(0,G6-SUMIFS($I$4:$I$213,$C$4:$C$213,C6)-(SUMIFS($E$4:E5,$C$4:C5,C6)-SUMIFS($I$4:I5,$C$4:C5,C6)))))</f>
        <v>0</v>
      </c>
      <c r="K6" s="17">
        <f t="shared" si="2"/>
        <v>0</v>
      </c>
      <c r="L6" s="17">
        <f t="shared" si="3"/>
        <v>18000</v>
      </c>
      <c r="M6" s="59">
        <f>IF(C6="","",IF(OR(L6&lt;=0,F6=""),0,MAX(0,应收跟进!$E$2-F6)))</f>
        <v>135</v>
      </c>
      <c r="N6" t="str">
        <f>IF(C6="","",IF(L6&lt;=0,"已结清",IF(F6&gt;应收跟进!$E$2,"未到期",IF(M6&lt;=30,"逾期1-30天",IF(M6&lt;=60,"逾期31-60天",IF(M6&lt;=90,"逾期61-90天","逾期90天以上"))))))</f>
        <v>逾期90天以上</v>
      </c>
      <c r="O6" t="str">
        <f t="shared" si="4"/>
        <v>高风险</v>
      </c>
      <c r="P6" t="str">
        <f>IFERROR(VLOOKUP(C6,基础资料!$Y$5:$Z$204,2,FALSE),"")</f>
        <v>张伟</v>
      </c>
      <c r="Q6" t="str">
        <f t="shared" si="5"/>
        <v>期初应收</v>
      </c>
    </row>
    <row r="7" spans="1:17">
      <c r="A7" t="str">
        <f t="shared" si="0"/>
        <v>期初</v>
      </c>
      <c r="B7" s="5">
        <f>期初数据!G8</f>
        <v>46023</v>
      </c>
      <c r="C7" t="str">
        <f>期初数据!F8</f>
        <v>客户D</v>
      </c>
      <c r="D7" t="str">
        <f t="shared" si="1"/>
        <v>期初应收</v>
      </c>
      <c r="E7" s="17">
        <f>期初数据!H8</f>
        <v>8000</v>
      </c>
      <c r="F7" s="5">
        <f>IF(B7="","",B7+IFERROR(VLOOKUP(C7,基础资料!$Y$5:$AA$204,3,FALSE),0))</f>
        <v>46053</v>
      </c>
      <c r="G7" s="17">
        <f>IF(C7="","",SUMIFS(资金流水!$J$4:$J$203,资金流水!$F$4:$F$203,C7,资金流水!$D$4:$D$203,"客户回款",资金流水!$A$4:$A$203,"&lt;="&amp;应收跟进!$E$2))</f>
        <v>0</v>
      </c>
      <c r="H7" s="17">
        <f>IF(C7="","",SUMIFS($E$4:E6,$C$4:C6,C7))</f>
        <v>0</v>
      </c>
      <c r="I7" s="55"/>
      <c r="J7" s="17">
        <f>IF(C7="","",MIN(MAX(0,E7-N(I7)),MAX(0,G7-SUMIFS($I$4:$I$213,$C$4:$C$213,C7)-(SUMIFS($E$4:E6,$C$4:C6,C7)-SUMIFS($I$4:I6,$C$4:C6,C7)))))</f>
        <v>0</v>
      </c>
      <c r="K7" s="17">
        <f t="shared" si="2"/>
        <v>0</v>
      </c>
      <c r="L7" s="17">
        <f t="shared" si="3"/>
        <v>8000</v>
      </c>
      <c r="M7" s="59">
        <f>IF(C7="","",IF(OR(L7&lt;=0,F7=""),0,MAX(0,应收跟进!$E$2-F7)))</f>
        <v>150</v>
      </c>
      <c r="N7" t="str">
        <f>IF(C7="","",IF(L7&lt;=0,"已结清",IF(F7&gt;应收跟进!$E$2,"未到期",IF(M7&lt;=30,"逾期1-30天",IF(M7&lt;=60,"逾期31-60天",IF(M7&lt;=90,"逾期61-90天","逾期90天以上"))))))</f>
        <v>逾期90天以上</v>
      </c>
      <c r="O7" t="str">
        <f t="shared" si="4"/>
        <v>高风险</v>
      </c>
      <c r="P7" t="str">
        <f>IFERROR(VLOOKUP(C7,基础资料!$Y$5:$Z$204,2,FALSE),"")</f>
        <v>李娜</v>
      </c>
      <c r="Q7" t="str">
        <f t="shared" si="5"/>
        <v>期初应收</v>
      </c>
    </row>
    <row r="8" spans="1:17">
      <c r="A8" t="str">
        <f t="shared" si="0"/>
        <v>期初</v>
      </c>
      <c r="B8" s="5">
        <f>期初数据!G9</f>
        <v>46023</v>
      </c>
      <c r="C8" t="str">
        <f>期初数据!F9</f>
        <v>客户E</v>
      </c>
      <c r="D8" t="str">
        <f t="shared" si="1"/>
        <v>期初应收</v>
      </c>
      <c r="E8" s="17">
        <f>期初数据!H9</f>
        <v>25000</v>
      </c>
      <c r="F8" s="5">
        <f>IF(B8="","",B8+IFERROR(VLOOKUP(C8,基础资料!$Y$5:$AA$204,3,FALSE),0))</f>
        <v>46083</v>
      </c>
      <c r="G8" s="17">
        <f>IF(C8="","",SUMIFS(资金流水!$J$4:$J$203,资金流水!$F$4:$F$203,C8,资金流水!$D$4:$D$203,"客户回款",资金流水!$A$4:$A$203,"&lt;="&amp;应收跟进!$E$2))</f>
        <v>0</v>
      </c>
      <c r="H8" s="17">
        <f>IF(C8="","",SUMIFS($E$4:E7,$C$4:C7,C8))</f>
        <v>0</v>
      </c>
      <c r="I8" s="55"/>
      <c r="J8" s="17">
        <f>IF(C8="","",MIN(MAX(0,E8-N(I8)),MAX(0,G8-SUMIFS($I$4:$I$213,$C$4:$C$213,C8)-(SUMIFS($E$4:E7,$C$4:C7,C8)-SUMIFS($I$4:I7,$C$4:C7,C8)))))</f>
        <v>0</v>
      </c>
      <c r="K8" s="17">
        <f t="shared" si="2"/>
        <v>0</v>
      </c>
      <c r="L8" s="17">
        <f t="shared" si="3"/>
        <v>25000</v>
      </c>
      <c r="M8" s="59">
        <f>IF(C8="","",IF(OR(L8&lt;=0,F8=""),0,MAX(0,应收跟进!$E$2-F8)))</f>
        <v>120</v>
      </c>
      <c r="N8" t="str">
        <f>IF(C8="","",IF(L8&lt;=0,"已结清",IF(F8&gt;应收跟进!$E$2,"未到期",IF(M8&lt;=30,"逾期1-30天",IF(M8&lt;=60,"逾期31-60天",IF(M8&lt;=90,"逾期61-90天","逾期90天以上"))))))</f>
        <v>逾期90天以上</v>
      </c>
      <c r="O8" t="str">
        <f t="shared" si="4"/>
        <v>高风险</v>
      </c>
      <c r="P8" t="str">
        <f>IFERROR(VLOOKUP(C8,基础资料!$Y$5:$Z$204,2,FALSE),"")</f>
        <v>张伟</v>
      </c>
      <c r="Q8" t="str">
        <f t="shared" si="5"/>
        <v>期初应收</v>
      </c>
    </row>
    <row r="9" spans="1:17">
      <c r="A9" t="str">
        <f t="shared" si="0"/>
        <v>期初</v>
      </c>
      <c r="B9" s="5">
        <f>期初数据!G10</f>
        <v>46023</v>
      </c>
      <c r="C9" t="str">
        <f>期初数据!F10</f>
        <v>客户F</v>
      </c>
      <c r="D9" t="str">
        <f t="shared" si="1"/>
        <v>期初应收</v>
      </c>
      <c r="E9" s="17">
        <f>期初数据!H10</f>
        <v>16000</v>
      </c>
      <c r="F9" s="5">
        <f>IF(B9="","",B9+IFERROR(VLOOKUP(C9,基础资料!$Y$5:$AA$204,3,FALSE),0))</f>
        <v>46053</v>
      </c>
      <c r="G9" s="17">
        <f>IF(C9="","",SUMIFS(资金流水!$J$4:$J$203,资金流水!$F$4:$F$203,C9,资金流水!$D$4:$D$203,"客户回款",资金流水!$A$4:$A$203,"&lt;="&amp;应收跟进!$E$2))</f>
        <v>0</v>
      </c>
      <c r="H9" s="17">
        <f>IF(C9="","",SUMIFS($E$4:E8,$C$4:C8,C9))</f>
        <v>0</v>
      </c>
      <c r="I9" s="55"/>
      <c r="J9" s="17">
        <f>IF(C9="","",MIN(MAX(0,E9-N(I9)),MAX(0,G9-SUMIFS($I$4:$I$213,$C$4:$C$213,C9)-(SUMIFS($E$4:E8,$C$4:C8,C9)-SUMIFS($I$4:I8,$C$4:C8,C9)))))</f>
        <v>0</v>
      </c>
      <c r="K9" s="17">
        <f t="shared" si="2"/>
        <v>0</v>
      </c>
      <c r="L9" s="17">
        <f t="shared" si="3"/>
        <v>16000</v>
      </c>
      <c r="M9" s="59">
        <f>IF(C9="","",IF(OR(L9&lt;=0,F9=""),0,MAX(0,应收跟进!$E$2-F9)))</f>
        <v>150</v>
      </c>
      <c r="N9" t="str">
        <f>IF(C9="","",IF(L9&lt;=0,"已结清",IF(F9&gt;应收跟进!$E$2,"未到期",IF(M9&lt;=30,"逾期1-30天",IF(M9&lt;=60,"逾期31-60天",IF(M9&lt;=90,"逾期61-90天","逾期90天以上"))))))</f>
        <v>逾期90天以上</v>
      </c>
      <c r="O9" t="str">
        <f t="shared" si="4"/>
        <v>高风险</v>
      </c>
      <c r="P9" t="str">
        <f>IFERROR(VLOOKUP(C9,基础资料!$Y$5:$Z$204,2,FALSE),"")</f>
        <v>李娜</v>
      </c>
      <c r="Q9" t="str">
        <f t="shared" si="5"/>
        <v>期初应收</v>
      </c>
    </row>
    <row r="10" spans="1:17">
      <c r="A10" t="str">
        <f t="shared" si="0"/>
        <v>期初</v>
      </c>
      <c r="B10" s="5">
        <f>期初数据!G11</f>
        <v>46023</v>
      </c>
      <c r="C10" t="str">
        <f>期初数据!F11</f>
        <v>客户G</v>
      </c>
      <c r="D10" t="str">
        <f t="shared" si="1"/>
        <v>期初应收</v>
      </c>
      <c r="E10" s="17">
        <f>期初数据!H11</f>
        <v>14000</v>
      </c>
      <c r="F10" s="5">
        <f>IF(B10="","",B10+IFERROR(VLOOKUP(C10,基础资料!$Y$5:$AA$204,3,FALSE),0))</f>
        <v>46068</v>
      </c>
      <c r="G10" s="17">
        <f>IF(C10="","",SUMIFS(资金流水!$J$4:$J$203,资金流水!$F$4:$F$203,C10,资金流水!$D$4:$D$203,"客户回款",资金流水!$A$4:$A$203,"&lt;="&amp;应收跟进!$E$2))</f>
        <v>0</v>
      </c>
      <c r="H10" s="17">
        <f>IF(C10="","",SUMIFS($E$4:E9,$C$4:C9,C10))</f>
        <v>0</v>
      </c>
      <c r="I10" s="55"/>
      <c r="J10" s="17">
        <f>IF(C10="","",MIN(MAX(0,E10-N(I10)),MAX(0,G10-SUMIFS($I$4:$I$213,$C$4:$C$213,C10)-(SUMIFS($E$4:E9,$C$4:C9,C10)-SUMIFS($I$4:I9,$C$4:C9,C10)))))</f>
        <v>0</v>
      </c>
      <c r="K10" s="17">
        <f t="shared" si="2"/>
        <v>0</v>
      </c>
      <c r="L10" s="17">
        <f t="shared" si="3"/>
        <v>14000</v>
      </c>
      <c r="M10" s="59">
        <f>IF(C10="","",IF(OR(L10&lt;=0,F10=""),0,MAX(0,应收跟进!$E$2-F10)))</f>
        <v>135</v>
      </c>
      <c r="N10" t="str">
        <f>IF(C10="","",IF(L10&lt;=0,"已结清",IF(F10&gt;应收跟进!$E$2,"未到期",IF(M10&lt;=30,"逾期1-30天",IF(M10&lt;=60,"逾期31-60天",IF(M10&lt;=90,"逾期61-90天","逾期90天以上"))))))</f>
        <v>逾期90天以上</v>
      </c>
      <c r="O10" t="str">
        <f t="shared" si="4"/>
        <v>高风险</v>
      </c>
      <c r="P10" t="str">
        <f>IFERROR(VLOOKUP(C10,基础资料!$Y$5:$Z$204,2,FALSE),"")</f>
        <v>张伟</v>
      </c>
      <c r="Q10" t="str">
        <f t="shared" si="5"/>
        <v>期初应收</v>
      </c>
    </row>
    <row r="11" spans="1:17">
      <c r="A11" t="str">
        <f t="shared" si="0"/>
        <v>期初</v>
      </c>
      <c r="B11" s="5">
        <f>期初数据!G12</f>
        <v>46023</v>
      </c>
      <c r="C11" t="str">
        <f>期初数据!F12</f>
        <v>客户H</v>
      </c>
      <c r="D11" t="str">
        <f t="shared" si="1"/>
        <v>期初应收</v>
      </c>
      <c r="E11" s="17">
        <f>期初数据!H12</f>
        <v>20000</v>
      </c>
      <c r="F11" s="5">
        <f>IF(B11="","",B11+IFERROR(VLOOKUP(C11,基础资料!$Y$5:$AA$204,3,FALSE),0))</f>
        <v>46053</v>
      </c>
      <c r="G11" s="17">
        <f>IF(C11="","",SUMIFS(资金流水!$J$4:$J$203,资金流水!$F$4:$F$203,C11,资金流水!$D$4:$D$203,"客户回款",资金流水!$A$4:$A$203,"&lt;="&amp;应收跟进!$E$2))</f>
        <v>0</v>
      </c>
      <c r="H11" s="17">
        <f>IF(C11="","",SUMIFS($E$4:E10,$C$4:C10,C11))</f>
        <v>0</v>
      </c>
      <c r="I11" s="55"/>
      <c r="J11" s="17">
        <f>IF(C11="","",MIN(MAX(0,E11-N(I11)),MAX(0,G11-SUMIFS($I$4:$I$213,$C$4:$C$213,C11)-(SUMIFS($E$4:E10,$C$4:C10,C11)-SUMIFS($I$4:I10,$C$4:C10,C11)))))</f>
        <v>0</v>
      </c>
      <c r="K11" s="17">
        <f t="shared" si="2"/>
        <v>0</v>
      </c>
      <c r="L11" s="17">
        <f t="shared" si="3"/>
        <v>20000</v>
      </c>
      <c r="M11" s="59">
        <f>IF(C11="","",IF(OR(L11&lt;=0,F11=""),0,MAX(0,应收跟进!$E$2-F11)))</f>
        <v>150</v>
      </c>
      <c r="N11" t="str">
        <f>IF(C11="","",IF(L11&lt;=0,"已结清",IF(F11&gt;应收跟进!$E$2,"未到期",IF(M11&lt;=30,"逾期1-30天",IF(M11&lt;=60,"逾期31-60天",IF(M11&lt;=90,"逾期61-90天","逾期90天以上"))))))</f>
        <v>逾期90天以上</v>
      </c>
      <c r="O11" t="str">
        <f t="shared" si="4"/>
        <v>高风险</v>
      </c>
      <c r="P11" t="str">
        <f>IFERROR(VLOOKUP(C11,基础资料!$Y$5:$Z$204,2,FALSE),"")</f>
        <v>李娜</v>
      </c>
      <c r="Q11" t="str">
        <f t="shared" si="5"/>
        <v>期初应收</v>
      </c>
    </row>
    <row r="12" spans="1:17">
      <c r="A12" t="str">
        <f t="shared" si="0"/>
        <v>期初</v>
      </c>
      <c r="B12" s="5">
        <f>期初数据!G13</f>
        <v>46023</v>
      </c>
      <c r="C12" t="str">
        <f>期初数据!F13</f>
        <v>客户I</v>
      </c>
      <c r="D12" t="str">
        <f t="shared" si="1"/>
        <v>期初应收</v>
      </c>
      <c r="E12" s="17">
        <f>期初数据!H13</f>
        <v>10000</v>
      </c>
      <c r="F12" s="5">
        <f>IF(B12="","",B12+IFERROR(VLOOKUP(C12,基础资料!$Y$5:$AA$204,3,FALSE),0))</f>
        <v>46053</v>
      </c>
      <c r="G12" s="17">
        <f>IF(C12="","",SUMIFS(资金流水!$J$4:$J$203,资金流水!$F$4:$F$203,C12,资金流水!$D$4:$D$203,"客户回款",资金流水!$A$4:$A$203,"&lt;="&amp;应收跟进!$E$2))</f>
        <v>0</v>
      </c>
      <c r="H12" s="17">
        <f>IF(C12="","",SUMIFS($E$4:E11,$C$4:C11,C12))</f>
        <v>0</v>
      </c>
      <c r="I12" s="55"/>
      <c r="J12" s="17">
        <f>IF(C12="","",MIN(MAX(0,E12-N(I12)),MAX(0,G12-SUMIFS($I$4:$I$213,$C$4:$C$213,C12)-(SUMIFS($E$4:E11,$C$4:C11,C12)-SUMIFS($I$4:I11,$C$4:C11,C12)))))</f>
        <v>0</v>
      </c>
      <c r="K12" s="17">
        <f t="shared" si="2"/>
        <v>0</v>
      </c>
      <c r="L12" s="17">
        <f t="shared" si="3"/>
        <v>10000</v>
      </c>
      <c r="M12" s="59">
        <f>IF(C12="","",IF(OR(L12&lt;=0,F12=""),0,MAX(0,应收跟进!$E$2-F12)))</f>
        <v>150</v>
      </c>
      <c r="N12" t="str">
        <f>IF(C12="","",IF(L12&lt;=0,"已结清",IF(F12&gt;应收跟进!$E$2,"未到期",IF(M12&lt;=30,"逾期1-30天",IF(M12&lt;=60,"逾期31-60天",IF(M12&lt;=90,"逾期61-90天","逾期90天以上"))))))</f>
        <v>逾期90天以上</v>
      </c>
      <c r="O12" t="str">
        <f t="shared" si="4"/>
        <v>高风险</v>
      </c>
      <c r="P12" t="str">
        <f>IFERROR(VLOOKUP(C12,基础资料!$Y$5:$Z$204,2,FALSE),"")</f>
        <v>张伟</v>
      </c>
      <c r="Q12" t="str">
        <f t="shared" si="5"/>
        <v>期初应收</v>
      </c>
    </row>
    <row r="13" spans="1:17">
      <c r="A13" t="str">
        <f t="shared" si="0"/>
        <v>期初</v>
      </c>
      <c r="B13" s="5">
        <f>期初数据!G14</f>
        <v>46023</v>
      </c>
      <c r="C13" t="str">
        <f>期初数据!F14</f>
        <v>客户J</v>
      </c>
      <c r="D13" t="str">
        <f t="shared" si="1"/>
        <v>期初应收</v>
      </c>
      <c r="E13" s="17">
        <f>期初数据!H14</f>
        <v>20000</v>
      </c>
      <c r="F13" s="5">
        <f>IF(B13="","",B13+IFERROR(VLOOKUP(C13,基础资料!$Y$5:$AA$204,3,FALSE),0))</f>
        <v>46083</v>
      </c>
      <c r="G13" s="17">
        <f>IF(C13="","",SUMIFS(资金流水!$J$4:$J$203,资金流水!$F$4:$F$203,C13,资金流水!$D$4:$D$203,"客户回款",资金流水!$A$4:$A$203,"&lt;="&amp;应收跟进!$E$2))</f>
        <v>0</v>
      </c>
      <c r="H13" s="17">
        <f>IF(C13="","",SUMIFS($E$4:E12,$C$4:C12,C13))</f>
        <v>0</v>
      </c>
      <c r="I13" s="55"/>
      <c r="J13" s="17">
        <f>IF(C13="","",MIN(MAX(0,E13-N(I13)),MAX(0,G13-SUMIFS($I$4:$I$213,$C$4:$C$213,C13)-(SUMIFS($E$4:E12,$C$4:C12,C13)-SUMIFS($I$4:I12,$C$4:C12,C13)))))</f>
        <v>0</v>
      </c>
      <c r="K13" s="17">
        <f t="shared" si="2"/>
        <v>0</v>
      </c>
      <c r="L13" s="17">
        <f t="shared" si="3"/>
        <v>20000</v>
      </c>
      <c r="M13" s="59">
        <f>IF(C13="","",IF(OR(L13&lt;=0,F13=""),0,MAX(0,应收跟进!$E$2-F13)))</f>
        <v>120</v>
      </c>
      <c r="N13" t="str">
        <f>IF(C13="","",IF(L13&lt;=0,"已结清",IF(F13&gt;应收跟进!$E$2,"未到期",IF(M13&lt;=30,"逾期1-30天",IF(M13&lt;=60,"逾期31-60天",IF(M13&lt;=90,"逾期61-90天","逾期90天以上"))))))</f>
        <v>逾期90天以上</v>
      </c>
      <c r="O13" t="str">
        <f t="shared" si="4"/>
        <v>高风险</v>
      </c>
      <c r="P13" t="str">
        <f>IFERROR(VLOOKUP(C13,基础资料!$Y$5:$Z$204,2,FALSE),"")</f>
        <v>李娜</v>
      </c>
      <c r="Q13" t="str">
        <f t="shared" si="5"/>
        <v>期初应收</v>
      </c>
    </row>
    <row r="14" spans="1:17">
      <c r="A14" t="str">
        <f>IF(销售录入!A4="","","销售")</f>
        <v>销售</v>
      </c>
      <c r="B14" s="5">
        <f>IF(销售录入!A4="","",销售录入!A4)</f>
        <v>46174</v>
      </c>
      <c r="C14" t="str">
        <f>IF(销售录入!A4="","",销售录入!C4)</f>
        <v>客户A</v>
      </c>
      <c r="D14" t="str">
        <f>IF(销售录入!A4="","",销售录入!D4)</f>
        <v>A配件</v>
      </c>
      <c r="E14" s="17">
        <f>IF(销售录入!A4="","",销售录入!I4)</f>
        <v>4000</v>
      </c>
      <c r="F14" s="5">
        <f>IF(销售录入!A4="","",销售录入!L4)</f>
        <v>46204</v>
      </c>
      <c r="G14" s="17">
        <f>IF(C14="","",SUMIFS(资金流水!$J$4:$J$203,资金流水!$F$4:$F$203,C14,资金流水!$D$4:$D$203,"客户回款",资金流水!$A$4:$A$203,"&lt;="&amp;应收跟进!$E$2))</f>
        <v>12000</v>
      </c>
      <c r="H14" s="17">
        <f>IF(C14="","",SUMIFS($E$4:E13,$C$4:C13,C14))</f>
        <v>15000</v>
      </c>
      <c r="I14" s="55"/>
      <c r="J14" s="17">
        <f>IF(C14="","",MIN(MAX(0,E14-N(I14)),MAX(0,G14-SUMIFS($I$4:$I$213,$C$4:$C$213,C14)-(SUMIFS($E$4:E13,$C$4:C13,C14)-SUMIFS($I$4:I13,$C$4:C13,C14)))))</f>
        <v>0</v>
      </c>
      <c r="K14" s="17">
        <f t="shared" si="2"/>
        <v>0</v>
      </c>
      <c r="L14" s="17">
        <f t="shared" si="3"/>
        <v>4000</v>
      </c>
      <c r="M14" s="59">
        <f>IF(C14="","",IF(OR(L14&lt;=0,F14=""),0,MAX(0,应收跟进!$E$2-F14)))</f>
        <v>0</v>
      </c>
      <c r="N14" t="str">
        <f>IF(C14="","",IF(L14&lt;=0,"已结清",IF(F14&gt;应收跟进!$E$2,"未到期",IF(M14&lt;=30,"逾期1-30天",IF(M14&lt;=60,"逾期31-60天",IF(M14&lt;=90,"逾期61-90天","逾期90天以上"))))))</f>
        <v>未到期</v>
      </c>
      <c r="O14" t="str">
        <f t="shared" si="4"/>
        <v>正常</v>
      </c>
      <c r="P14" t="str">
        <f>IF(销售录入!A4="","",销售录入!N4)</f>
        <v>张伟</v>
      </c>
      <c r="Q14" t="str">
        <f>IF(销售录入!A4="","",销售录入!O4)</f>
        <v>演示销售</v>
      </c>
    </row>
    <row r="15" spans="1:17">
      <c r="A15" t="str">
        <f>IF(销售录入!A5="","","销售")</f>
        <v>销售</v>
      </c>
      <c r="B15" s="5">
        <f>IF(销售录入!A5="","",销售录入!A5)</f>
        <v>46176</v>
      </c>
      <c r="C15" t="str">
        <f>IF(销售录入!A5="","",销售录入!C5)</f>
        <v>客户B</v>
      </c>
      <c r="D15" t="str">
        <f>IF(销售录入!A5="","",销售录入!D5)</f>
        <v>B配件</v>
      </c>
      <c r="E15" s="17">
        <f>IF(销售录入!A5="","",销售录入!I5)</f>
        <v>3750</v>
      </c>
      <c r="F15" s="5">
        <f>IF(销售录入!A5="","",销售录入!L5)</f>
        <v>46206</v>
      </c>
      <c r="G15" s="17">
        <f>IF(C15="","",SUMIFS(资金流水!$J$4:$J$203,资金流水!$F$4:$F$203,C15,资金流水!$D$4:$D$203,"客户回款",资金流水!$A$4:$A$203,"&lt;="&amp;应收跟进!$E$2))</f>
        <v>8000</v>
      </c>
      <c r="H15" s="17">
        <f>IF(C15="","",SUMIFS($E$4:E14,$C$4:C14,C15))</f>
        <v>12000</v>
      </c>
      <c r="I15" s="55"/>
      <c r="J15" s="17">
        <f>IF(C15="","",MIN(MAX(0,E15-N(I15)),MAX(0,G15-SUMIFS($I$4:$I$213,$C$4:$C$213,C15)-(SUMIFS($E$4:E14,$C$4:C14,C15)-SUMIFS($I$4:I14,$C$4:C14,C15)))))</f>
        <v>0</v>
      </c>
      <c r="K15" s="17">
        <f t="shared" si="2"/>
        <v>0</v>
      </c>
      <c r="L15" s="17">
        <f t="shared" si="3"/>
        <v>3750</v>
      </c>
      <c r="M15" s="59">
        <f>IF(C15="","",IF(OR(L15&lt;=0,F15=""),0,MAX(0,应收跟进!$E$2-F15)))</f>
        <v>0</v>
      </c>
      <c r="N15" t="str">
        <f>IF(C15="","",IF(L15&lt;=0,"已结清",IF(F15&gt;应收跟进!$E$2,"未到期",IF(M15&lt;=30,"逾期1-30天",IF(M15&lt;=60,"逾期31-60天",IF(M15&lt;=90,"逾期61-90天","逾期90天以上"))))))</f>
        <v>未到期</v>
      </c>
      <c r="O15" t="str">
        <f t="shared" si="4"/>
        <v>正常</v>
      </c>
      <c r="P15" t="str">
        <f>IF(销售录入!A5="","",销售录入!N5)</f>
        <v>李娜</v>
      </c>
      <c r="Q15" t="str">
        <f>IF(销售录入!A5="","",销售录入!O5)</f>
        <v>演示销售</v>
      </c>
    </row>
    <row r="16" spans="1:17">
      <c r="A16" t="str">
        <f>IF(销售录入!A6="","","销售")</f>
        <v>销售</v>
      </c>
      <c r="B16" s="5">
        <f>IF(销售录入!A6="","",销售录入!A6)</f>
        <v>46178</v>
      </c>
      <c r="C16" t="str">
        <f>IF(销售录入!A6="","",销售录入!C6)</f>
        <v>客户C</v>
      </c>
      <c r="D16" t="str">
        <f>IF(销售录入!A6="","",销售录入!D6)</f>
        <v>C配件</v>
      </c>
      <c r="E16" s="17">
        <f>IF(销售录入!A6="","",销售录入!I6)</f>
        <v>3000</v>
      </c>
      <c r="F16" s="5">
        <f>IF(销售录入!A6="","",销售录入!L6)</f>
        <v>46223</v>
      </c>
      <c r="G16" s="17">
        <f>IF(C16="","",SUMIFS(资金流水!$J$4:$J$203,资金流水!$F$4:$F$203,C16,资金流水!$D$4:$D$203,"客户回款",资金流水!$A$4:$A$203,"&lt;="&amp;应收跟进!$E$2))</f>
        <v>0</v>
      </c>
      <c r="H16" s="17">
        <f>IF(C16="","",SUMIFS($E$4:E15,$C$4:C15,C16))</f>
        <v>18000</v>
      </c>
      <c r="I16" s="55"/>
      <c r="J16" s="17">
        <f>IF(C16="","",MIN(MAX(0,E16-N(I16)),MAX(0,G16-SUMIFS($I$4:$I$213,$C$4:$C$213,C16)-(SUMIFS($E$4:E15,$C$4:C15,C16)-SUMIFS($I$4:I15,$C$4:C15,C16)))))</f>
        <v>0</v>
      </c>
      <c r="K16" s="17">
        <f t="shared" si="2"/>
        <v>0</v>
      </c>
      <c r="L16" s="17">
        <f t="shared" si="3"/>
        <v>3000</v>
      </c>
      <c r="M16" s="59">
        <f>IF(C16="","",IF(OR(L16&lt;=0,F16=""),0,MAX(0,应收跟进!$E$2-F16)))</f>
        <v>0</v>
      </c>
      <c r="N16" t="str">
        <f>IF(C16="","",IF(L16&lt;=0,"已结清",IF(F16&gt;应收跟进!$E$2,"未到期",IF(M16&lt;=30,"逾期1-30天",IF(M16&lt;=60,"逾期31-60天",IF(M16&lt;=90,"逾期61-90天","逾期90天以上"))))))</f>
        <v>未到期</v>
      </c>
      <c r="O16" t="str">
        <f t="shared" si="4"/>
        <v>正常</v>
      </c>
      <c r="P16" t="str">
        <f>IF(销售录入!A6="","",销售录入!N6)</f>
        <v>张伟</v>
      </c>
      <c r="Q16" t="str">
        <f>IF(销售录入!A6="","",销售录入!O6)</f>
        <v>演示销售</v>
      </c>
    </row>
    <row r="17" spans="1:17">
      <c r="A17" t="str">
        <f>IF(销售录入!A7="","","销售")</f>
        <v>销售</v>
      </c>
      <c r="B17" s="5">
        <f>IF(销售录入!A7="","",销售录入!A7)</f>
        <v>46180</v>
      </c>
      <c r="C17" t="str">
        <f>IF(销售录入!A7="","",销售录入!C7)</f>
        <v>客户D</v>
      </c>
      <c r="D17" t="str">
        <f>IF(销售录入!A7="","",销售录入!D7)</f>
        <v>D配件</v>
      </c>
      <c r="E17" s="17">
        <f>IF(销售录入!A7="","",销售录入!I7)</f>
        <v>3200</v>
      </c>
      <c r="F17" s="5">
        <f>IF(销售录入!A7="","",销售录入!L7)</f>
        <v>46210</v>
      </c>
      <c r="G17" s="17">
        <f>IF(C17="","",SUMIFS(资金流水!$J$4:$J$203,资金流水!$F$4:$F$203,C17,资金流水!$D$4:$D$203,"客户回款",资金流水!$A$4:$A$203,"&lt;="&amp;应收跟进!$E$2))</f>
        <v>0</v>
      </c>
      <c r="H17" s="17">
        <f>IF(C17="","",SUMIFS($E$4:E16,$C$4:C16,C17))</f>
        <v>8000</v>
      </c>
      <c r="I17" s="55"/>
      <c r="J17" s="17">
        <f>IF(C17="","",MIN(MAX(0,E17-N(I17)),MAX(0,G17-SUMIFS($I$4:$I$213,$C$4:$C$213,C17)-(SUMIFS($E$4:E16,$C$4:C16,C17)-SUMIFS($I$4:I16,$C$4:C16,C17)))))</f>
        <v>0</v>
      </c>
      <c r="K17" s="17">
        <f t="shared" si="2"/>
        <v>0</v>
      </c>
      <c r="L17" s="17">
        <f t="shared" si="3"/>
        <v>3200</v>
      </c>
      <c r="M17" s="59">
        <f>IF(C17="","",IF(OR(L17&lt;=0,F17=""),0,MAX(0,应收跟进!$E$2-F17)))</f>
        <v>0</v>
      </c>
      <c r="N17" t="str">
        <f>IF(C17="","",IF(L17&lt;=0,"已结清",IF(F17&gt;应收跟进!$E$2,"未到期",IF(M17&lt;=30,"逾期1-30天",IF(M17&lt;=60,"逾期31-60天",IF(M17&lt;=90,"逾期61-90天","逾期90天以上"))))))</f>
        <v>未到期</v>
      </c>
      <c r="O17" t="str">
        <f t="shared" si="4"/>
        <v>正常</v>
      </c>
      <c r="P17" t="str">
        <f>IF(销售录入!A7="","",销售录入!N7)</f>
        <v>李娜</v>
      </c>
      <c r="Q17" t="str">
        <f>IF(销售录入!A7="","",销售录入!O7)</f>
        <v>演示销售</v>
      </c>
    </row>
    <row r="18" spans="1:17">
      <c r="A18" t="str">
        <f>IF(销售录入!A8="","","销售")</f>
        <v>销售</v>
      </c>
      <c r="B18" s="5">
        <f>IF(销售录入!A8="","",销售录入!A8)</f>
        <v>46182</v>
      </c>
      <c r="C18" t="str">
        <f>IF(销售录入!A8="","",销售录入!C8)</f>
        <v>客户E</v>
      </c>
      <c r="D18" t="str">
        <f>IF(销售录入!A8="","",销售录入!D8)</f>
        <v>E配件</v>
      </c>
      <c r="E18" s="17">
        <f>IF(销售录入!A8="","",销售录入!I8)</f>
        <v>2500</v>
      </c>
      <c r="F18" s="5">
        <f>IF(销售录入!A8="","",销售录入!L8)</f>
        <v>46242</v>
      </c>
      <c r="G18" s="17">
        <f>IF(C18="","",SUMIFS(资金流水!$J$4:$J$203,资金流水!$F$4:$F$203,C18,资金流水!$D$4:$D$203,"客户回款",资金流水!$A$4:$A$203,"&lt;="&amp;应收跟进!$E$2))</f>
        <v>0</v>
      </c>
      <c r="H18" s="17">
        <f>IF(C18="","",SUMIFS($E$4:E17,$C$4:C17,C18))</f>
        <v>25000</v>
      </c>
      <c r="I18" s="55"/>
      <c r="J18" s="17">
        <f>IF(C18="","",MIN(MAX(0,E18-N(I18)),MAX(0,G18-SUMIFS($I$4:$I$213,$C$4:$C$213,C18)-(SUMIFS($E$4:E17,$C$4:C17,C18)-SUMIFS($I$4:I17,$C$4:C17,C18)))))</f>
        <v>0</v>
      </c>
      <c r="K18" s="17">
        <f t="shared" si="2"/>
        <v>0</v>
      </c>
      <c r="L18" s="17">
        <f t="shared" si="3"/>
        <v>2500</v>
      </c>
      <c r="M18" s="59">
        <f>IF(C18="","",IF(OR(L18&lt;=0,F18=""),0,MAX(0,应收跟进!$E$2-F18)))</f>
        <v>0</v>
      </c>
      <c r="N18" t="str">
        <f>IF(C18="","",IF(L18&lt;=0,"已结清",IF(F18&gt;应收跟进!$E$2,"未到期",IF(M18&lt;=30,"逾期1-30天",IF(M18&lt;=60,"逾期31-60天",IF(M18&lt;=90,"逾期61-90天","逾期90天以上"))))))</f>
        <v>未到期</v>
      </c>
      <c r="O18" t="str">
        <f t="shared" si="4"/>
        <v>正常</v>
      </c>
      <c r="P18" t="str">
        <f>IF(销售录入!A8="","",销售录入!N8)</f>
        <v>孙悦</v>
      </c>
      <c r="Q18" t="str">
        <f>IF(销售录入!A8="","",销售录入!O8)</f>
        <v>演示销售</v>
      </c>
    </row>
    <row r="19" spans="1:17">
      <c r="A19" t="str">
        <f>IF(销售录入!A9="","","销售")</f>
        <v>销售</v>
      </c>
      <c r="B19" s="5">
        <f>IF(销售录入!A9="","",销售录入!A9)</f>
        <v>46184</v>
      </c>
      <c r="C19" t="str">
        <f>IF(销售录入!A9="","",销售录入!C9)</f>
        <v>客户F</v>
      </c>
      <c r="D19" t="str">
        <f>IF(销售录入!A9="","",销售录入!D9)</f>
        <v>F配件</v>
      </c>
      <c r="E19" s="17">
        <f>IF(销售录入!A9="","",销售录入!I9)</f>
        <v>1920</v>
      </c>
      <c r="F19" s="5">
        <f>IF(销售录入!A9="","",销售录入!L9)</f>
        <v>46214</v>
      </c>
      <c r="G19" s="17">
        <f>IF(C19="","",SUMIFS(资金流水!$J$4:$J$203,资金流水!$F$4:$F$203,C19,资金流水!$D$4:$D$203,"客户回款",资金流水!$A$4:$A$203,"&lt;="&amp;应收跟进!$E$2))</f>
        <v>0</v>
      </c>
      <c r="H19" s="17">
        <f>IF(C19="","",SUMIFS($E$4:E18,$C$4:C18,C19))</f>
        <v>16000</v>
      </c>
      <c r="I19" s="55"/>
      <c r="J19" s="17">
        <f>IF(C19="","",MIN(MAX(0,E19-N(I19)),MAX(0,G19-SUMIFS($I$4:$I$213,$C$4:$C$213,C19)-(SUMIFS($E$4:E18,$C$4:C18,C19)-SUMIFS($I$4:I18,$C$4:C18,C19)))))</f>
        <v>0</v>
      </c>
      <c r="K19" s="17">
        <f t="shared" si="2"/>
        <v>0</v>
      </c>
      <c r="L19" s="17">
        <f t="shared" si="3"/>
        <v>1920</v>
      </c>
      <c r="M19" s="59">
        <f>IF(C19="","",IF(OR(L19&lt;=0,F19=""),0,MAX(0,应收跟进!$E$2-F19)))</f>
        <v>0</v>
      </c>
      <c r="N19" t="str">
        <f>IF(C19="","",IF(L19&lt;=0,"已结清",IF(F19&gt;应收跟进!$E$2,"未到期",IF(M19&lt;=30,"逾期1-30天",IF(M19&lt;=60,"逾期31-60天",IF(M19&lt;=90,"逾期61-90天","逾期90天以上"))))))</f>
        <v>未到期</v>
      </c>
      <c r="O19" t="str">
        <f t="shared" si="4"/>
        <v>正常</v>
      </c>
      <c r="P19" t="str">
        <f>IF(销售录入!A9="","",销售录入!N9)</f>
        <v>李娜</v>
      </c>
      <c r="Q19" t="str">
        <f>IF(销售录入!A9="","",销售录入!O9)</f>
        <v>演示销售</v>
      </c>
    </row>
    <row r="20" spans="1:17">
      <c r="A20" t="str">
        <f>IF(销售录入!A10="","","销售")</f>
        <v>销售</v>
      </c>
      <c r="B20" s="5">
        <f>IF(销售录入!A10="","",销售录入!A10)</f>
        <v>46186</v>
      </c>
      <c r="C20" t="str">
        <f>IF(销售录入!A10="","",销售录入!C10)</f>
        <v>客户G</v>
      </c>
      <c r="D20" t="str">
        <f>IF(销售录入!A10="","",销售录入!D10)</f>
        <v>G配件</v>
      </c>
      <c r="E20" s="17">
        <f>IF(销售录入!A10="","",销售录入!I10)</f>
        <v>2250</v>
      </c>
      <c r="F20" s="5">
        <f>IF(销售录入!A10="","",销售录入!L10)</f>
        <v>46231</v>
      </c>
      <c r="G20" s="17">
        <f>IF(C20="","",SUMIFS(资金流水!$J$4:$J$203,资金流水!$F$4:$F$203,C20,资金流水!$D$4:$D$203,"客户回款",资金流水!$A$4:$A$203,"&lt;="&amp;应收跟进!$E$2))</f>
        <v>0</v>
      </c>
      <c r="H20" s="17">
        <f>IF(C20="","",SUMIFS($E$4:E19,$C$4:C19,C20))</f>
        <v>14000</v>
      </c>
      <c r="I20" s="55"/>
      <c r="J20" s="17">
        <f>IF(C20="","",MIN(MAX(0,E20-N(I20)),MAX(0,G20-SUMIFS($I$4:$I$213,$C$4:$C$213,C20)-(SUMIFS($E$4:E19,$C$4:C19,C20)-SUMIFS($I$4:I19,$C$4:C19,C20)))))</f>
        <v>0</v>
      </c>
      <c r="K20" s="17">
        <f t="shared" si="2"/>
        <v>0</v>
      </c>
      <c r="L20" s="17">
        <f t="shared" si="3"/>
        <v>2250</v>
      </c>
      <c r="M20" s="59">
        <f>IF(C20="","",IF(OR(L20&lt;=0,F20=""),0,MAX(0,应收跟进!$E$2-F20)))</f>
        <v>0</v>
      </c>
      <c r="N20" t="str">
        <f>IF(C20="","",IF(L20&lt;=0,"已结清",IF(F20&gt;应收跟进!$E$2,"未到期",IF(M20&lt;=30,"逾期1-30天",IF(M20&lt;=60,"逾期31-60天",IF(M20&lt;=90,"逾期61-90天","逾期90天以上"))))))</f>
        <v>未到期</v>
      </c>
      <c r="O20" t="str">
        <f t="shared" si="4"/>
        <v>正常</v>
      </c>
      <c r="P20" t="str">
        <f>IF(销售录入!A10="","",销售录入!N10)</f>
        <v>张伟</v>
      </c>
      <c r="Q20" t="str">
        <f>IF(销售录入!A10="","",销售录入!O10)</f>
        <v>演示销售</v>
      </c>
    </row>
    <row r="21" spans="1:17">
      <c r="A21" t="str">
        <f>IF(销售录入!A11="","","销售")</f>
        <v>销售</v>
      </c>
      <c r="B21" s="5">
        <f>IF(销售录入!A11="","",销售录入!A11)</f>
        <v>46188</v>
      </c>
      <c r="C21" t="str">
        <f>IF(销售录入!A11="","",销售录入!C11)</f>
        <v>客户H</v>
      </c>
      <c r="D21" t="str">
        <f>IF(销售录入!A11="","",销售录入!D11)</f>
        <v>H配件</v>
      </c>
      <c r="E21" s="17">
        <f>IF(销售录入!A11="","",销售录入!I11)</f>
        <v>1800</v>
      </c>
      <c r="F21" s="5">
        <f>IF(销售录入!A11="","",销售录入!L11)</f>
        <v>46218</v>
      </c>
      <c r="G21" s="17">
        <f>IF(C21="","",SUMIFS(资金流水!$J$4:$J$203,资金流水!$F$4:$F$203,C21,资金流水!$D$4:$D$203,"客户回款",资金流水!$A$4:$A$203,"&lt;="&amp;应收跟进!$E$2))</f>
        <v>0</v>
      </c>
      <c r="H21" s="17">
        <f>IF(C21="","",SUMIFS($E$4:E20,$C$4:C20,C21))</f>
        <v>20000</v>
      </c>
      <c r="I21" s="55"/>
      <c r="J21" s="17">
        <f>IF(C21="","",MIN(MAX(0,E21-N(I21)),MAX(0,G21-SUMIFS($I$4:$I$213,$C$4:$C$213,C21)-(SUMIFS($E$4:E20,$C$4:C20,C21)-SUMIFS($I$4:I20,$C$4:C20,C21)))))</f>
        <v>0</v>
      </c>
      <c r="K21" s="17">
        <f t="shared" si="2"/>
        <v>0</v>
      </c>
      <c r="L21" s="17">
        <f t="shared" si="3"/>
        <v>1800</v>
      </c>
      <c r="M21" s="59">
        <f>IF(C21="","",IF(OR(L21&lt;=0,F21=""),0,MAX(0,应收跟进!$E$2-F21)))</f>
        <v>0</v>
      </c>
      <c r="N21" t="str">
        <f>IF(C21="","",IF(L21&lt;=0,"已结清",IF(F21&gt;应收跟进!$E$2,"未到期",IF(M21&lt;=30,"逾期1-30天",IF(M21&lt;=60,"逾期31-60天",IF(M21&lt;=90,"逾期61-90天","逾期90天以上"))))))</f>
        <v>未到期</v>
      </c>
      <c r="O21" t="str">
        <f t="shared" si="4"/>
        <v>正常</v>
      </c>
      <c r="P21" t="str">
        <f>IF(销售录入!A11="","",销售录入!N11)</f>
        <v>李娜</v>
      </c>
      <c r="Q21" t="str">
        <f>IF(销售录入!A11="","",销售录入!O11)</f>
        <v>演示销售</v>
      </c>
    </row>
    <row r="22" spans="1:17">
      <c r="A22" t="str">
        <f>IF(销售录入!A12="","","销售")</f>
        <v>销售</v>
      </c>
      <c r="B22" s="5">
        <f>IF(销售录入!A12="","",销售录入!A12)</f>
        <v>46190</v>
      </c>
      <c r="C22" t="str">
        <f>IF(销售录入!A12="","",销售录入!C12)</f>
        <v>客户I</v>
      </c>
      <c r="D22" t="str">
        <f>IF(销售录入!A12="","",销售录入!D12)</f>
        <v>I配件</v>
      </c>
      <c r="E22" s="17">
        <f>IF(销售录入!A12="","",销售录入!I12)</f>
        <v>1500</v>
      </c>
      <c r="F22" s="5">
        <f>IF(销售录入!A12="","",销售录入!L12)</f>
        <v>46220</v>
      </c>
      <c r="G22" s="17">
        <f>IF(C22="","",SUMIFS(资金流水!$J$4:$J$203,资金流水!$F$4:$F$203,C22,资金流水!$D$4:$D$203,"客户回款",资金流水!$A$4:$A$203,"&lt;="&amp;应收跟进!$E$2))</f>
        <v>0</v>
      </c>
      <c r="H22" s="17">
        <f>IF(C22="","",SUMIFS($E$4:E21,$C$4:C21,C22))</f>
        <v>10000</v>
      </c>
      <c r="I22" s="55"/>
      <c r="J22" s="17">
        <f>IF(C22="","",MIN(MAX(0,E22-N(I22)),MAX(0,G22-SUMIFS($I$4:$I$213,$C$4:$C$213,C22)-(SUMIFS($E$4:E21,$C$4:C21,C22)-SUMIFS($I$4:I21,$C$4:C21,C22)))))</f>
        <v>0</v>
      </c>
      <c r="K22" s="17">
        <f t="shared" si="2"/>
        <v>0</v>
      </c>
      <c r="L22" s="17">
        <f t="shared" si="3"/>
        <v>1500</v>
      </c>
      <c r="M22" s="59">
        <f>IF(C22="","",IF(OR(L22&lt;=0,F22=""),0,MAX(0,应收跟进!$E$2-F22)))</f>
        <v>0</v>
      </c>
      <c r="N22" t="str">
        <f>IF(C22="","",IF(L22&lt;=0,"已结清",IF(F22&gt;应收跟进!$E$2,"未到期",IF(M22&lt;=30,"逾期1-30天",IF(M22&lt;=60,"逾期31-60天",IF(M22&lt;=90,"逾期61-90天","逾期90天以上"))))))</f>
        <v>未到期</v>
      </c>
      <c r="O22" t="str">
        <f t="shared" si="4"/>
        <v>正常</v>
      </c>
      <c r="P22" t="str">
        <f>IF(销售录入!A12="","",销售录入!N12)</f>
        <v>张伟</v>
      </c>
      <c r="Q22" t="str">
        <f>IF(销售录入!A12="","",销售录入!O12)</f>
        <v>演示销售</v>
      </c>
    </row>
    <row r="23" spans="1:17">
      <c r="A23" t="str">
        <f>IF(销售录入!A13="","","销售")</f>
        <v>销售</v>
      </c>
      <c r="B23" s="5">
        <f>IF(销售录入!A13="","",销售录入!A13)</f>
        <v>46192</v>
      </c>
      <c r="C23" t="str">
        <f>IF(销售录入!A13="","",销售录入!C13)</f>
        <v>客户J</v>
      </c>
      <c r="D23" t="str">
        <f>IF(销售录入!A13="","",销售录入!D13)</f>
        <v>J配件</v>
      </c>
      <c r="E23" s="17">
        <f>IF(销售录入!A13="","",销售录入!I13)</f>
        <v>2160</v>
      </c>
      <c r="F23" s="5">
        <f>IF(销售录入!A13="","",销售录入!L13)</f>
        <v>46252</v>
      </c>
      <c r="G23" s="17">
        <f>IF(C23="","",SUMIFS(资金流水!$J$4:$J$203,资金流水!$F$4:$F$203,C23,资金流水!$D$4:$D$203,"客户回款",资金流水!$A$4:$A$203,"&lt;="&amp;应收跟进!$E$2))</f>
        <v>0</v>
      </c>
      <c r="H23" s="17">
        <f>IF(C23="","",SUMIFS($E$4:E22,$C$4:C22,C23))</f>
        <v>20000</v>
      </c>
      <c r="I23" s="55"/>
      <c r="J23" s="17">
        <f>IF(C23="","",MIN(MAX(0,E23-N(I23)),MAX(0,G23-SUMIFS($I$4:$I$213,$C$4:$C$213,C23)-(SUMIFS($E$4:E22,$C$4:C22,C23)-SUMIFS($I$4:I22,$C$4:C22,C23)))))</f>
        <v>0</v>
      </c>
      <c r="K23" s="17">
        <f t="shared" si="2"/>
        <v>0</v>
      </c>
      <c r="L23" s="17">
        <f t="shared" si="3"/>
        <v>2160</v>
      </c>
      <c r="M23" s="59">
        <f>IF(C23="","",IF(OR(L23&lt;=0,F23=""),0,MAX(0,应收跟进!$E$2-F23)))</f>
        <v>0</v>
      </c>
      <c r="N23" t="str">
        <f>IF(C23="","",IF(L23&lt;=0,"已结清",IF(F23&gt;应收跟进!$E$2,"未到期",IF(M23&lt;=30,"逾期1-30天",IF(M23&lt;=60,"逾期31-60天",IF(M23&lt;=90,"逾期61-90天","逾期90天以上"))))))</f>
        <v>未到期</v>
      </c>
      <c r="O23" t="str">
        <f t="shared" si="4"/>
        <v>正常</v>
      </c>
      <c r="P23" t="str">
        <f>IF(销售录入!A13="","",销售录入!N13)</f>
        <v>李娜</v>
      </c>
      <c r="Q23" t="str">
        <f>IF(销售录入!A13="","",销售录入!O13)</f>
        <v>演示销售</v>
      </c>
    </row>
    <row r="24" spans="1:17">
      <c r="A24" t="str">
        <f>IF(销售录入!A14="","","销售")</f>
        <v/>
      </c>
      <c r="B24" s="5" t="str">
        <f>IF(销售录入!A14="","",销售录入!A14)</f>
        <v/>
      </c>
      <c r="C24" t="str">
        <f>IF(销售录入!A14="","",销售录入!C14)</f>
        <v/>
      </c>
      <c r="D24" t="str">
        <f>IF(销售录入!A14="","",销售录入!D14)</f>
        <v/>
      </c>
      <c r="E24" s="17" t="str">
        <f>IF(销售录入!A14="","",销售录入!I14)</f>
        <v/>
      </c>
      <c r="F24" s="5" t="str">
        <f>IF(销售录入!A14="","",销售录入!L14)</f>
        <v/>
      </c>
      <c r="G24" s="17" t="str">
        <f>IF(C24="","",SUMIFS(资金流水!$J$4:$J$203,资金流水!$F$4:$F$203,C24,资金流水!$D$4:$D$203,"客户回款",资金流水!$A$4:$A$203,"&lt;="&amp;应收跟进!$E$2))</f>
        <v/>
      </c>
      <c r="H24" s="17" t="str">
        <f>IF(C24="","",SUMIFS($E$4:E23,$C$4:C23,C24))</f>
        <v/>
      </c>
      <c r="I24" s="55"/>
      <c r="J24" s="17" t="str">
        <f>IF(C24="","",MIN(MAX(0,E24-N(I24)),MAX(0,G24-SUMIFS($I$4:$I$213,$C$4:$C$213,C24)-(SUMIFS($E$4:E23,$C$4:C23,C24)-SUMIFS($I$4:I23,$C$4:C23,C24)))))</f>
        <v/>
      </c>
      <c r="K24" s="17" t="str">
        <f t="shared" si="2"/>
        <v/>
      </c>
      <c r="L24" s="17" t="str">
        <f t="shared" si="3"/>
        <v/>
      </c>
      <c r="M24" s="59" t="str">
        <f>IF(C24="","",IF(OR(L24&lt;=0,F24=""),0,MAX(0,应收跟进!$E$2-F24)))</f>
        <v/>
      </c>
      <c r="N24" t="str">
        <f>IF(C24="","",IF(L24&lt;=0,"已结清",IF(F24&gt;应收跟进!$E$2,"未到期",IF(M24&lt;=30,"逾期1-30天",IF(M24&lt;=60,"逾期31-60天",IF(M24&lt;=90,"逾期61-90天","逾期90天以上"))))))</f>
        <v/>
      </c>
      <c r="O24" t="str">
        <f t="shared" si="4"/>
        <v/>
      </c>
      <c r="P24" t="str">
        <f>IF(销售录入!A14="","",销售录入!N14)</f>
        <v/>
      </c>
      <c r="Q24" t="str">
        <f>IF(销售录入!A14="","",销售录入!O14)</f>
        <v/>
      </c>
    </row>
    <row r="25" spans="1:17">
      <c r="A25" t="str">
        <f>IF(销售录入!A15="","","销售")</f>
        <v/>
      </c>
      <c r="B25" s="5" t="str">
        <f>IF(销售录入!A15="","",销售录入!A15)</f>
        <v/>
      </c>
      <c r="C25" t="str">
        <f>IF(销售录入!A15="","",销售录入!C15)</f>
        <v/>
      </c>
      <c r="D25" t="str">
        <f>IF(销售录入!A15="","",销售录入!D15)</f>
        <v/>
      </c>
      <c r="E25" s="17" t="str">
        <f>IF(销售录入!A15="","",销售录入!I15)</f>
        <v/>
      </c>
      <c r="F25" s="5" t="str">
        <f>IF(销售录入!A15="","",销售录入!L15)</f>
        <v/>
      </c>
      <c r="G25" s="17" t="str">
        <f>IF(C25="","",SUMIFS(资金流水!$J$4:$J$203,资金流水!$F$4:$F$203,C25,资金流水!$D$4:$D$203,"客户回款",资金流水!$A$4:$A$203,"&lt;="&amp;应收跟进!$E$2))</f>
        <v/>
      </c>
      <c r="H25" s="17" t="str">
        <f>IF(C25="","",SUMIFS($E$4:E24,$C$4:C24,C25))</f>
        <v/>
      </c>
      <c r="I25" s="55"/>
      <c r="J25" s="17" t="str">
        <f>IF(C25="","",MIN(MAX(0,E25-N(I25)),MAX(0,G25-SUMIFS($I$4:$I$213,$C$4:$C$213,C25)-(SUMIFS($E$4:E24,$C$4:C24,C25)-SUMIFS($I$4:I24,$C$4:C24,C25)))))</f>
        <v/>
      </c>
      <c r="K25" s="17" t="str">
        <f t="shared" si="2"/>
        <v/>
      </c>
      <c r="L25" s="17" t="str">
        <f t="shared" si="3"/>
        <v/>
      </c>
      <c r="M25" s="59" t="str">
        <f>IF(C25="","",IF(OR(L25&lt;=0,F25=""),0,MAX(0,应收跟进!$E$2-F25)))</f>
        <v/>
      </c>
      <c r="N25" t="str">
        <f>IF(C25="","",IF(L25&lt;=0,"已结清",IF(F25&gt;应收跟进!$E$2,"未到期",IF(M25&lt;=30,"逾期1-30天",IF(M25&lt;=60,"逾期31-60天",IF(M25&lt;=90,"逾期61-90天","逾期90天以上"))))))</f>
        <v/>
      </c>
      <c r="O25" t="str">
        <f t="shared" si="4"/>
        <v/>
      </c>
      <c r="P25" t="str">
        <f>IF(销售录入!A15="","",销售录入!N15)</f>
        <v/>
      </c>
      <c r="Q25" t="str">
        <f>IF(销售录入!A15="","",销售录入!O15)</f>
        <v/>
      </c>
    </row>
    <row r="26" spans="1:17">
      <c r="A26" t="str">
        <f>IF(销售录入!A16="","","销售")</f>
        <v/>
      </c>
      <c r="B26" s="5" t="str">
        <f>IF(销售录入!A16="","",销售录入!A16)</f>
        <v/>
      </c>
      <c r="C26" t="str">
        <f>IF(销售录入!A16="","",销售录入!C16)</f>
        <v/>
      </c>
      <c r="D26" t="str">
        <f>IF(销售录入!A16="","",销售录入!D16)</f>
        <v/>
      </c>
      <c r="E26" s="17" t="str">
        <f>IF(销售录入!A16="","",销售录入!I16)</f>
        <v/>
      </c>
      <c r="F26" s="5" t="str">
        <f>IF(销售录入!A16="","",销售录入!L16)</f>
        <v/>
      </c>
      <c r="G26" s="17" t="str">
        <f>IF(C26="","",SUMIFS(资金流水!$J$4:$J$203,资金流水!$F$4:$F$203,C26,资金流水!$D$4:$D$203,"客户回款",资金流水!$A$4:$A$203,"&lt;="&amp;应收跟进!$E$2))</f>
        <v/>
      </c>
      <c r="H26" s="17" t="str">
        <f>IF(C26="","",SUMIFS($E$4:E25,$C$4:C25,C26))</f>
        <v/>
      </c>
      <c r="I26" s="55"/>
      <c r="J26" s="17" t="str">
        <f>IF(C26="","",MIN(MAX(0,E26-N(I26)),MAX(0,G26-SUMIFS($I$4:$I$213,$C$4:$C$213,C26)-(SUMIFS($E$4:E25,$C$4:C25,C26)-SUMIFS($I$4:I25,$C$4:C25,C26)))))</f>
        <v/>
      </c>
      <c r="K26" s="17" t="str">
        <f t="shared" si="2"/>
        <v/>
      </c>
      <c r="L26" s="17" t="str">
        <f t="shared" si="3"/>
        <v/>
      </c>
      <c r="M26" s="59" t="str">
        <f>IF(C26="","",IF(OR(L26&lt;=0,F26=""),0,MAX(0,应收跟进!$E$2-F26)))</f>
        <v/>
      </c>
      <c r="N26" t="str">
        <f>IF(C26="","",IF(L26&lt;=0,"已结清",IF(F26&gt;应收跟进!$E$2,"未到期",IF(M26&lt;=30,"逾期1-30天",IF(M26&lt;=60,"逾期31-60天",IF(M26&lt;=90,"逾期61-90天","逾期90天以上"))))))</f>
        <v/>
      </c>
      <c r="O26" t="str">
        <f t="shared" si="4"/>
        <v/>
      </c>
      <c r="P26" t="str">
        <f>IF(销售录入!A16="","",销售录入!N16)</f>
        <v/>
      </c>
      <c r="Q26" t="str">
        <f>IF(销售录入!A16="","",销售录入!O16)</f>
        <v/>
      </c>
    </row>
    <row r="27" spans="1:17">
      <c r="A27" t="str">
        <f>IF(销售录入!A17="","","销售")</f>
        <v/>
      </c>
      <c r="B27" s="5" t="str">
        <f>IF(销售录入!A17="","",销售录入!A17)</f>
        <v/>
      </c>
      <c r="C27" t="str">
        <f>IF(销售录入!A17="","",销售录入!C17)</f>
        <v/>
      </c>
      <c r="D27" t="str">
        <f>IF(销售录入!A17="","",销售录入!D17)</f>
        <v/>
      </c>
      <c r="E27" s="17" t="str">
        <f>IF(销售录入!A17="","",销售录入!I17)</f>
        <v/>
      </c>
      <c r="F27" s="5" t="str">
        <f>IF(销售录入!A17="","",销售录入!L17)</f>
        <v/>
      </c>
      <c r="G27" s="17" t="str">
        <f>IF(C27="","",SUMIFS(资金流水!$J$4:$J$203,资金流水!$F$4:$F$203,C27,资金流水!$D$4:$D$203,"客户回款",资金流水!$A$4:$A$203,"&lt;="&amp;应收跟进!$E$2))</f>
        <v/>
      </c>
      <c r="H27" s="17" t="str">
        <f>IF(C27="","",SUMIFS($E$4:E26,$C$4:C26,C27))</f>
        <v/>
      </c>
      <c r="I27" s="55"/>
      <c r="J27" s="17" t="str">
        <f>IF(C27="","",MIN(MAX(0,E27-N(I27)),MAX(0,G27-SUMIFS($I$4:$I$213,$C$4:$C$213,C27)-(SUMIFS($E$4:E26,$C$4:C26,C27)-SUMIFS($I$4:I26,$C$4:C26,C27)))))</f>
        <v/>
      </c>
      <c r="K27" s="17" t="str">
        <f t="shared" si="2"/>
        <v/>
      </c>
      <c r="L27" s="17" t="str">
        <f t="shared" si="3"/>
        <v/>
      </c>
      <c r="M27" s="59" t="str">
        <f>IF(C27="","",IF(OR(L27&lt;=0,F27=""),0,MAX(0,应收跟进!$E$2-F27)))</f>
        <v/>
      </c>
      <c r="N27" t="str">
        <f>IF(C27="","",IF(L27&lt;=0,"已结清",IF(F27&gt;应收跟进!$E$2,"未到期",IF(M27&lt;=30,"逾期1-30天",IF(M27&lt;=60,"逾期31-60天",IF(M27&lt;=90,"逾期61-90天","逾期90天以上"))))))</f>
        <v/>
      </c>
      <c r="O27" t="str">
        <f t="shared" si="4"/>
        <v/>
      </c>
      <c r="P27" t="str">
        <f>IF(销售录入!A17="","",销售录入!N17)</f>
        <v/>
      </c>
      <c r="Q27" t="str">
        <f>IF(销售录入!A17="","",销售录入!O17)</f>
        <v/>
      </c>
    </row>
    <row r="28" spans="1:17">
      <c r="A28" t="str">
        <f>IF(销售录入!A18="","","销售")</f>
        <v/>
      </c>
      <c r="B28" s="5" t="str">
        <f>IF(销售录入!A18="","",销售录入!A18)</f>
        <v/>
      </c>
      <c r="C28" t="str">
        <f>IF(销售录入!A18="","",销售录入!C18)</f>
        <v/>
      </c>
      <c r="D28" t="str">
        <f>IF(销售录入!A18="","",销售录入!D18)</f>
        <v/>
      </c>
      <c r="E28" s="17" t="str">
        <f>IF(销售录入!A18="","",销售录入!I18)</f>
        <v/>
      </c>
      <c r="F28" s="5" t="str">
        <f>IF(销售录入!A18="","",销售录入!L18)</f>
        <v/>
      </c>
      <c r="G28" s="17" t="str">
        <f>IF(C28="","",SUMIFS(资金流水!$J$4:$J$203,资金流水!$F$4:$F$203,C28,资金流水!$D$4:$D$203,"客户回款",资金流水!$A$4:$A$203,"&lt;="&amp;应收跟进!$E$2))</f>
        <v/>
      </c>
      <c r="H28" s="17" t="str">
        <f>IF(C28="","",SUMIFS($E$4:E27,$C$4:C27,C28))</f>
        <v/>
      </c>
      <c r="I28" s="55"/>
      <c r="J28" s="17" t="str">
        <f>IF(C28="","",MIN(MAX(0,E28-N(I28)),MAX(0,G28-SUMIFS($I$4:$I$213,$C$4:$C$213,C28)-(SUMIFS($E$4:E27,$C$4:C27,C28)-SUMIFS($I$4:I27,$C$4:C27,C28)))))</f>
        <v/>
      </c>
      <c r="K28" s="17" t="str">
        <f t="shared" si="2"/>
        <v/>
      </c>
      <c r="L28" s="17" t="str">
        <f t="shared" si="3"/>
        <v/>
      </c>
      <c r="M28" s="59" t="str">
        <f>IF(C28="","",IF(OR(L28&lt;=0,F28=""),0,MAX(0,应收跟进!$E$2-F28)))</f>
        <v/>
      </c>
      <c r="N28" t="str">
        <f>IF(C28="","",IF(L28&lt;=0,"已结清",IF(F28&gt;应收跟进!$E$2,"未到期",IF(M28&lt;=30,"逾期1-30天",IF(M28&lt;=60,"逾期31-60天",IF(M28&lt;=90,"逾期61-90天","逾期90天以上"))))))</f>
        <v/>
      </c>
      <c r="O28" t="str">
        <f t="shared" si="4"/>
        <v/>
      </c>
      <c r="P28" t="str">
        <f>IF(销售录入!A18="","",销售录入!N18)</f>
        <v/>
      </c>
      <c r="Q28" t="str">
        <f>IF(销售录入!A18="","",销售录入!O18)</f>
        <v/>
      </c>
    </row>
    <row r="29" spans="1:17">
      <c r="A29" t="str">
        <f>IF(销售录入!A19="","","销售")</f>
        <v/>
      </c>
      <c r="B29" s="5" t="str">
        <f>IF(销售录入!A19="","",销售录入!A19)</f>
        <v/>
      </c>
      <c r="C29" t="str">
        <f>IF(销售录入!A19="","",销售录入!C19)</f>
        <v/>
      </c>
      <c r="D29" t="str">
        <f>IF(销售录入!A19="","",销售录入!D19)</f>
        <v/>
      </c>
      <c r="E29" s="17" t="str">
        <f>IF(销售录入!A19="","",销售录入!I19)</f>
        <v/>
      </c>
      <c r="F29" s="5" t="str">
        <f>IF(销售录入!A19="","",销售录入!L19)</f>
        <v/>
      </c>
      <c r="G29" s="17" t="str">
        <f>IF(C29="","",SUMIFS(资金流水!$J$4:$J$203,资金流水!$F$4:$F$203,C29,资金流水!$D$4:$D$203,"客户回款",资金流水!$A$4:$A$203,"&lt;="&amp;应收跟进!$E$2))</f>
        <v/>
      </c>
      <c r="H29" s="17" t="str">
        <f>IF(C29="","",SUMIFS($E$4:E28,$C$4:C28,C29))</f>
        <v/>
      </c>
      <c r="I29" s="55"/>
      <c r="J29" s="17" t="str">
        <f>IF(C29="","",MIN(MAX(0,E29-N(I29)),MAX(0,G29-SUMIFS($I$4:$I$213,$C$4:$C$213,C29)-(SUMIFS($E$4:E28,$C$4:C28,C29)-SUMIFS($I$4:I28,$C$4:C28,C29)))))</f>
        <v/>
      </c>
      <c r="K29" s="17" t="str">
        <f t="shared" si="2"/>
        <v/>
      </c>
      <c r="L29" s="17" t="str">
        <f t="shared" si="3"/>
        <v/>
      </c>
      <c r="M29" s="59" t="str">
        <f>IF(C29="","",IF(OR(L29&lt;=0,F29=""),0,MAX(0,应收跟进!$E$2-F29)))</f>
        <v/>
      </c>
      <c r="N29" t="str">
        <f>IF(C29="","",IF(L29&lt;=0,"已结清",IF(F29&gt;应收跟进!$E$2,"未到期",IF(M29&lt;=30,"逾期1-30天",IF(M29&lt;=60,"逾期31-60天",IF(M29&lt;=90,"逾期61-90天","逾期90天以上"))))))</f>
        <v/>
      </c>
      <c r="O29" t="str">
        <f t="shared" si="4"/>
        <v/>
      </c>
      <c r="P29" t="str">
        <f>IF(销售录入!A19="","",销售录入!N19)</f>
        <v/>
      </c>
      <c r="Q29" t="str">
        <f>IF(销售录入!A19="","",销售录入!O19)</f>
        <v/>
      </c>
    </row>
    <row r="30" spans="1:17">
      <c r="A30" t="str">
        <f>IF(销售录入!A20="","","销售")</f>
        <v/>
      </c>
      <c r="B30" s="5" t="str">
        <f>IF(销售录入!A20="","",销售录入!A20)</f>
        <v/>
      </c>
      <c r="C30" t="str">
        <f>IF(销售录入!A20="","",销售录入!C20)</f>
        <v/>
      </c>
      <c r="D30" t="str">
        <f>IF(销售录入!A20="","",销售录入!D20)</f>
        <v/>
      </c>
      <c r="E30" s="17" t="str">
        <f>IF(销售录入!A20="","",销售录入!I20)</f>
        <v/>
      </c>
      <c r="F30" s="5" t="str">
        <f>IF(销售录入!A20="","",销售录入!L20)</f>
        <v/>
      </c>
      <c r="G30" s="17" t="str">
        <f>IF(C30="","",SUMIFS(资金流水!$J$4:$J$203,资金流水!$F$4:$F$203,C30,资金流水!$D$4:$D$203,"客户回款",资金流水!$A$4:$A$203,"&lt;="&amp;应收跟进!$E$2))</f>
        <v/>
      </c>
      <c r="H30" s="17" t="str">
        <f>IF(C30="","",SUMIFS($E$4:E29,$C$4:C29,C30))</f>
        <v/>
      </c>
      <c r="I30" s="55"/>
      <c r="J30" s="17" t="str">
        <f>IF(C30="","",MIN(MAX(0,E30-N(I30)),MAX(0,G30-SUMIFS($I$4:$I$213,$C$4:$C$213,C30)-(SUMIFS($E$4:E29,$C$4:C29,C30)-SUMIFS($I$4:I29,$C$4:C29,C30)))))</f>
        <v/>
      </c>
      <c r="K30" s="17" t="str">
        <f t="shared" si="2"/>
        <v/>
      </c>
      <c r="L30" s="17" t="str">
        <f t="shared" si="3"/>
        <v/>
      </c>
      <c r="M30" s="59" t="str">
        <f>IF(C30="","",IF(OR(L30&lt;=0,F30=""),0,MAX(0,应收跟进!$E$2-F30)))</f>
        <v/>
      </c>
      <c r="N30" t="str">
        <f>IF(C30="","",IF(L30&lt;=0,"已结清",IF(F30&gt;应收跟进!$E$2,"未到期",IF(M30&lt;=30,"逾期1-30天",IF(M30&lt;=60,"逾期31-60天",IF(M30&lt;=90,"逾期61-90天","逾期90天以上"))))))</f>
        <v/>
      </c>
      <c r="O30" t="str">
        <f t="shared" si="4"/>
        <v/>
      </c>
      <c r="P30" t="str">
        <f>IF(销售录入!A20="","",销售录入!N20)</f>
        <v/>
      </c>
      <c r="Q30" t="str">
        <f>IF(销售录入!A20="","",销售录入!O20)</f>
        <v/>
      </c>
    </row>
    <row r="31" spans="1:17">
      <c r="A31" t="str">
        <f>IF(销售录入!A21="","","销售")</f>
        <v/>
      </c>
      <c r="B31" s="5" t="str">
        <f>IF(销售录入!A21="","",销售录入!A21)</f>
        <v/>
      </c>
      <c r="C31" t="str">
        <f>IF(销售录入!A21="","",销售录入!C21)</f>
        <v/>
      </c>
      <c r="D31" t="str">
        <f>IF(销售录入!A21="","",销售录入!D21)</f>
        <v/>
      </c>
      <c r="E31" s="17" t="str">
        <f>IF(销售录入!A21="","",销售录入!I21)</f>
        <v/>
      </c>
      <c r="F31" s="5" t="str">
        <f>IF(销售录入!A21="","",销售录入!L21)</f>
        <v/>
      </c>
      <c r="G31" s="17" t="str">
        <f>IF(C31="","",SUMIFS(资金流水!$J$4:$J$203,资金流水!$F$4:$F$203,C31,资金流水!$D$4:$D$203,"客户回款",资金流水!$A$4:$A$203,"&lt;="&amp;应收跟进!$E$2))</f>
        <v/>
      </c>
      <c r="H31" s="17" t="str">
        <f>IF(C31="","",SUMIFS($E$4:E30,$C$4:C30,C31))</f>
        <v/>
      </c>
      <c r="I31" s="55"/>
      <c r="J31" s="17" t="str">
        <f>IF(C31="","",MIN(MAX(0,E31-N(I31)),MAX(0,G31-SUMIFS($I$4:$I$213,$C$4:$C$213,C31)-(SUMIFS($E$4:E30,$C$4:C30,C31)-SUMIFS($I$4:I30,$C$4:C30,C31)))))</f>
        <v/>
      </c>
      <c r="K31" s="17" t="str">
        <f t="shared" si="2"/>
        <v/>
      </c>
      <c r="L31" s="17" t="str">
        <f t="shared" si="3"/>
        <v/>
      </c>
      <c r="M31" s="59" t="str">
        <f>IF(C31="","",IF(OR(L31&lt;=0,F31=""),0,MAX(0,应收跟进!$E$2-F31)))</f>
        <v/>
      </c>
      <c r="N31" t="str">
        <f>IF(C31="","",IF(L31&lt;=0,"已结清",IF(F31&gt;应收跟进!$E$2,"未到期",IF(M31&lt;=30,"逾期1-30天",IF(M31&lt;=60,"逾期31-60天",IF(M31&lt;=90,"逾期61-90天","逾期90天以上"))))))</f>
        <v/>
      </c>
      <c r="O31" t="str">
        <f t="shared" si="4"/>
        <v/>
      </c>
      <c r="P31" t="str">
        <f>IF(销售录入!A21="","",销售录入!N21)</f>
        <v/>
      </c>
      <c r="Q31" t="str">
        <f>IF(销售录入!A21="","",销售录入!O21)</f>
        <v/>
      </c>
    </row>
    <row r="32" spans="1:17">
      <c r="A32" t="str">
        <f>IF(销售录入!A22="","","销售")</f>
        <v/>
      </c>
      <c r="B32" s="5" t="str">
        <f>IF(销售录入!A22="","",销售录入!A22)</f>
        <v/>
      </c>
      <c r="C32" t="str">
        <f>IF(销售录入!A22="","",销售录入!C22)</f>
        <v/>
      </c>
      <c r="D32" t="str">
        <f>IF(销售录入!A22="","",销售录入!D22)</f>
        <v/>
      </c>
      <c r="E32" s="17" t="str">
        <f>IF(销售录入!A22="","",销售录入!I22)</f>
        <v/>
      </c>
      <c r="F32" s="5" t="str">
        <f>IF(销售录入!A22="","",销售录入!L22)</f>
        <v/>
      </c>
      <c r="G32" s="17" t="str">
        <f>IF(C32="","",SUMIFS(资金流水!$J$4:$J$203,资金流水!$F$4:$F$203,C32,资金流水!$D$4:$D$203,"客户回款",资金流水!$A$4:$A$203,"&lt;="&amp;应收跟进!$E$2))</f>
        <v/>
      </c>
      <c r="H32" s="17" t="str">
        <f>IF(C32="","",SUMIFS($E$4:E31,$C$4:C31,C32))</f>
        <v/>
      </c>
      <c r="I32" s="55"/>
      <c r="J32" s="17" t="str">
        <f>IF(C32="","",MIN(MAX(0,E32-N(I32)),MAX(0,G32-SUMIFS($I$4:$I$213,$C$4:$C$213,C32)-(SUMIFS($E$4:E31,$C$4:C31,C32)-SUMIFS($I$4:I31,$C$4:C31,C32)))))</f>
        <v/>
      </c>
      <c r="K32" s="17" t="str">
        <f t="shared" si="2"/>
        <v/>
      </c>
      <c r="L32" s="17" t="str">
        <f t="shared" si="3"/>
        <v/>
      </c>
      <c r="M32" s="59" t="str">
        <f>IF(C32="","",IF(OR(L32&lt;=0,F32=""),0,MAX(0,应收跟进!$E$2-F32)))</f>
        <v/>
      </c>
      <c r="N32" t="str">
        <f>IF(C32="","",IF(L32&lt;=0,"已结清",IF(F32&gt;应收跟进!$E$2,"未到期",IF(M32&lt;=30,"逾期1-30天",IF(M32&lt;=60,"逾期31-60天",IF(M32&lt;=90,"逾期61-90天","逾期90天以上"))))))</f>
        <v/>
      </c>
      <c r="O32" t="str">
        <f t="shared" si="4"/>
        <v/>
      </c>
      <c r="P32" t="str">
        <f>IF(销售录入!A22="","",销售录入!N22)</f>
        <v/>
      </c>
      <c r="Q32" t="str">
        <f>IF(销售录入!A22="","",销售录入!O22)</f>
        <v/>
      </c>
    </row>
    <row r="33" spans="1:17">
      <c r="A33" t="str">
        <f>IF(销售录入!A23="","","销售")</f>
        <v/>
      </c>
      <c r="B33" s="5" t="str">
        <f>IF(销售录入!A23="","",销售录入!A23)</f>
        <v/>
      </c>
      <c r="C33" t="str">
        <f>IF(销售录入!A23="","",销售录入!C23)</f>
        <v/>
      </c>
      <c r="D33" t="str">
        <f>IF(销售录入!A23="","",销售录入!D23)</f>
        <v/>
      </c>
      <c r="E33" s="17" t="str">
        <f>IF(销售录入!A23="","",销售录入!I23)</f>
        <v/>
      </c>
      <c r="F33" s="5" t="str">
        <f>IF(销售录入!A23="","",销售录入!L23)</f>
        <v/>
      </c>
      <c r="G33" s="17" t="str">
        <f>IF(C33="","",SUMIFS(资金流水!$J$4:$J$203,资金流水!$F$4:$F$203,C33,资金流水!$D$4:$D$203,"客户回款",资金流水!$A$4:$A$203,"&lt;="&amp;应收跟进!$E$2))</f>
        <v/>
      </c>
      <c r="H33" s="17" t="str">
        <f>IF(C33="","",SUMIFS($E$4:E32,$C$4:C32,C33))</f>
        <v/>
      </c>
      <c r="I33" s="55"/>
      <c r="J33" s="17" t="str">
        <f>IF(C33="","",MIN(MAX(0,E33-N(I33)),MAX(0,G33-SUMIFS($I$4:$I$213,$C$4:$C$213,C33)-(SUMIFS($E$4:E32,$C$4:C32,C33)-SUMIFS($I$4:I32,$C$4:C32,C33)))))</f>
        <v/>
      </c>
      <c r="K33" s="17" t="str">
        <f t="shared" si="2"/>
        <v/>
      </c>
      <c r="L33" s="17" t="str">
        <f t="shared" si="3"/>
        <v/>
      </c>
      <c r="M33" s="59" t="str">
        <f>IF(C33="","",IF(OR(L33&lt;=0,F33=""),0,MAX(0,应收跟进!$E$2-F33)))</f>
        <v/>
      </c>
      <c r="N33" t="str">
        <f>IF(C33="","",IF(L33&lt;=0,"已结清",IF(F33&gt;应收跟进!$E$2,"未到期",IF(M33&lt;=30,"逾期1-30天",IF(M33&lt;=60,"逾期31-60天",IF(M33&lt;=90,"逾期61-90天","逾期90天以上"))))))</f>
        <v/>
      </c>
      <c r="O33" t="str">
        <f t="shared" si="4"/>
        <v/>
      </c>
      <c r="P33" t="str">
        <f>IF(销售录入!A23="","",销售录入!N23)</f>
        <v/>
      </c>
      <c r="Q33" t="str">
        <f>IF(销售录入!A23="","",销售录入!O23)</f>
        <v/>
      </c>
    </row>
    <row r="34" spans="1:17">
      <c r="A34" t="str">
        <f>IF(销售录入!A24="","","销售")</f>
        <v/>
      </c>
      <c r="B34" s="5" t="str">
        <f>IF(销售录入!A24="","",销售录入!A24)</f>
        <v/>
      </c>
      <c r="C34" t="str">
        <f>IF(销售录入!A24="","",销售录入!C24)</f>
        <v/>
      </c>
      <c r="D34" t="str">
        <f>IF(销售录入!A24="","",销售录入!D24)</f>
        <v/>
      </c>
      <c r="E34" s="17" t="str">
        <f>IF(销售录入!A24="","",销售录入!I24)</f>
        <v/>
      </c>
      <c r="F34" s="5" t="str">
        <f>IF(销售录入!A24="","",销售录入!L24)</f>
        <v/>
      </c>
      <c r="G34" s="17" t="str">
        <f>IF(C34="","",SUMIFS(资金流水!$J$4:$J$203,资金流水!$F$4:$F$203,C34,资金流水!$D$4:$D$203,"客户回款",资金流水!$A$4:$A$203,"&lt;="&amp;应收跟进!$E$2))</f>
        <v/>
      </c>
      <c r="H34" s="17" t="str">
        <f>IF(C34="","",SUMIFS($E$4:E33,$C$4:C33,C34))</f>
        <v/>
      </c>
      <c r="I34" s="55"/>
      <c r="J34" s="17" t="str">
        <f>IF(C34="","",MIN(MAX(0,E34-N(I34)),MAX(0,G34-SUMIFS($I$4:$I$213,$C$4:$C$213,C34)-(SUMIFS($E$4:E33,$C$4:C33,C34)-SUMIFS($I$4:I33,$C$4:C33,C34)))))</f>
        <v/>
      </c>
      <c r="K34" s="17" t="str">
        <f t="shared" si="2"/>
        <v/>
      </c>
      <c r="L34" s="17" t="str">
        <f t="shared" si="3"/>
        <v/>
      </c>
      <c r="M34" s="59" t="str">
        <f>IF(C34="","",IF(OR(L34&lt;=0,F34=""),0,MAX(0,应收跟进!$E$2-F34)))</f>
        <v/>
      </c>
      <c r="N34" t="str">
        <f>IF(C34="","",IF(L34&lt;=0,"已结清",IF(F34&gt;应收跟进!$E$2,"未到期",IF(M34&lt;=30,"逾期1-30天",IF(M34&lt;=60,"逾期31-60天",IF(M34&lt;=90,"逾期61-90天","逾期90天以上"))))))</f>
        <v/>
      </c>
      <c r="O34" t="str">
        <f t="shared" si="4"/>
        <v/>
      </c>
      <c r="P34" t="str">
        <f>IF(销售录入!A24="","",销售录入!N24)</f>
        <v/>
      </c>
      <c r="Q34" t="str">
        <f>IF(销售录入!A24="","",销售录入!O24)</f>
        <v/>
      </c>
    </row>
    <row r="35" spans="1:17">
      <c r="A35" t="str">
        <f>IF(销售录入!A25="","","销售")</f>
        <v/>
      </c>
      <c r="B35" s="5" t="str">
        <f>IF(销售录入!A25="","",销售录入!A25)</f>
        <v/>
      </c>
      <c r="C35" t="str">
        <f>IF(销售录入!A25="","",销售录入!C25)</f>
        <v/>
      </c>
      <c r="D35" t="str">
        <f>IF(销售录入!A25="","",销售录入!D25)</f>
        <v/>
      </c>
      <c r="E35" s="17" t="str">
        <f>IF(销售录入!A25="","",销售录入!I25)</f>
        <v/>
      </c>
      <c r="F35" s="5" t="str">
        <f>IF(销售录入!A25="","",销售录入!L25)</f>
        <v/>
      </c>
      <c r="G35" s="17" t="str">
        <f>IF(C35="","",SUMIFS(资金流水!$J$4:$J$203,资金流水!$F$4:$F$203,C35,资金流水!$D$4:$D$203,"客户回款",资金流水!$A$4:$A$203,"&lt;="&amp;应收跟进!$E$2))</f>
        <v/>
      </c>
      <c r="H35" s="17" t="str">
        <f>IF(C35="","",SUMIFS($E$4:E34,$C$4:C34,C35))</f>
        <v/>
      </c>
      <c r="I35" s="55"/>
      <c r="J35" s="17" t="str">
        <f>IF(C35="","",MIN(MAX(0,E35-N(I35)),MAX(0,G35-SUMIFS($I$4:$I$213,$C$4:$C$213,C35)-(SUMIFS($E$4:E34,$C$4:C34,C35)-SUMIFS($I$4:I34,$C$4:C34,C35)))))</f>
        <v/>
      </c>
      <c r="K35" s="17" t="str">
        <f t="shared" si="2"/>
        <v/>
      </c>
      <c r="L35" s="17" t="str">
        <f t="shared" si="3"/>
        <v/>
      </c>
      <c r="M35" s="59" t="str">
        <f>IF(C35="","",IF(OR(L35&lt;=0,F35=""),0,MAX(0,应收跟进!$E$2-F35)))</f>
        <v/>
      </c>
      <c r="N35" t="str">
        <f>IF(C35="","",IF(L35&lt;=0,"已结清",IF(F35&gt;应收跟进!$E$2,"未到期",IF(M35&lt;=30,"逾期1-30天",IF(M35&lt;=60,"逾期31-60天",IF(M35&lt;=90,"逾期61-90天","逾期90天以上"))))))</f>
        <v/>
      </c>
      <c r="O35" t="str">
        <f t="shared" si="4"/>
        <v/>
      </c>
      <c r="P35" t="str">
        <f>IF(销售录入!A25="","",销售录入!N25)</f>
        <v/>
      </c>
      <c r="Q35" t="str">
        <f>IF(销售录入!A25="","",销售录入!O25)</f>
        <v/>
      </c>
    </row>
    <row r="36" spans="1:17">
      <c r="A36" t="str">
        <f>IF(销售录入!A26="","","销售")</f>
        <v/>
      </c>
      <c r="B36" s="5" t="str">
        <f>IF(销售录入!A26="","",销售录入!A26)</f>
        <v/>
      </c>
      <c r="C36" t="str">
        <f>IF(销售录入!A26="","",销售录入!C26)</f>
        <v/>
      </c>
      <c r="D36" t="str">
        <f>IF(销售录入!A26="","",销售录入!D26)</f>
        <v/>
      </c>
      <c r="E36" s="17" t="str">
        <f>IF(销售录入!A26="","",销售录入!I26)</f>
        <v/>
      </c>
      <c r="F36" s="5" t="str">
        <f>IF(销售录入!A26="","",销售录入!L26)</f>
        <v/>
      </c>
      <c r="G36" s="17" t="str">
        <f>IF(C36="","",SUMIFS(资金流水!$J$4:$J$203,资金流水!$F$4:$F$203,C36,资金流水!$D$4:$D$203,"客户回款",资金流水!$A$4:$A$203,"&lt;="&amp;应收跟进!$E$2))</f>
        <v/>
      </c>
      <c r="H36" s="17" t="str">
        <f>IF(C36="","",SUMIFS($E$4:E35,$C$4:C35,C36))</f>
        <v/>
      </c>
      <c r="I36" s="55"/>
      <c r="J36" s="17" t="str">
        <f>IF(C36="","",MIN(MAX(0,E36-N(I36)),MAX(0,G36-SUMIFS($I$4:$I$213,$C$4:$C$213,C36)-(SUMIFS($E$4:E35,$C$4:C35,C36)-SUMIFS($I$4:I35,$C$4:C35,C36)))))</f>
        <v/>
      </c>
      <c r="K36" s="17" t="str">
        <f t="shared" si="2"/>
        <v/>
      </c>
      <c r="L36" s="17" t="str">
        <f t="shared" si="3"/>
        <v/>
      </c>
      <c r="M36" s="59" t="str">
        <f>IF(C36="","",IF(OR(L36&lt;=0,F36=""),0,MAX(0,应收跟进!$E$2-F36)))</f>
        <v/>
      </c>
      <c r="N36" t="str">
        <f>IF(C36="","",IF(L36&lt;=0,"已结清",IF(F36&gt;应收跟进!$E$2,"未到期",IF(M36&lt;=30,"逾期1-30天",IF(M36&lt;=60,"逾期31-60天",IF(M36&lt;=90,"逾期61-90天","逾期90天以上"))))))</f>
        <v/>
      </c>
      <c r="O36" t="str">
        <f t="shared" si="4"/>
        <v/>
      </c>
      <c r="P36" t="str">
        <f>IF(销售录入!A26="","",销售录入!N26)</f>
        <v/>
      </c>
      <c r="Q36" t="str">
        <f>IF(销售录入!A26="","",销售录入!O26)</f>
        <v/>
      </c>
    </row>
    <row r="37" spans="1:17">
      <c r="A37" t="str">
        <f>IF(销售录入!A27="","","销售")</f>
        <v/>
      </c>
      <c r="B37" s="5" t="str">
        <f>IF(销售录入!A27="","",销售录入!A27)</f>
        <v/>
      </c>
      <c r="C37" t="str">
        <f>IF(销售录入!A27="","",销售录入!C27)</f>
        <v/>
      </c>
      <c r="D37" t="str">
        <f>IF(销售录入!A27="","",销售录入!D27)</f>
        <v/>
      </c>
      <c r="E37" s="17" t="str">
        <f>IF(销售录入!A27="","",销售录入!I27)</f>
        <v/>
      </c>
      <c r="F37" s="5" t="str">
        <f>IF(销售录入!A27="","",销售录入!L27)</f>
        <v/>
      </c>
      <c r="G37" s="17" t="str">
        <f>IF(C37="","",SUMIFS(资金流水!$J$4:$J$203,资金流水!$F$4:$F$203,C37,资金流水!$D$4:$D$203,"客户回款",资金流水!$A$4:$A$203,"&lt;="&amp;应收跟进!$E$2))</f>
        <v/>
      </c>
      <c r="H37" s="17" t="str">
        <f>IF(C37="","",SUMIFS($E$4:E36,$C$4:C36,C37))</f>
        <v/>
      </c>
      <c r="I37" s="55"/>
      <c r="J37" s="17" t="str">
        <f>IF(C37="","",MIN(MAX(0,E37-N(I37)),MAX(0,G37-SUMIFS($I$4:$I$213,$C$4:$C$213,C37)-(SUMIFS($E$4:E36,$C$4:C36,C37)-SUMIFS($I$4:I36,$C$4:C36,C37)))))</f>
        <v/>
      </c>
      <c r="K37" s="17" t="str">
        <f t="shared" si="2"/>
        <v/>
      </c>
      <c r="L37" s="17" t="str">
        <f t="shared" si="3"/>
        <v/>
      </c>
      <c r="M37" s="59" t="str">
        <f>IF(C37="","",IF(OR(L37&lt;=0,F37=""),0,MAX(0,应收跟进!$E$2-F37)))</f>
        <v/>
      </c>
      <c r="N37" t="str">
        <f>IF(C37="","",IF(L37&lt;=0,"已结清",IF(F37&gt;应收跟进!$E$2,"未到期",IF(M37&lt;=30,"逾期1-30天",IF(M37&lt;=60,"逾期31-60天",IF(M37&lt;=90,"逾期61-90天","逾期90天以上"))))))</f>
        <v/>
      </c>
      <c r="O37" t="str">
        <f t="shared" si="4"/>
        <v/>
      </c>
      <c r="P37" t="str">
        <f>IF(销售录入!A27="","",销售录入!N27)</f>
        <v/>
      </c>
      <c r="Q37" t="str">
        <f>IF(销售录入!A27="","",销售录入!O27)</f>
        <v/>
      </c>
    </row>
    <row r="38" spans="1:17">
      <c r="A38" t="str">
        <f>IF(销售录入!A28="","","销售")</f>
        <v/>
      </c>
      <c r="B38" s="5" t="str">
        <f>IF(销售录入!A28="","",销售录入!A28)</f>
        <v/>
      </c>
      <c r="C38" t="str">
        <f>IF(销售录入!A28="","",销售录入!C28)</f>
        <v/>
      </c>
      <c r="D38" t="str">
        <f>IF(销售录入!A28="","",销售录入!D28)</f>
        <v/>
      </c>
      <c r="E38" s="17" t="str">
        <f>IF(销售录入!A28="","",销售录入!I28)</f>
        <v/>
      </c>
      <c r="F38" s="5" t="str">
        <f>IF(销售录入!A28="","",销售录入!L28)</f>
        <v/>
      </c>
      <c r="G38" s="17" t="str">
        <f>IF(C38="","",SUMIFS(资金流水!$J$4:$J$203,资金流水!$F$4:$F$203,C38,资金流水!$D$4:$D$203,"客户回款",资金流水!$A$4:$A$203,"&lt;="&amp;应收跟进!$E$2))</f>
        <v/>
      </c>
      <c r="H38" s="17" t="str">
        <f>IF(C38="","",SUMIFS($E$4:E37,$C$4:C37,C38))</f>
        <v/>
      </c>
      <c r="I38" s="55"/>
      <c r="J38" s="17" t="str">
        <f>IF(C38="","",MIN(MAX(0,E38-N(I38)),MAX(0,G38-SUMIFS($I$4:$I$213,$C$4:$C$213,C38)-(SUMIFS($E$4:E37,$C$4:C37,C38)-SUMIFS($I$4:I37,$C$4:C37,C38)))))</f>
        <v/>
      </c>
      <c r="K38" s="17" t="str">
        <f t="shared" si="2"/>
        <v/>
      </c>
      <c r="L38" s="17" t="str">
        <f t="shared" si="3"/>
        <v/>
      </c>
      <c r="M38" s="59" t="str">
        <f>IF(C38="","",IF(OR(L38&lt;=0,F38=""),0,MAX(0,应收跟进!$E$2-F38)))</f>
        <v/>
      </c>
      <c r="N38" t="str">
        <f>IF(C38="","",IF(L38&lt;=0,"已结清",IF(F38&gt;应收跟进!$E$2,"未到期",IF(M38&lt;=30,"逾期1-30天",IF(M38&lt;=60,"逾期31-60天",IF(M38&lt;=90,"逾期61-90天","逾期90天以上"))))))</f>
        <v/>
      </c>
      <c r="O38" t="str">
        <f t="shared" si="4"/>
        <v/>
      </c>
      <c r="P38" t="str">
        <f>IF(销售录入!A28="","",销售录入!N28)</f>
        <v/>
      </c>
      <c r="Q38" t="str">
        <f>IF(销售录入!A28="","",销售录入!O28)</f>
        <v/>
      </c>
    </row>
    <row r="39" spans="1:17">
      <c r="A39" t="str">
        <f>IF(销售录入!A29="","","销售")</f>
        <v/>
      </c>
      <c r="B39" s="5" t="str">
        <f>IF(销售录入!A29="","",销售录入!A29)</f>
        <v/>
      </c>
      <c r="C39" t="str">
        <f>IF(销售录入!A29="","",销售录入!C29)</f>
        <v/>
      </c>
      <c r="D39" t="str">
        <f>IF(销售录入!A29="","",销售录入!D29)</f>
        <v/>
      </c>
      <c r="E39" s="17" t="str">
        <f>IF(销售录入!A29="","",销售录入!I29)</f>
        <v/>
      </c>
      <c r="F39" s="5" t="str">
        <f>IF(销售录入!A29="","",销售录入!L29)</f>
        <v/>
      </c>
      <c r="G39" s="17" t="str">
        <f>IF(C39="","",SUMIFS(资金流水!$J$4:$J$203,资金流水!$F$4:$F$203,C39,资金流水!$D$4:$D$203,"客户回款",资金流水!$A$4:$A$203,"&lt;="&amp;应收跟进!$E$2))</f>
        <v/>
      </c>
      <c r="H39" s="17" t="str">
        <f>IF(C39="","",SUMIFS($E$4:E38,$C$4:C38,C39))</f>
        <v/>
      </c>
      <c r="I39" s="55"/>
      <c r="J39" s="17" t="str">
        <f>IF(C39="","",MIN(MAX(0,E39-N(I39)),MAX(0,G39-SUMIFS($I$4:$I$213,$C$4:$C$213,C39)-(SUMIFS($E$4:E38,$C$4:C38,C39)-SUMIFS($I$4:I38,$C$4:C38,C39)))))</f>
        <v/>
      </c>
      <c r="K39" s="17" t="str">
        <f t="shared" si="2"/>
        <v/>
      </c>
      <c r="L39" s="17" t="str">
        <f t="shared" si="3"/>
        <v/>
      </c>
      <c r="M39" s="59" t="str">
        <f>IF(C39="","",IF(OR(L39&lt;=0,F39=""),0,MAX(0,应收跟进!$E$2-F39)))</f>
        <v/>
      </c>
      <c r="N39" t="str">
        <f>IF(C39="","",IF(L39&lt;=0,"已结清",IF(F39&gt;应收跟进!$E$2,"未到期",IF(M39&lt;=30,"逾期1-30天",IF(M39&lt;=60,"逾期31-60天",IF(M39&lt;=90,"逾期61-90天","逾期90天以上"))))))</f>
        <v/>
      </c>
      <c r="O39" t="str">
        <f t="shared" si="4"/>
        <v/>
      </c>
      <c r="P39" t="str">
        <f>IF(销售录入!A29="","",销售录入!N29)</f>
        <v/>
      </c>
      <c r="Q39" t="str">
        <f>IF(销售录入!A29="","",销售录入!O29)</f>
        <v/>
      </c>
    </row>
    <row r="40" spans="1:17">
      <c r="A40" t="str">
        <f>IF(销售录入!A30="","","销售")</f>
        <v/>
      </c>
      <c r="B40" s="5" t="str">
        <f>IF(销售录入!A30="","",销售录入!A30)</f>
        <v/>
      </c>
      <c r="C40" t="str">
        <f>IF(销售录入!A30="","",销售录入!C30)</f>
        <v/>
      </c>
      <c r="D40" t="str">
        <f>IF(销售录入!A30="","",销售录入!D30)</f>
        <v/>
      </c>
      <c r="E40" s="17" t="str">
        <f>IF(销售录入!A30="","",销售录入!I30)</f>
        <v/>
      </c>
      <c r="F40" s="5" t="str">
        <f>IF(销售录入!A30="","",销售录入!L30)</f>
        <v/>
      </c>
      <c r="G40" s="17" t="str">
        <f>IF(C40="","",SUMIFS(资金流水!$J$4:$J$203,资金流水!$F$4:$F$203,C40,资金流水!$D$4:$D$203,"客户回款",资金流水!$A$4:$A$203,"&lt;="&amp;应收跟进!$E$2))</f>
        <v/>
      </c>
      <c r="H40" s="17" t="str">
        <f>IF(C40="","",SUMIFS($E$4:E39,$C$4:C39,C40))</f>
        <v/>
      </c>
      <c r="I40" s="55"/>
      <c r="J40" s="17" t="str">
        <f>IF(C40="","",MIN(MAX(0,E40-N(I40)),MAX(0,G40-SUMIFS($I$4:$I$213,$C$4:$C$213,C40)-(SUMIFS($E$4:E39,$C$4:C39,C40)-SUMIFS($I$4:I39,$C$4:C39,C40)))))</f>
        <v/>
      </c>
      <c r="K40" s="17" t="str">
        <f t="shared" si="2"/>
        <v/>
      </c>
      <c r="L40" s="17" t="str">
        <f t="shared" si="3"/>
        <v/>
      </c>
      <c r="M40" s="59" t="str">
        <f>IF(C40="","",IF(OR(L40&lt;=0,F40=""),0,MAX(0,应收跟进!$E$2-F40)))</f>
        <v/>
      </c>
      <c r="N40" t="str">
        <f>IF(C40="","",IF(L40&lt;=0,"已结清",IF(F40&gt;应收跟进!$E$2,"未到期",IF(M40&lt;=30,"逾期1-30天",IF(M40&lt;=60,"逾期31-60天",IF(M40&lt;=90,"逾期61-90天","逾期90天以上"))))))</f>
        <v/>
      </c>
      <c r="O40" t="str">
        <f t="shared" si="4"/>
        <v/>
      </c>
      <c r="P40" t="str">
        <f>IF(销售录入!A30="","",销售录入!N30)</f>
        <v/>
      </c>
      <c r="Q40" t="str">
        <f>IF(销售录入!A30="","",销售录入!O30)</f>
        <v/>
      </c>
    </row>
    <row r="41" spans="1:17">
      <c r="A41" t="str">
        <f>IF(销售录入!A31="","","销售")</f>
        <v/>
      </c>
      <c r="B41" s="5" t="str">
        <f>IF(销售录入!A31="","",销售录入!A31)</f>
        <v/>
      </c>
      <c r="C41" t="str">
        <f>IF(销售录入!A31="","",销售录入!C31)</f>
        <v/>
      </c>
      <c r="D41" t="str">
        <f>IF(销售录入!A31="","",销售录入!D31)</f>
        <v/>
      </c>
      <c r="E41" s="17" t="str">
        <f>IF(销售录入!A31="","",销售录入!I31)</f>
        <v/>
      </c>
      <c r="F41" s="5" t="str">
        <f>IF(销售录入!A31="","",销售录入!L31)</f>
        <v/>
      </c>
      <c r="G41" s="17" t="str">
        <f>IF(C41="","",SUMIFS(资金流水!$J$4:$J$203,资金流水!$F$4:$F$203,C41,资金流水!$D$4:$D$203,"客户回款",资金流水!$A$4:$A$203,"&lt;="&amp;应收跟进!$E$2))</f>
        <v/>
      </c>
      <c r="H41" s="17" t="str">
        <f>IF(C41="","",SUMIFS($E$4:E40,$C$4:C40,C41))</f>
        <v/>
      </c>
      <c r="I41" s="55"/>
      <c r="J41" s="17" t="str">
        <f>IF(C41="","",MIN(MAX(0,E41-N(I41)),MAX(0,G41-SUMIFS($I$4:$I$213,$C$4:$C$213,C41)-(SUMIFS($E$4:E40,$C$4:C40,C41)-SUMIFS($I$4:I40,$C$4:C40,C41)))))</f>
        <v/>
      </c>
      <c r="K41" s="17" t="str">
        <f t="shared" si="2"/>
        <v/>
      </c>
      <c r="L41" s="17" t="str">
        <f t="shared" si="3"/>
        <v/>
      </c>
      <c r="M41" s="59" t="str">
        <f>IF(C41="","",IF(OR(L41&lt;=0,F41=""),0,MAX(0,应收跟进!$E$2-F41)))</f>
        <v/>
      </c>
      <c r="N41" t="str">
        <f>IF(C41="","",IF(L41&lt;=0,"已结清",IF(F41&gt;应收跟进!$E$2,"未到期",IF(M41&lt;=30,"逾期1-30天",IF(M41&lt;=60,"逾期31-60天",IF(M41&lt;=90,"逾期61-90天","逾期90天以上"))))))</f>
        <v/>
      </c>
      <c r="O41" t="str">
        <f t="shared" si="4"/>
        <v/>
      </c>
      <c r="P41" t="str">
        <f>IF(销售录入!A31="","",销售录入!N31)</f>
        <v/>
      </c>
      <c r="Q41" t="str">
        <f>IF(销售录入!A31="","",销售录入!O31)</f>
        <v/>
      </c>
    </row>
    <row r="42" spans="1:17">
      <c r="A42" t="str">
        <f>IF(销售录入!A32="","","销售")</f>
        <v/>
      </c>
      <c r="B42" s="5" t="str">
        <f>IF(销售录入!A32="","",销售录入!A32)</f>
        <v/>
      </c>
      <c r="C42" t="str">
        <f>IF(销售录入!A32="","",销售录入!C32)</f>
        <v/>
      </c>
      <c r="D42" t="str">
        <f>IF(销售录入!A32="","",销售录入!D32)</f>
        <v/>
      </c>
      <c r="E42" s="17" t="str">
        <f>IF(销售录入!A32="","",销售录入!I32)</f>
        <v/>
      </c>
      <c r="F42" s="5" t="str">
        <f>IF(销售录入!A32="","",销售录入!L32)</f>
        <v/>
      </c>
      <c r="G42" s="17" t="str">
        <f>IF(C42="","",SUMIFS(资金流水!$J$4:$J$203,资金流水!$F$4:$F$203,C42,资金流水!$D$4:$D$203,"客户回款",资金流水!$A$4:$A$203,"&lt;="&amp;应收跟进!$E$2))</f>
        <v/>
      </c>
      <c r="H42" s="17" t="str">
        <f>IF(C42="","",SUMIFS($E$4:E41,$C$4:C41,C42))</f>
        <v/>
      </c>
      <c r="I42" s="55"/>
      <c r="J42" s="17" t="str">
        <f>IF(C42="","",MIN(MAX(0,E42-N(I42)),MAX(0,G42-SUMIFS($I$4:$I$213,$C$4:$C$213,C42)-(SUMIFS($E$4:E41,$C$4:C41,C42)-SUMIFS($I$4:I41,$C$4:C41,C42)))))</f>
        <v/>
      </c>
      <c r="K42" s="17" t="str">
        <f t="shared" si="2"/>
        <v/>
      </c>
      <c r="L42" s="17" t="str">
        <f t="shared" si="3"/>
        <v/>
      </c>
      <c r="M42" s="59" t="str">
        <f>IF(C42="","",IF(OR(L42&lt;=0,F42=""),0,MAX(0,应收跟进!$E$2-F42)))</f>
        <v/>
      </c>
      <c r="N42" t="str">
        <f>IF(C42="","",IF(L42&lt;=0,"已结清",IF(F42&gt;应收跟进!$E$2,"未到期",IF(M42&lt;=30,"逾期1-30天",IF(M42&lt;=60,"逾期31-60天",IF(M42&lt;=90,"逾期61-90天","逾期90天以上"))))))</f>
        <v/>
      </c>
      <c r="O42" t="str">
        <f t="shared" si="4"/>
        <v/>
      </c>
      <c r="P42" t="str">
        <f>IF(销售录入!A32="","",销售录入!N32)</f>
        <v/>
      </c>
      <c r="Q42" t="str">
        <f>IF(销售录入!A32="","",销售录入!O32)</f>
        <v/>
      </c>
    </row>
    <row r="43" spans="1:17">
      <c r="A43" t="str">
        <f>IF(销售录入!A33="","","销售")</f>
        <v/>
      </c>
      <c r="B43" s="5" t="str">
        <f>IF(销售录入!A33="","",销售录入!A33)</f>
        <v/>
      </c>
      <c r="C43" t="str">
        <f>IF(销售录入!A33="","",销售录入!C33)</f>
        <v/>
      </c>
      <c r="D43" t="str">
        <f>IF(销售录入!A33="","",销售录入!D33)</f>
        <v/>
      </c>
      <c r="E43" s="17" t="str">
        <f>IF(销售录入!A33="","",销售录入!I33)</f>
        <v/>
      </c>
      <c r="F43" s="5" t="str">
        <f>IF(销售录入!A33="","",销售录入!L33)</f>
        <v/>
      </c>
      <c r="G43" s="17" t="str">
        <f>IF(C43="","",SUMIFS(资金流水!$J$4:$J$203,资金流水!$F$4:$F$203,C43,资金流水!$D$4:$D$203,"客户回款",资金流水!$A$4:$A$203,"&lt;="&amp;应收跟进!$E$2))</f>
        <v/>
      </c>
      <c r="H43" s="17" t="str">
        <f>IF(C43="","",SUMIFS($E$4:E42,$C$4:C42,C43))</f>
        <v/>
      </c>
      <c r="I43" s="55"/>
      <c r="J43" s="17" t="str">
        <f>IF(C43="","",MIN(MAX(0,E43-N(I43)),MAX(0,G43-SUMIFS($I$4:$I$213,$C$4:$C$213,C43)-(SUMIFS($E$4:E42,$C$4:C42,C43)-SUMIFS($I$4:I42,$C$4:C42,C43)))))</f>
        <v/>
      </c>
      <c r="K43" s="17" t="str">
        <f t="shared" si="2"/>
        <v/>
      </c>
      <c r="L43" s="17" t="str">
        <f t="shared" si="3"/>
        <v/>
      </c>
      <c r="M43" s="59" t="str">
        <f>IF(C43="","",IF(OR(L43&lt;=0,F43=""),0,MAX(0,应收跟进!$E$2-F43)))</f>
        <v/>
      </c>
      <c r="N43" t="str">
        <f>IF(C43="","",IF(L43&lt;=0,"已结清",IF(F43&gt;应收跟进!$E$2,"未到期",IF(M43&lt;=30,"逾期1-30天",IF(M43&lt;=60,"逾期31-60天",IF(M43&lt;=90,"逾期61-90天","逾期90天以上"))))))</f>
        <v/>
      </c>
      <c r="O43" t="str">
        <f t="shared" si="4"/>
        <v/>
      </c>
      <c r="P43" t="str">
        <f>IF(销售录入!A33="","",销售录入!N33)</f>
        <v/>
      </c>
      <c r="Q43" t="str">
        <f>IF(销售录入!A33="","",销售录入!O33)</f>
        <v/>
      </c>
    </row>
    <row r="44" spans="1:17">
      <c r="A44" t="str">
        <f>IF(销售录入!A34="","","销售")</f>
        <v/>
      </c>
      <c r="B44" s="5" t="str">
        <f>IF(销售录入!A34="","",销售录入!A34)</f>
        <v/>
      </c>
      <c r="C44" t="str">
        <f>IF(销售录入!A34="","",销售录入!C34)</f>
        <v/>
      </c>
      <c r="D44" t="str">
        <f>IF(销售录入!A34="","",销售录入!D34)</f>
        <v/>
      </c>
      <c r="E44" s="17" t="str">
        <f>IF(销售录入!A34="","",销售录入!I34)</f>
        <v/>
      </c>
      <c r="F44" s="5" t="str">
        <f>IF(销售录入!A34="","",销售录入!L34)</f>
        <v/>
      </c>
      <c r="G44" s="17" t="str">
        <f>IF(C44="","",SUMIFS(资金流水!$J$4:$J$203,资金流水!$F$4:$F$203,C44,资金流水!$D$4:$D$203,"客户回款",资金流水!$A$4:$A$203,"&lt;="&amp;应收跟进!$E$2))</f>
        <v/>
      </c>
      <c r="H44" s="17" t="str">
        <f>IF(C44="","",SUMIFS($E$4:E43,$C$4:C43,C44))</f>
        <v/>
      </c>
      <c r="I44" s="55"/>
      <c r="J44" s="17" t="str">
        <f>IF(C44="","",MIN(MAX(0,E44-N(I44)),MAX(0,G44-SUMIFS($I$4:$I$213,$C$4:$C$213,C44)-(SUMIFS($E$4:E43,$C$4:C43,C44)-SUMIFS($I$4:I43,$C$4:C43,C44)))))</f>
        <v/>
      </c>
      <c r="K44" s="17" t="str">
        <f t="shared" si="2"/>
        <v/>
      </c>
      <c r="L44" s="17" t="str">
        <f t="shared" si="3"/>
        <v/>
      </c>
      <c r="M44" s="59" t="str">
        <f>IF(C44="","",IF(OR(L44&lt;=0,F44=""),0,MAX(0,应收跟进!$E$2-F44)))</f>
        <v/>
      </c>
      <c r="N44" t="str">
        <f>IF(C44="","",IF(L44&lt;=0,"已结清",IF(F44&gt;应收跟进!$E$2,"未到期",IF(M44&lt;=30,"逾期1-30天",IF(M44&lt;=60,"逾期31-60天",IF(M44&lt;=90,"逾期61-90天","逾期90天以上"))))))</f>
        <v/>
      </c>
      <c r="O44" t="str">
        <f t="shared" si="4"/>
        <v/>
      </c>
      <c r="P44" t="str">
        <f>IF(销售录入!A34="","",销售录入!N34)</f>
        <v/>
      </c>
      <c r="Q44" t="str">
        <f>IF(销售录入!A34="","",销售录入!O34)</f>
        <v/>
      </c>
    </row>
    <row r="45" spans="1:17">
      <c r="A45" t="str">
        <f>IF(销售录入!A35="","","销售")</f>
        <v/>
      </c>
      <c r="B45" s="5" t="str">
        <f>IF(销售录入!A35="","",销售录入!A35)</f>
        <v/>
      </c>
      <c r="C45" t="str">
        <f>IF(销售录入!A35="","",销售录入!C35)</f>
        <v/>
      </c>
      <c r="D45" t="str">
        <f>IF(销售录入!A35="","",销售录入!D35)</f>
        <v/>
      </c>
      <c r="E45" s="17" t="str">
        <f>IF(销售录入!A35="","",销售录入!I35)</f>
        <v/>
      </c>
      <c r="F45" s="5" t="str">
        <f>IF(销售录入!A35="","",销售录入!L35)</f>
        <v/>
      </c>
      <c r="G45" s="17" t="str">
        <f>IF(C45="","",SUMIFS(资金流水!$J$4:$J$203,资金流水!$F$4:$F$203,C45,资金流水!$D$4:$D$203,"客户回款",资金流水!$A$4:$A$203,"&lt;="&amp;应收跟进!$E$2))</f>
        <v/>
      </c>
      <c r="H45" s="17" t="str">
        <f>IF(C45="","",SUMIFS($E$4:E44,$C$4:C44,C45))</f>
        <v/>
      </c>
      <c r="I45" s="55"/>
      <c r="J45" s="17" t="str">
        <f>IF(C45="","",MIN(MAX(0,E45-N(I45)),MAX(0,G45-SUMIFS($I$4:$I$213,$C$4:$C$213,C45)-(SUMIFS($E$4:E44,$C$4:C44,C45)-SUMIFS($I$4:I44,$C$4:C44,C45)))))</f>
        <v/>
      </c>
      <c r="K45" s="17" t="str">
        <f t="shared" si="2"/>
        <v/>
      </c>
      <c r="L45" s="17" t="str">
        <f t="shared" si="3"/>
        <v/>
      </c>
      <c r="M45" s="59" t="str">
        <f>IF(C45="","",IF(OR(L45&lt;=0,F45=""),0,MAX(0,应收跟进!$E$2-F45)))</f>
        <v/>
      </c>
      <c r="N45" t="str">
        <f>IF(C45="","",IF(L45&lt;=0,"已结清",IF(F45&gt;应收跟进!$E$2,"未到期",IF(M45&lt;=30,"逾期1-30天",IF(M45&lt;=60,"逾期31-60天",IF(M45&lt;=90,"逾期61-90天","逾期90天以上"))))))</f>
        <v/>
      </c>
      <c r="O45" t="str">
        <f t="shared" si="4"/>
        <v/>
      </c>
      <c r="P45" t="str">
        <f>IF(销售录入!A35="","",销售录入!N35)</f>
        <v/>
      </c>
      <c r="Q45" t="str">
        <f>IF(销售录入!A35="","",销售录入!O35)</f>
        <v/>
      </c>
    </row>
    <row r="46" spans="1:17">
      <c r="A46" t="str">
        <f>IF(销售录入!A36="","","销售")</f>
        <v/>
      </c>
      <c r="B46" s="5" t="str">
        <f>IF(销售录入!A36="","",销售录入!A36)</f>
        <v/>
      </c>
      <c r="C46" t="str">
        <f>IF(销售录入!A36="","",销售录入!C36)</f>
        <v/>
      </c>
      <c r="D46" t="str">
        <f>IF(销售录入!A36="","",销售录入!D36)</f>
        <v/>
      </c>
      <c r="E46" s="17" t="str">
        <f>IF(销售录入!A36="","",销售录入!I36)</f>
        <v/>
      </c>
      <c r="F46" s="5" t="str">
        <f>IF(销售录入!A36="","",销售录入!L36)</f>
        <v/>
      </c>
      <c r="G46" s="17" t="str">
        <f>IF(C46="","",SUMIFS(资金流水!$J$4:$J$203,资金流水!$F$4:$F$203,C46,资金流水!$D$4:$D$203,"客户回款",资金流水!$A$4:$A$203,"&lt;="&amp;应收跟进!$E$2))</f>
        <v/>
      </c>
      <c r="H46" s="17" t="str">
        <f>IF(C46="","",SUMIFS($E$4:E45,$C$4:C45,C46))</f>
        <v/>
      </c>
      <c r="I46" s="55"/>
      <c r="J46" s="17" t="str">
        <f>IF(C46="","",MIN(MAX(0,E46-N(I46)),MAX(0,G46-SUMIFS($I$4:$I$213,$C$4:$C$213,C46)-(SUMIFS($E$4:E45,$C$4:C45,C46)-SUMIFS($I$4:I45,$C$4:C45,C46)))))</f>
        <v/>
      </c>
      <c r="K46" s="17" t="str">
        <f t="shared" si="2"/>
        <v/>
      </c>
      <c r="L46" s="17" t="str">
        <f t="shared" si="3"/>
        <v/>
      </c>
      <c r="M46" s="59" t="str">
        <f>IF(C46="","",IF(OR(L46&lt;=0,F46=""),0,MAX(0,应收跟进!$E$2-F46)))</f>
        <v/>
      </c>
      <c r="N46" t="str">
        <f>IF(C46="","",IF(L46&lt;=0,"已结清",IF(F46&gt;应收跟进!$E$2,"未到期",IF(M46&lt;=30,"逾期1-30天",IF(M46&lt;=60,"逾期31-60天",IF(M46&lt;=90,"逾期61-90天","逾期90天以上"))))))</f>
        <v/>
      </c>
      <c r="O46" t="str">
        <f t="shared" si="4"/>
        <v/>
      </c>
      <c r="P46" t="str">
        <f>IF(销售录入!A36="","",销售录入!N36)</f>
        <v/>
      </c>
      <c r="Q46" t="str">
        <f>IF(销售录入!A36="","",销售录入!O36)</f>
        <v/>
      </c>
    </row>
    <row r="47" spans="1:17">
      <c r="A47" t="str">
        <f>IF(销售录入!A37="","","销售")</f>
        <v/>
      </c>
      <c r="B47" s="5" t="str">
        <f>IF(销售录入!A37="","",销售录入!A37)</f>
        <v/>
      </c>
      <c r="C47" t="str">
        <f>IF(销售录入!A37="","",销售录入!C37)</f>
        <v/>
      </c>
      <c r="D47" t="str">
        <f>IF(销售录入!A37="","",销售录入!D37)</f>
        <v/>
      </c>
      <c r="E47" s="17" t="str">
        <f>IF(销售录入!A37="","",销售录入!I37)</f>
        <v/>
      </c>
      <c r="F47" s="5" t="str">
        <f>IF(销售录入!A37="","",销售录入!L37)</f>
        <v/>
      </c>
      <c r="G47" s="17" t="str">
        <f>IF(C47="","",SUMIFS(资金流水!$J$4:$J$203,资金流水!$F$4:$F$203,C47,资金流水!$D$4:$D$203,"客户回款",资金流水!$A$4:$A$203,"&lt;="&amp;应收跟进!$E$2))</f>
        <v/>
      </c>
      <c r="H47" s="17" t="str">
        <f>IF(C47="","",SUMIFS($E$4:E46,$C$4:C46,C47))</f>
        <v/>
      </c>
      <c r="I47" s="55"/>
      <c r="J47" s="17" t="str">
        <f>IF(C47="","",MIN(MAX(0,E47-N(I47)),MAX(0,G47-SUMIFS($I$4:$I$213,$C$4:$C$213,C47)-(SUMIFS($E$4:E46,$C$4:C46,C47)-SUMIFS($I$4:I46,$C$4:C46,C47)))))</f>
        <v/>
      </c>
      <c r="K47" s="17" t="str">
        <f t="shared" si="2"/>
        <v/>
      </c>
      <c r="L47" s="17" t="str">
        <f t="shared" si="3"/>
        <v/>
      </c>
      <c r="M47" s="59" t="str">
        <f>IF(C47="","",IF(OR(L47&lt;=0,F47=""),0,MAX(0,应收跟进!$E$2-F47)))</f>
        <v/>
      </c>
      <c r="N47" t="str">
        <f>IF(C47="","",IF(L47&lt;=0,"已结清",IF(F47&gt;应收跟进!$E$2,"未到期",IF(M47&lt;=30,"逾期1-30天",IF(M47&lt;=60,"逾期31-60天",IF(M47&lt;=90,"逾期61-90天","逾期90天以上"))))))</f>
        <v/>
      </c>
      <c r="O47" t="str">
        <f t="shared" si="4"/>
        <v/>
      </c>
      <c r="P47" t="str">
        <f>IF(销售录入!A37="","",销售录入!N37)</f>
        <v/>
      </c>
      <c r="Q47" t="str">
        <f>IF(销售录入!A37="","",销售录入!O37)</f>
        <v/>
      </c>
    </row>
    <row r="48" spans="1:17">
      <c r="A48" t="str">
        <f>IF(销售录入!A38="","","销售")</f>
        <v/>
      </c>
      <c r="B48" s="5" t="str">
        <f>IF(销售录入!A38="","",销售录入!A38)</f>
        <v/>
      </c>
      <c r="C48" t="str">
        <f>IF(销售录入!A38="","",销售录入!C38)</f>
        <v/>
      </c>
      <c r="D48" t="str">
        <f>IF(销售录入!A38="","",销售录入!D38)</f>
        <v/>
      </c>
      <c r="E48" s="17" t="str">
        <f>IF(销售录入!A38="","",销售录入!I38)</f>
        <v/>
      </c>
      <c r="F48" s="5" t="str">
        <f>IF(销售录入!A38="","",销售录入!L38)</f>
        <v/>
      </c>
      <c r="G48" s="17" t="str">
        <f>IF(C48="","",SUMIFS(资金流水!$J$4:$J$203,资金流水!$F$4:$F$203,C48,资金流水!$D$4:$D$203,"客户回款",资金流水!$A$4:$A$203,"&lt;="&amp;应收跟进!$E$2))</f>
        <v/>
      </c>
      <c r="H48" s="17" t="str">
        <f>IF(C48="","",SUMIFS($E$4:E47,$C$4:C47,C48))</f>
        <v/>
      </c>
      <c r="I48" s="55"/>
      <c r="J48" s="17" t="str">
        <f>IF(C48="","",MIN(MAX(0,E48-N(I48)),MAX(0,G48-SUMIFS($I$4:$I$213,$C$4:$C$213,C48)-(SUMIFS($E$4:E47,$C$4:C47,C48)-SUMIFS($I$4:I47,$C$4:C47,C48)))))</f>
        <v/>
      </c>
      <c r="K48" s="17" t="str">
        <f t="shared" si="2"/>
        <v/>
      </c>
      <c r="L48" s="17" t="str">
        <f t="shared" si="3"/>
        <v/>
      </c>
      <c r="M48" s="59" t="str">
        <f>IF(C48="","",IF(OR(L48&lt;=0,F48=""),0,MAX(0,应收跟进!$E$2-F48)))</f>
        <v/>
      </c>
      <c r="N48" t="str">
        <f>IF(C48="","",IF(L48&lt;=0,"已结清",IF(F48&gt;应收跟进!$E$2,"未到期",IF(M48&lt;=30,"逾期1-30天",IF(M48&lt;=60,"逾期31-60天",IF(M48&lt;=90,"逾期61-90天","逾期90天以上"))))))</f>
        <v/>
      </c>
      <c r="O48" t="str">
        <f t="shared" si="4"/>
        <v/>
      </c>
      <c r="P48" t="str">
        <f>IF(销售录入!A38="","",销售录入!N38)</f>
        <v/>
      </c>
      <c r="Q48" t="str">
        <f>IF(销售录入!A38="","",销售录入!O38)</f>
        <v/>
      </c>
    </row>
    <row r="49" spans="1:17">
      <c r="A49" t="str">
        <f>IF(销售录入!A39="","","销售")</f>
        <v/>
      </c>
      <c r="B49" s="5" t="str">
        <f>IF(销售录入!A39="","",销售录入!A39)</f>
        <v/>
      </c>
      <c r="C49" t="str">
        <f>IF(销售录入!A39="","",销售录入!C39)</f>
        <v/>
      </c>
      <c r="D49" t="str">
        <f>IF(销售录入!A39="","",销售录入!D39)</f>
        <v/>
      </c>
      <c r="E49" s="17" t="str">
        <f>IF(销售录入!A39="","",销售录入!I39)</f>
        <v/>
      </c>
      <c r="F49" s="5" t="str">
        <f>IF(销售录入!A39="","",销售录入!L39)</f>
        <v/>
      </c>
      <c r="G49" s="17" t="str">
        <f>IF(C49="","",SUMIFS(资金流水!$J$4:$J$203,资金流水!$F$4:$F$203,C49,资金流水!$D$4:$D$203,"客户回款",资金流水!$A$4:$A$203,"&lt;="&amp;应收跟进!$E$2))</f>
        <v/>
      </c>
      <c r="H49" s="17" t="str">
        <f>IF(C49="","",SUMIFS($E$4:E48,$C$4:C48,C49))</f>
        <v/>
      </c>
      <c r="I49" s="55"/>
      <c r="J49" s="17" t="str">
        <f>IF(C49="","",MIN(MAX(0,E49-N(I49)),MAX(0,G49-SUMIFS($I$4:$I$213,$C$4:$C$213,C49)-(SUMIFS($E$4:E48,$C$4:C48,C49)-SUMIFS($I$4:I48,$C$4:C48,C49)))))</f>
        <v/>
      </c>
      <c r="K49" s="17" t="str">
        <f t="shared" si="2"/>
        <v/>
      </c>
      <c r="L49" s="17" t="str">
        <f t="shared" si="3"/>
        <v/>
      </c>
      <c r="M49" s="59" t="str">
        <f>IF(C49="","",IF(OR(L49&lt;=0,F49=""),0,MAX(0,应收跟进!$E$2-F49)))</f>
        <v/>
      </c>
      <c r="N49" t="str">
        <f>IF(C49="","",IF(L49&lt;=0,"已结清",IF(F49&gt;应收跟进!$E$2,"未到期",IF(M49&lt;=30,"逾期1-30天",IF(M49&lt;=60,"逾期31-60天",IF(M49&lt;=90,"逾期61-90天","逾期90天以上"))))))</f>
        <v/>
      </c>
      <c r="O49" t="str">
        <f t="shared" si="4"/>
        <v/>
      </c>
      <c r="P49" t="str">
        <f>IF(销售录入!A39="","",销售录入!N39)</f>
        <v/>
      </c>
      <c r="Q49" t="str">
        <f>IF(销售录入!A39="","",销售录入!O39)</f>
        <v/>
      </c>
    </row>
    <row r="50" spans="1:17">
      <c r="A50" t="str">
        <f>IF(销售录入!A40="","","销售")</f>
        <v/>
      </c>
      <c r="B50" s="5" t="str">
        <f>IF(销售录入!A40="","",销售录入!A40)</f>
        <v/>
      </c>
      <c r="C50" t="str">
        <f>IF(销售录入!A40="","",销售录入!C40)</f>
        <v/>
      </c>
      <c r="D50" t="str">
        <f>IF(销售录入!A40="","",销售录入!D40)</f>
        <v/>
      </c>
      <c r="E50" s="17" t="str">
        <f>IF(销售录入!A40="","",销售录入!I40)</f>
        <v/>
      </c>
      <c r="F50" s="5" t="str">
        <f>IF(销售录入!A40="","",销售录入!L40)</f>
        <v/>
      </c>
      <c r="G50" s="17" t="str">
        <f>IF(C50="","",SUMIFS(资金流水!$J$4:$J$203,资金流水!$F$4:$F$203,C50,资金流水!$D$4:$D$203,"客户回款",资金流水!$A$4:$A$203,"&lt;="&amp;应收跟进!$E$2))</f>
        <v/>
      </c>
      <c r="H50" s="17" t="str">
        <f>IF(C50="","",SUMIFS($E$4:E49,$C$4:C49,C50))</f>
        <v/>
      </c>
      <c r="I50" s="55"/>
      <c r="J50" s="17" t="str">
        <f>IF(C50="","",MIN(MAX(0,E50-N(I50)),MAX(0,G50-SUMIFS($I$4:$I$213,$C$4:$C$213,C50)-(SUMIFS($E$4:E49,$C$4:C49,C50)-SUMIFS($I$4:I49,$C$4:C49,C50)))))</f>
        <v/>
      </c>
      <c r="K50" s="17" t="str">
        <f t="shared" si="2"/>
        <v/>
      </c>
      <c r="L50" s="17" t="str">
        <f t="shared" si="3"/>
        <v/>
      </c>
      <c r="M50" s="59" t="str">
        <f>IF(C50="","",IF(OR(L50&lt;=0,F50=""),0,MAX(0,应收跟进!$E$2-F50)))</f>
        <v/>
      </c>
      <c r="N50" t="str">
        <f>IF(C50="","",IF(L50&lt;=0,"已结清",IF(F50&gt;应收跟进!$E$2,"未到期",IF(M50&lt;=30,"逾期1-30天",IF(M50&lt;=60,"逾期31-60天",IF(M50&lt;=90,"逾期61-90天","逾期90天以上"))))))</f>
        <v/>
      </c>
      <c r="O50" t="str">
        <f t="shared" si="4"/>
        <v/>
      </c>
      <c r="P50" t="str">
        <f>IF(销售录入!A40="","",销售录入!N40)</f>
        <v/>
      </c>
      <c r="Q50" t="str">
        <f>IF(销售录入!A40="","",销售录入!O40)</f>
        <v/>
      </c>
    </row>
    <row r="51" spans="1:17">
      <c r="A51" t="str">
        <f>IF(销售录入!A41="","","销售")</f>
        <v/>
      </c>
      <c r="B51" s="5" t="str">
        <f>IF(销售录入!A41="","",销售录入!A41)</f>
        <v/>
      </c>
      <c r="C51" t="str">
        <f>IF(销售录入!A41="","",销售录入!C41)</f>
        <v/>
      </c>
      <c r="D51" t="str">
        <f>IF(销售录入!A41="","",销售录入!D41)</f>
        <v/>
      </c>
      <c r="E51" s="17" t="str">
        <f>IF(销售录入!A41="","",销售录入!I41)</f>
        <v/>
      </c>
      <c r="F51" s="5" t="str">
        <f>IF(销售录入!A41="","",销售录入!L41)</f>
        <v/>
      </c>
      <c r="G51" s="17" t="str">
        <f>IF(C51="","",SUMIFS(资金流水!$J$4:$J$203,资金流水!$F$4:$F$203,C51,资金流水!$D$4:$D$203,"客户回款",资金流水!$A$4:$A$203,"&lt;="&amp;应收跟进!$E$2))</f>
        <v/>
      </c>
      <c r="H51" s="17" t="str">
        <f>IF(C51="","",SUMIFS($E$4:E50,$C$4:C50,C51))</f>
        <v/>
      </c>
      <c r="I51" s="55"/>
      <c r="J51" s="17" t="str">
        <f>IF(C51="","",MIN(MAX(0,E51-N(I51)),MAX(0,G51-SUMIFS($I$4:$I$213,$C$4:$C$213,C51)-(SUMIFS($E$4:E50,$C$4:C50,C51)-SUMIFS($I$4:I50,$C$4:C50,C51)))))</f>
        <v/>
      </c>
      <c r="K51" s="17" t="str">
        <f t="shared" si="2"/>
        <v/>
      </c>
      <c r="L51" s="17" t="str">
        <f t="shared" si="3"/>
        <v/>
      </c>
      <c r="M51" s="59" t="str">
        <f>IF(C51="","",IF(OR(L51&lt;=0,F51=""),0,MAX(0,应收跟进!$E$2-F51)))</f>
        <v/>
      </c>
      <c r="N51" t="str">
        <f>IF(C51="","",IF(L51&lt;=0,"已结清",IF(F51&gt;应收跟进!$E$2,"未到期",IF(M51&lt;=30,"逾期1-30天",IF(M51&lt;=60,"逾期31-60天",IF(M51&lt;=90,"逾期61-90天","逾期90天以上"))))))</f>
        <v/>
      </c>
      <c r="O51" t="str">
        <f t="shared" si="4"/>
        <v/>
      </c>
      <c r="P51" t="str">
        <f>IF(销售录入!A41="","",销售录入!N41)</f>
        <v/>
      </c>
      <c r="Q51" t="str">
        <f>IF(销售录入!A41="","",销售录入!O41)</f>
        <v/>
      </c>
    </row>
    <row r="52" spans="1:17">
      <c r="A52" t="str">
        <f>IF(销售录入!A42="","","销售")</f>
        <v/>
      </c>
      <c r="B52" s="5" t="str">
        <f>IF(销售录入!A42="","",销售录入!A42)</f>
        <v/>
      </c>
      <c r="C52" t="str">
        <f>IF(销售录入!A42="","",销售录入!C42)</f>
        <v/>
      </c>
      <c r="D52" t="str">
        <f>IF(销售录入!A42="","",销售录入!D42)</f>
        <v/>
      </c>
      <c r="E52" s="17" t="str">
        <f>IF(销售录入!A42="","",销售录入!I42)</f>
        <v/>
      </c>
      <c r="F52" s="5" t="str">
        <f>IF(销售录入!A42="","",销售录入!L42)</f>
        <v/>
      </c>
      <c r="G52" s="17" t="str">
        <f>IF(C52="","",SUMIFS(资金流水!$J$4:$J$203,资金流水!$F$4:$F$203,C52,资金流水!$D$4:$D$203,"客户回款",资金流水!$A$4:$A$203,"&lt;="&amp;应收跟进!$E$2))</f>
        <v/>
      </c>
      <c r="H52" s="17" t="str">
        <f>IF(C52="","",SUMIFS($E$4:E51,$C$4:C51,C52))</f>
        <v/>
      </c>
      <c r="I52" s="55"/>
      <c r="J52" s="17" t="str">
        <f>IF(C52="","",MIN(MAX(0,E52-N(I52)),MAX(0,G52-SUMIFS($I$4:$I$213,$C$4:$C$213,C52)-(SUMIFS($E$4:E51,$C$4:C51,C52)-SUMIFS($I$4:I51,$C$4:C51,C52)))))</f>
        <v/>
      </c>
      <c r="K52" s="17" t="str">
        <f t="shared" si="2"/>
        <v/>
      </c>
      <c r="L52" s="17" t="str">
        <f t="shared" si="3"/>
        <v/>
      </c>
      <c r="M52" s="59" t="str">
        <f>IF(C52="","",IF(OR(L52&lt;=0,F52=""),0,MAX(0,应收跟进!$E$2-F52)))</f>
        <v/>
      </c>
      <c r="N52" t="str">
        <f>IF(C52="","",IF(L52&lt;=0,"已结清",IF(F52&gt;应收跟进!$E$2,"未到期",IF(M52&lt;=30,"逾期1-30天",IF(M52&lt;=60,"逾期31-60天",IF(M52&lt;=90,"逾期61-90天","逾期90天以上"))))))</f>
        <v/>
      </c>
      <c r="O52" t="str">
        <f t="shared" si="4"/>
        <v/>
      </c>
      <c r="P52" t="str">
        <f>IF(销售录入!A42="","",销售录入!N42)</f>
        <v/>
      </c>
      <c r="Q52" t="str">
        <f>IF(销售录入!A42="","",销售录入!O42)</f>
        <v/>
      </c>
    </row>
    <row r="53" spans="1:17">
      <c r="A53" t="str">
        <f>IF(销售录入!A43="","","销售")</f>
        <v/>
      </c>
      <c r="B53" s="5" t="str">
        <f>IF(销售录入!A43="","",销售录入!A43)</f>
        <v/>
      </c>
      <c r="C53" t="str">
        <f>IF(销售录入!A43="","",销售录入!C43)</f>
        <v/>
      </c>
      <c r="D53" t="str">
        <f>IF(销售录入!A43="","",销售录入!D43)</f>
        <v/>
      </c>
      <c r="E53" s="17" t="str">
        <f>IF(销售录入!A43="","",销售录入!I43)</f>
        <v/>
      </c>
      <c r="F53" s="5" t="str">
        <f>IF(销售录入!A43="","",销售录入!L43)</f>
        <v/>
      </c>
      <c r="G53" s="17" t="str">
        <f>IF(C53="","",SUMIFS(资金流水!$J$4:$J$203,资金流水!$F$4:$F$203,C53,资金流水!$D$4:$D$203,"客户回款",资金流水!$A$4:$A$203,"&lt;="&amp;应收跟进!$E$2))</f>
        <v/>
      </c>
      <c r="H53" s="17" t="str">
        <f>IF(C53="","",SUMIFS($E$4:E52,$C$4:C52,C53))</f>
        <v/>
      </c>
      <c r="I53" s="55"/>
      <c r="J53" s="17" t="str">
        <f>IF(C53="","",MIN(MAX(0,E53-N(I53)),MAX(0,G53-SUMIFS($I$4:$I$213,$C$4:$C$213,C53)-(SUMIFS($E$4:E52,$C$4:C52,C53)-SUMIFS($I$4:I52,$C$4:C52,C53)))))</f>
        <v/>
      </c>
      <c r="K53" s="17" t="str">
        <f t="shared" si="2"/>
        <v/>
      </c>
      <c r="L53" s="17" t="str">
        <f t="shared" si="3"/>
        <v/>
      </c>
      <c r="M53" s="59" t="str">
        <f>IF(C53="","",IF(OR(L53&lt;=0,F53=""),0,MAX(0,应收跟进!$E$2-F53)))</f>
        <v/>
      </c>
      <c r="N53" t="str">
        <f>IF(C53="","",IF(L53&lt;=0,"已结清",IF(F53&gt;应收跟进!$E$2,"未到期",IF(M53&lt;=30,"逾期1-30天",IF(M53&lt;=60,"逾期31-60天",IF(M53&lt;=90,"逾期61-90天","逾期90天以上"))))))</f>
        <v/>
      </c>
      <c r="O53" t="str">
        <f t="shared" si="4"/>
        <v/>
      </c>
      <c r="P53" t="str">
        <f>IF(销售录入!A43="","",销售录入!N43)</f>
        <v/>
      </c>
      <c r="Q53" t="str">
        <f>IF(销售录入!A43="","",销售录入!O43)</f>
        <v/>
      </c>
    </row>
    <row r="54" spans="1:17">
      <c r="A54" t="str">
        <f>IF(销售录入!A44="","","销售")</f>
        <v/>
      </c>
      <c r="B54" s="5" t="str">
        <f>IF(销售录入!A44="","",销售录入!A44)</f>
        <v/>
      </c>
      <c r="C54" t="str">
        <f>IF(销售录入!A44="","",销售录入!C44)</f>
        <v/>
      </c>
      <c r="D54" t="str">
        <f>IF(销售录入!A44="","",销售录入!D44)</f>
        <v/>
      </c>
      <c r="E54" s="17" t="str">
        <f>IF(销售录入!A44="","",销售录入!I44)</f>
        <v/>
      </c>
      <c r="F54" s="5" t="str">
        <f>IF(销售录入!A44="","",销售录入!L44)</f>
        <v/>
      </c>
      <c r="G54" s="17" t="str">
        <f>IF(C54="","",SUMIFS(资金流水!$J$4:$J$203,资金流水!$F$4:$F$203,C54,资金流水!$D$4:$D$203,"客户回款",资金流水!$A$4:$A$203,"&lt;="&amp;应收跟进!$E$2))</f>
        <v/>
      </c>
      <c r="H54" s="17" t="str">
        <f>IF(C54="","",SUMIFS($E$4:E53,$C$4:C53,C54))</f>
        <v/>
      </c>
      <c r="I54" s="55"/>
      <c r="J54" s="17" t="str">
        <f>IF(C54="","",MIN(MAX(0,E54-N(I54)),MAX(0,G54-SUMIFS($I$4:$I$213,$C$4:$C$213,C54)-(SUMIFS($E$4:E53,$C$4:C53,C54)-SUMIFS($I$4:I53,$C$4:C53,C54)))))</f>
        <v/>
      </c>
      <c r="K54" s="17" t="str">
        <f t="shared" si="2"/>
        <v/>
      </c>
      <c r="L54" s="17" t="str">
        <f t="shared" si="3"/>
        <v/>
      </c>
      <c r="M54" s="59" t="str">
        <f>IF(C54="","",IF(OR(L54&lt;=0,F54=""),0,MAX(0,应收跟进!$E$2-F54)))</f>
        <v/>
      </c>
      <c r="N54" t="str">
        <f>IF(C54="","",IF(L54&lt;=0,"已结清",IF(F54&gt;应收跟进!$E$2,"未到期",IF(M54&lt;=30,"逾期1-30天",IF(M54&lt;=60,"逾期31-60天",IF(M54&lt;=90,"逾期61-90天","逾期90天以上"))))))</f>
        <v/>
      </c>
      <c r="O54" t="str">
        <f t="shared" si="4"/>
        <v/>
      </c>
      <c r="P54" t="str">
        <f>IF(销售录入!A44="","",销售录入!N44)</f>
        <v/>
      </c>
      <c r="Q54" t="str">
        <f>IF(销售录入!A44="","",销售录入!O44)</f>
        <v/>
      </c>
    </row>
    <row r="55" spans="1:17">
      <c r="A55" t="str">
        <f>IF(销售录入!A45="","","销售")</f>
        <v/>
      </c>
      <c r="B55" s="5" t="str">
        <f>IF(销售录入!A45="","",销售录入!A45)</f>
        <v/>
      </c>
      <c r="C55" t="str">
        <f>IF(销售录入!A45="","",销售录入!C45)</f>
        <v/>
      </c>
      <c r="D55" t="str">
        <f>IF(销售录入!A45="","",销售录入!D45)</f>
        <v/>
      </c>
      <c r="E55" s="17" t="str">
        <f>IF(销售录入!A45="","",销售录入!I45)</f>
        <v/>
      </c>
      <c r="F55" s="5" t="str">
        <f>IF(销售录入!A45="","",销售录入!L45)</f>
        <v/>
      </c>
      <c r="G55" s="17" t="str">
        <f>IF(C55="","",SUMIFS(资金流水!$J$4:$J$203,资金流水!$F$4:$F$203,C55,资金流水!$D$4:$D$203,"客户回款",资金流水!$A$4:$A$203,"&lt;="&amp;应收跟进!$E$2))</f>
        <v/>
      </c>
      <c r="H55" s="17" t="str">
        <f>IF(C55="","",SUMIFS($E$4:E54,$C$4:C54,C55))</f>
        <v/>
      </c>
      <c r="I55" s="55"/>
      <c r="J55" s="17" t="str">
        <f>IF(C55="","",MIN(MAX(0,E55-N(I55)),MAX(0,G55-SUMIFS($I$4:$I$213,$C$4:$C$213,C55)-(SUMIFS($E$4:E54,$C$4:C54,C55)-SUMIFS($I$4:I54,$C$4:C54,C55)))))</f>
        <v/>
      </c>
      <c r="K55" s="17" t="str">
        <f t="shared" si="2"/>
        <v/>
      </c>
      <c r="L55" s="17" t="str">
        <f t="shared" si="3"/>
        <v/>
      </c>
      <c r="M55" s="59" t="str">
        <f>IF(C55="","",IF(OR(L55&lt;=0,F55=""),0,MAX(0,应收跟进!$E$2-F55)))</f>
        <v/>
      </c>
      <c r="N55" t="str">
        <f>IF(C55="","",IF(L55&lt;=0,"已结清",IF(F55&gt;应收跟进!$E$2,"未到期",IF(M55&lt;=30,"逾期1-30天",IF(M55&lt;=60,"逾期31-60天",IF(M55&lt;=90,"逾期61-90天","逾期90天以上"))))))</f>
        <v/>
      </c>
      <c r="O55" t="str">
        <f t="shared" si="4"/>
        <v/>
      </c>
      <c r="P55" t="str">
        <f>IF(销售录入!A45="","",销售录入!N45)</f>
        <v/>
      </c>
      <c r="Q55" t="str">
        <f>IF(销售录入!A45="","",销售录入!O45)</f>
        <v/>
      </c>
    </row>
    <row r="56" spans="1:17">
      <c r="A56" t="str">
        <f>IF(销售录入!A46="","","销售")</f>
        <v/>
      </c>
      <c r="B56" s="5" t="str">
        <f>IF(销售录入!A46="","",销售录入!A46)</f>
        <v/>
      </c>
      <c r="C56" t="str">
        <f>IF(销售录入!A46="","",销售录入!C46)</f>
        <v/>
      </c>
      <c r="D56" t="str">
        <f>IF(销售录入!A46="","",销售录入!D46)</f>
        <v/>
      </c>
      <c r="E56" s="17" t="str">
        <f>IF(销售录入!A46="","",销售录入!I46)</f>
        <v/>
      </c>
      <c r="F56" s="5" t="str">
        <f>IF(销售录入!A46="","",销售录入!L46)</f>
        <v/>
      </c>
      <c r="G56" s="17" t="str">
        <f>IF(C56="","",SUMIFS(资金流水!$J$4:$J$203,资金流水!$F$4:$F$203,C56,资金流水!$D$4:$D$203,"客户回款",资金流水!$A$4:$A$203,"&lt;="&amp;应收跟进!$E$2))</f>
        <v/>
      </c>
      <c r="H56" s="17" t="str">
        <f>IF(C56="","",SUMIFS($E$4:E55,$C$4:C55,C56))</f>
        <v/>
      </c>
      <c r="I56" s="55"/>
      <c r="J56" s="17" t="str">
        <f>IF(C56="","",MIN(MAX(0,E56-N(I56)),MAX(0,G56-SUMIFS($I$4:$I$213,$C$4:$C$213,C56)-(SUMIFS($E$4:E55,$C$4:C55,C56)-SUMIFS($I$4:I55,$C$4:C55,C56)))))</f>
        <v/>
      </c>
      <c r="K56" s="17" t="str">
        <f t="shared" si="2"/>
        <v/>
      </c>
      <c r="L56" s="17" t="str">
        <f t="shared" si="3"/>
        <v/>
      </c>
      <c r="M56" s="59" t="str">
        <f>IF(C56="","",IF(OR(L56&lt;=0,F56=""),0,MAX(0,应收跟进!$E$2-F56)))</f>
        <v/>
      </c>
      <c r="N56" t="str">
        <f>IF(C56="","",IF(L56&lt;=0,"已结清",IF(F56&gt;应收跟进!$E$2,"未到期",IF(M56&lt;=30,"逾期1-30天",IF(M56&lt;=60,"逾期31-60天",IF(M56&lt;=90,"逾期61-90天","逾期90天以上"))))))</f>
        <v/>
      </c>
      <c r="O56" t="str">
        <f t="shared" si="4"/>
        <v/>
      </c>
      <c r="P56" t="str">
        <f>IF(销售录入!A46="","",销售录入!N46)</f>
        <v/>
      </c>
      <c r="Q56" t="str">
        <f>IF(销售录入!A46="","",销售录入!O46)</f>
        <v/>
      </c>
    </row>
    <row r="57" spans="1:17">
      <c r="A57" t="str">
        <f>IF(销售录入!A47="","","销售")</f>
        <v/>
      </c>
      <c r="B57" s="5" t="str">
        <f>IF(销售录入!A47="","",销售录入!A47)</f>
        <v/>
      </c>
      <c r="C57" t="str">
        <f>IF(销售录入!A47="","",销售录入!C47)</f>
        <v/>
      </c>
      <c r="D57" t="str">
        <f>IF(销售录入!A47="","",销售录入!D47)</f>
        <v/>
      </c>
      <c r="E57" s="17" t="str">
        <f>IF(销售录入!A47="","",销售录入!I47)</f>
        <v/>
      </c>
      <c r="F57" s="5" t="str">
        <f>IF(销售录入!A47="","",销售录入!L47)</f>
        <v/>
      </c>
      <c r="G57" s="17" t="str">
        <f>IF(C57="","",SUMIFS(资金流水!$J$4:$J$203,资金流水!$F$4:$F$203,C57,资金流水!$D$4:$D$203,"客户回款",资金流水!$A$4:$A$203,"&lt;="&amp;应收跟进!$E$2))</f>
        <v/>
      </c>
      <c r="H57" s="17" t="str">
        <f>IF(C57="","",SUMIFS($E$4:E56,$C$4:C56,C57))</f>
        <v/>
      </c>
      <c r="I57" s="55"/>
      <c r="J57" s="17" t="str">
        <f>IF(C57="","",MIN(MAX(0,E57-N(I57)),MAX(0,G57-SUMIFS($I$4:$I$213,$C$4:$C$213,C57)-(SUMIFS($E$4:E56,$C$4:C56,C57)-SUMIFS($I$4:I56,$C$4:C56,C57)))))</f>
        <v/>
      </c>
      <c r="K57" s="17" t="str">
        <f t="shared" si="2"/>
        <v/>
      </c>
      <c r="L57" s="17" t="str">
        <f t="shared" si="3"/>
        <v/>
      </c>
      <c r="M57" s="59" t="str">
        <f>IF(C57="","",IF(OR(L57&lt;=0,F57=""),0,MAX(0,应收跟进!$E$2-F57)))</f>
        <v/>
      </c>
      <c r="N57" t="str">
        <f>IF(C57="","",IF(L57&lt;=0,"已结清",IF(F57&gt;应收跟进!$E$2,"未到期",IF(M57&lt;=30,"逾期1-30天",IF(M57&lt;=60,"逾期31-60天",IF(M57&lt;=90,"逾期61-90天","逾期90天以上"))))))</f>
        <v/>
      </c>
      <c r="O57" t="str">
        <f t="shared" si="4"/>
        <v/>
      </c>
      <c r="P57" t="str">
        <f>IF(销售录入!A47="","",销售录入!N47)</f>
        <v/>
      </c>
      <c r="Q57" t="str">
        <f>IF(销售录入!A47="","",销售录入!O47)</f>
        <v/>
      </c>
    </row>
    <row r="58" spans="1:17">
      <c r="A58" t="str">
        <f>IF(销售录入!A48="","","销售")</f>
        <v/>
      </c>
      <c r="B58" s="5" t="str">
        <f>IF(销售录入!A48="","",销售录入!A48)</f>
        <v/>
      </c>
      <c r="C58" t="str">
        <f>IF(销售录入!A48="","",销售录入!C48)</f>
        <v/>
      </c>
      <c r="D58" t="str">
        <f>IF(销售录入!A48="","",销售录入!D48)</f>
        <v/>
      </c>
      <c r="E58" s="17" t="str">
        <f>IF(销售录入!A48="","",销售录入!I48)</f>
        <v/>
      </c>
      <c r="F58" s="5" t="str">
        <f>IF(销售录入!A48="","",销售录入!L48)</f>
        <v/>
      </c>
      <c r="G58" s="17" t="str">
        <f>IF(C58="","",SUMIFS(资金流水!$J$4:$J$203,资金流水!$F$4:$F$203,C58,资金流水!$D$4:$D$203,"客户回款",资金流水!$A$4:$A$203,"&lt;="&amp;应收跟进!$E$2))</f>
        <v/>
      </c>
      <c r="H58" s="17" t="str">
        <f>IF(C58="","",SUMIFS($E$4:E57,$C$4:C57,C58))</f>
        <v/>
      </c>
      <c r="I58" s="55"/>
      <c r="J58" s="17" t="str">
        <f>IF(C58="","",MIN(MAX(0,E58-N(I58)),MAX(0,G58-SUMIFS($I$4:$I$213,$C$4:$C$213,C58)-(SUMIFS($E$4:E57,$C$4:C57,C58)-SUMIFS($I$4:I57,$C$4:C57,C58)))))</f>
        <v/>
      </c>
      <c r="K58" s="17" t="str">
        <f t="shared" si="2"/>
        <v/>
      </c>
      <c r="L58" s="17" t="str">
        <f t="shared" si="3"/>
        <v/>
      </c>
      <c r="M58" s="59" t="str">
        <f>IF(C58="","",IF(OR(L58&lt;=0,F58=""),0,MAX(0,应收跟进!$E$2-F58)))</f>
        <v/>
      </c>
      <c r="N58" t="str">
        <f>IF(C58="","",IF(L58&lt;=0,"已结清",IF(F58&gt;应收跟进!$E$2,"未到期",IF(M58&lt;=30,"逾期1-30天",IF(M58&lt;=60,"逾期31-60天",IF(M58&lt;=90,"逾期61-90天","逾期90天以上"))))))</f>
        <v/>
      </c>
      <c r="O58" t="str">
        <f t="shared" si="4"/>
        <v/>
      </c>
      <c r="P58" t="str">
        <f>IF(销售录入!A48="","",销售录入!N48)</f>
        <v/>
      </c>
      <c r="Q58" t="str">
        <f>IF(销售录入!A48="","",销售录入!O48)</f>
        <v/>
      </c>
    </row>
    <row r="59" spans="1:17">
      <c r="A59" t="str">
        <f>IF(销售录入!A49="","","销售")</f>
        <v/>
      </c>
      <c r="B59" s="5" t="str">
        <f>IF(销售录入!A49="","",销售录入!A49)</f>
        <v/>
      </c>
      <c r="C59" t="str">
        <f>IF(销售录入!A49="","",销售录入!C49)</f>
        <v/>
      </c>
      <c r="D59" t="str">
        <f>IF(销售录入!A49="","",销售录入!D49)</f>
        <v/>
      </c>
      <c r="E59" s="17" t="str">
        <f>IF(销售录入!A49="","",销售录入!I49)</f>
        <v/>
      </c>
      <c r="F59" s="5" t="str">
        <f>IF(销售录入!A49="","",销售录入!L49)</f>
        <v/>
      </c>
      <c r="G59" s="17" t="str">
        <f>IF(C59="","",SUMIFS(资金流水!$J$4:$J$203,资金流水!$F$4:$F$203,C59,资金流水!$D$4:$D$203,"客户回款",资金流水!$A$4:$A$203,"&lt;="&amp;应收跟进!$E$2))</f>
        <v/>
      </c>
      <c r="H59" s="17" t="str">
        <f>IF(C59="","",SUMIFS($E$4:E58,$C$4:C58,C59))</f>
        <v/>
      </c>
      <c r="I59" s="55"/>
      <c r="J59" s="17" t="str">
        <f>IF(C59="","",MIN(MAX(0,E59-N(I59)),MAX(0,G59-SUMIFS($I$4:$I$213,$C$4:$C$213,C59)-(SUMIFS($E$4:E58,$C$4:C58,C59)-SUMIFS($I$4:I58,$C$4:C58,C59)))))</f>
        <v/>
      </c>
      <c r="K59" s="17" t="str">
        <f t="shared" si="2"/>
        <v/>
      </c>
      <c r="L59" s="17" t="str">
        <f t="shared" si="3"/>
        <v/>
      </c>
      <c r="M59" s="59" t="str">
        <f>IF(C59="","",IF(OR(L59&lt;=0,F59=""),0,MAX(0,应收跟进!$E$2-F59)))</f>
        <v/>
      </c>
      <c r="N59" t="str">
        <f>IF(C59="","",IF(L59&lt;=0,"已结清",IF(F59&gt;应收跟进!$E$2,"未到期",IF(M59&lt;=30,"逾期1-30天",IF(M59&lt;=60,"逾期31-60天",IF(M59&lt;=90,"逾期61-90天","逾期90天以上"))))))</f>
        <v/>
      </c>
      <c r="O59" t="str">
        <f t="shared" si="4"/>
        <v/>
      </c>
      <c r="P59" t="str">
        <f>IF(销售录入!A49="","",销售录入!N49)</f>
        <v/>
      </c>
      <c r="Q59" t="str">
        <f>IF(销售录入!A49="","",销售录入!O49)</f>
        <v/>
      </c>
    </row>
    <row r="60" spans="1:17">
      <c r="A60" t="str">
        <f>IF(销售录入!A50="","","销售")</f>
        <v/>
      </c>
      <c r="B60" s="5" t="str">
        <f>IF(销售录入!A50="","",销售录入!A50)</f>
        <v/>
      </c>
      <c r="C60" t="str">
        <f>IF(销售录入!A50="","",销售录入!C50)</f>
        <v/>
      </c>
      <c r="D60" t="str">
        <f>IF(销售录入!A50="","",销售录入!D50)</f>
        <v/>
      </c>
      <c r="E60" s="17" t="str">
        <f>IF(销售录入!A50="","",销售录入!I50)</f>
        <v/>
      </c>
      <c r="F60" s="5" t="str">
        <f>IF(销售录入!A50="","",销售录入!L50)</f>
        <v/>
      </c>
      <c r="G60" s="17" t="str">
        <f>IF(C60="","",SUMIFS(资金流水!$J$4:$J$203,资金流水!$F$4:$F$203,C60,资金流水!$D$4:$D$203,"客户回款",资金流水!$A$4:$A$203,"&lt;="&amp;应收跟进!$E$2))</f>
        <v/>
      </c>
      <c r="H60" s="17" t="str">
        <f>IF(C60="","",SUMIFS($E$4:E59,$C$4:C59,C60))</f>
        <v/>
      </c>
      <c r="I60" s="55"/>
      <c r="J60" s="17" t="str">
        <f>IF(C60="","",MIN(MAX(0,E60-N(I60)),MAX(0,G60-SUMIFS($I$4:$I$213,$C$4:$C$213,C60)-(SUMIFS($E$4:E59,$C$4:C59,C60)-SUMIFS($I$4:I59,$C$4:C59,C60)))))</f>
        <v/>
      </c>
      <c r="K60" s="17" t="str">
        <f t="shared" si="2"/>
        <v/>
      </c>
      <c r="L60" s="17" t="str">
        <f t="shared" si="3"/>
        <v/>
      </c>
      <c r="M60" s="59" t="str">
        <f>IF(C60="","",IF(OR(L60&lt;=0,F60=""),0,MAX(0,应收跟进!$E$2-F60)))</f>
        <v/>
      </c>
      <c r="N60" t="str">
        <f>IF(C60="","",IF(L60&lt;=0,"已结清",IF(F60&gt;应收跟进!$E$2,"未到期",IF(M60&lt;=30,"逾期1-30天",IF(M60&lt;=60,"逾期31-60天",IF(M60&lt;=90,"逾期61-90天","逾期90天以上"))))))</f>
        <v/>
      </c>
      <c r="O60" t="str">
        <f t="shared" si="4"/>
        <v/>
      </c>
      <c r="P60" t="str">
        <f>IF(销售录入!A50="","",销售录入!N50)</f>
        <v/>
      </c>
      <c r="Q60" t="str">
        <f>IF(销售录入!A50="","",销售录入!O50)</f>
        <v/>
      </c>
    </row>
    <row r="61" spans="1:17">
      <c r="A61" t="str">
        <f>IF(销售录入!A51="","","销售")</f>
        <v/>
      </c>
      <c r="B61" s="5" t="str">
        <f>IF(销售录入!A51="","",销售录入!A51)</f>
        <v/>
      </c>
      <c r="C61" t="str">
        <f>IF(销售录入!A51="","",销售录入!C51)</f>
        <v/>
      </c>
      <c r="D61" t="str">
        <f>IF(销售录入!A51="","",销售录入!D51)</f>
        <v/>
      </c>
      <c r="E61" s="17" t="str">
        <f>IF(销售录入!A51="","",销售录入!I51)</f>
        <v/>
      </c>
      <c r="F61" s="5" t="str">
        <f>IF(销售录入!A51="","",销售录入!L51)</f>
        <v/>
      </c>
      <c r="G61" s="17" t="str">
        <f>IF(C61="","",SUMIFS(资金流水!$J$4:$J$203,资金流水!$F$4:$F$203,C61,资金流水!$D$4:$D$203,"客户回款",资金流水!$A$4:$A$203,"&lt;="&amp;应收跟进!$E$2))</f>
        <v/>
      </c>
      <c r="H61" s="17" t="str">
        <f>IF(C61="","",SUMIFS($E$4:E60,$C$4:C60,C61))</f>
        <v/>
      </c>
      <c r="I61" s="55"/>
      <c r="J61" s="17" t="str">
        <f>IF(C61="","",MIN(MAX(0,E61-N(I61)),MAX(0,G61-SUMIFS($I$4:$I$213,$C$4:$C$213,C61)-(SUMIFS($E$4:E60,$C$4:C60,C61)-SUMIFS($I$4:I60,$C$4:C60,C61)))))</f>
        <v/>
      </c>
      <c r="K61" s="17" t="str">
        <f t="shared" si="2"/>
        <v/>
      </c>
      <c r="L61" s="17" t="str">
        <f t="shared" si="3"/>
        <v/>
      </c>
      <c r="M61" s="59" t="str">
        <f>IF(C61="","",IF(OR(L61&lt;=0,F61=""),0,MAX(0,应收跟进!$E$2-F61)))</f>
        <v/>
      </c>
      <c r="N61" t="str">
        <f>IF(C61="","",IF(L61&lt;=0,"已结清",IF(F61&gt;应收跟进!$E$2,"未到期",IF(M61&lt;=30,"逾期1-30天",IF(M61&lt;=60,"逾期31-60天",IF(M61&lt;=90,"逾期61-90天","逾期90天以上"))))))</f>
        <v/>
      </c>
      <c r="O61" t="str">
        <f t="shared" si="4"/>
        <v/>
      </c>
      <c r="P61" t="str">
        <f>IF(销售录入!A51="","",销售录入!N51)</f>
        <v/>
      </c>
      <c r="Q61" t="str">
        <f>IF(销售录入!A51="","",销售录入!O51)</f>
        <v/>
      </c>
    </row>
    <row r="62" spans="1:17">
      <c r="A62" t="str">
        <f>IF(销售录入!A52="","","销售")</f>
        <v/>
      </c>
      <c r="B62" s="5" t="str">
        <f>IF(销售录入!A52="","",销售录入!A52)</f>
        <v/>
      </c>
      <c r="C62" t="str">
        <f>IF(销售录入!A52="","",销售录入!C52)</f>
        <v/>
      </c>
      <c r="D62" t="str">
        <f>IF(销售录入!A52="","",销售录入!D52)</f>
        <v/>
      </c>
      <c r="E62" s="17" t="str">
        <f>IF(销售录入!A52="","",销售录入!I52)</f>
        <v/>
      </c>
      <c r="F62" s="5" t="str">
        <f>IF(销售录入!A52="","",销售录入!L52)</f>
        <v/>
      </c>
      <c r="G62" s="17" t="str">
        <f>IF(C62="","",SUMIFS(资金流水!$J$4:$J$203,资金流水!$F$4:$F$203,C62,资金流水!$D$4:$D$203,"客户回款",资金流水!$A$4:$A$203,"&lt;="&amp;应收跟进!$E$2))</f>
        <v/>
      </c>
      <c r="H62" s="17" t="str">
        <f>IF(C62="","",SUMIFS($E$4:E61,$C$4:C61,C62))</f>
        <v/>
      </c>
      <c r="I62" s="55"/>
      <c r="J62" s="17" t="str">
        <f>IF(C62="","",MIN(MAX(0,E62-N(I62)),MAX(0,G62-SUMIFS($I$4:$I$213,$C$4:$C$213,C62)-(SUMIFS($E$4:E61,$C$4:C61,C62)-SUMIFS($I$4:I61,$C$4:C61,C62)))))</f>
        <v/>
      </c>
      <c r="K62" s="17" t="str">
        <f t="shared" si="2"/>
        <v/>
      </c>
      <c r="L62" s="17" t="str">
        <f t="shared" si="3"/>
        <v/>
      </c>
      <c r="M62" s="59" t="str">
        <f>IF(C62="","",IF(OR(L62&lt;=0,F62=""),0,MAX(0,应收跟进!$E$2-F62)))</f>
        <v/>
      </c>
      <c r="N62" t="str">
        <f>IF(C62="","",IF(L62&lt;=0,"已结清",IF(F62&gt;应收跟进!$E$2,"未到期",IF(M62&lt;=30,"逾期1-30天",IF(M62&lt;=60,"逾期31-60天",IF(M62&lt;=90,"逾期61-90天","逾期90天以上"))))))</f>
        <v/>
      </c>
      <c r="O62" t="str">
        <f t="shared" si="4"/>
        <v/>
      </c>
      <c r="P62" t="str">
        <f>IF(销售录入!A52="","",销售录入!N52)</f>
        <v/>
      </c>
      <c r="Q62" t="str">
        <f>IF(销售录入!A52="","",销售录入!O52)</f>
        <v/>
      </c>
    </row>
    <row r="63" spans="1:17">
      <c r="A63" t="str">
        <f>IF(销售录入!A53="","","销售")</f>
        <v/>
      </c>
      <c r="B63" s="5" t="str">
        <f>IF(销售录入!A53="","",销售录入!A53)</f>
        <v/>
      </c>
      <c r="C63" t="str">
        <f>IF(销售录入!A53="","",销售录入!C53)</f>
        <v/>
      </c>
      <c r="D63" t="str">
        <f>IF(销售录入!A53="","",销售录入!D53)</f>
        <v/>
      </c>
      <c r="E63" s="17" t="str">
        <f>IF(销售录入!A53="","",销售录入!I53)</f>
        <v/>
      </c>
      <c r="F63" s="5" t="str">
        <f>IF(销售录入!A53="","",销售录入!L53)</f>
        <v/>
      </c>
      <c r="G63" s="17" t="str">
        <f>IF(C63="","",SUMIFS(资金流水!$J$4:$J$203,资金流水!$F$4:$F$203,C63,资金流水!$D$4:$D$203,"客户回款",资金流水!$A$4:$A$203,"&lt;="&amp;应收跟进!$E$2))</f>
        <v/>
      </c>
      <c r="H63" s="17" t="str">
        <f>IF(C63="","",SUMIFS($E$4:E62,$C$4:C62,C63))</f>
        <v/>
      </c>
      <c r="I63" s="55"/>
      <c r="J63" s="17" t="str">
        <f>IF(C63="","",MIN(MAX(0,E63-N(I63)),MAX(0,G63-SUMIFS($I$4:$I$213,$C$4:$C$213,C63)-(SUMIFS($E$4:E62,$C$4:C62,C63)-SUMIFS($I$4:I62,$C$4:C62,C63)))))</f>
        <v/>
      </c>
      <c r="K63" s="17" t="str">
        <f t="shared" si="2"/>
        <v/>
      </c>
      <c r="L63" s="17" t="str">
        <f t="shared" si="3"/>
        <v/>
      </c>
      <c r="M63" s="59" t="str">
        <f>IF(C63="","",IF(OR(L63&lt;=0,F63=""),0,MAX(0,应收跟进!$E$2-F63)))</f>
        <v/>
      </c>
      <c r="N63" t="str">
        <f>IF(C63="","",IF(L63&lt;=0,"已结清",IF(F63&gt;应收跟进!$E$2,"未到期",IF(M63&lt;=30,"逾期1-30天",IF(M63&lt;=60,"逾期31-60天",IF(M63&lt;=90,"逾期61-90天","逾期90天以上"))))))</f>
        <v/>
      </c>
      <c r="O63" t="str">
        <f t="shared" si="4"/>
        <v/>
      </c>
      <c r="P63" t="str">
        <f>IF(销售录入!A53="","",销售录入!N53)</f>
        <v/>
      </c>
      <c r="Q63" t="str">
        <f>IF(销售录入!A53="","",销售录入!O53)</f>
        <v/>
      </c>
    </row>
    <row r="64" spans="1:17">
      <c r="A64" t="str">
        <f>IF(销售录入!A54="","","销售")</f>
        <v/>
      </c>
      <c r="B64" s="5" t="str">
        <f>IF(销售录入!A54="","",销售录入!A54)</f>
        <v/>
      </c>
      <c r="C64" t="str">
        <f>IF(销售录入!A54="","",销售录入!C54)</f>
        <v/>
      </c>
      <c r="D64" t="str">
        <f>IF(销售录入!A54="","",销售录入!D54)</f>
        <v/>
      </c>
      <c r="E64" s="17" t="str">
        <f>IF(销售录入!A54="","",销售录入!I54)</f>
        <v/>
      </c>
      <c r="F64" s="5" t="str">
        <f>IF(销售录入!A54="","",销售录入!L54)</f>
        <v/>
      </c>
      <c r="G64" s="17" t="str">
        <f>IF(C64="","",SUMIFS(资金流水!$J$4:$J$203,资金流水!$F$4:$F$203,C64,资金流水!$D$4:$D$203,"客户回款",资金流水!$A$4:$A$203,"&lt;="&amp;应收跟进!$E$2))</f>
        <v/>
      </c>
      <c r="H64" s="17" t="str">
        <f>IF(C64="","",SUMIFS($E$4:E63,$C$4:C63,C64))</f>
        <v/>
      </c>
      <c r="I64" s="55"/>
      <c r="J64" s="17" t="str">
        <f>IF(C64="","",MIN(MAX(0,E64-N(I64)),MAX(0,G64-SUMIFS($I$4:$I$213,$C$4:$C$213,C64)-(SUMIFS($E$4:E63,$C$4:C63,C64)-SUMIFS($I$4:I63,$C$4:C63,C64)))))</f>
        <v/>
      </c>
      <c r="K64" s="17" t="str">
        <f t="shared" si="2"/>
        <v/>
      </c>
      <c r="L64" s="17" t="str">
        <f t="shared" si="3"/>
        <v/>
      </c>
      <c r="M64" s="59" t="str">
        <f>IF(C64="","",IF(OR(L64&lt;=0,F64=""),0,MAX(0,应收跟进!$E$2-F64)))</f>
        <v/>
      </c>
      <c r="N64" t="str">
        <f>IF(C64="","",IF(L64&lt;=0,"已结清",IF(F64&gt;应收跟进!$E$2,"未到期",IF(M64&lt;=30,"逾期1-30天",IF(M64&lt;=60,"逾期31-60天",IF(M64&lt;=90,"逾期61-90天","逾期90天以上"))))))</f>
        <v/>
      </c>
      <c r="O64" t="str">
        <f t="shared" si="4"/>
        <v/>
      </c>
      <c r="P64" t="str">
        <f>IF(销售录入!A54="","",销售录入!N54)</f>
        <v/>
      </c>
      <c r="Q64" t="str">
        <f>IF(销售录入!A54="","",销售录入!O54)</f>
        <v/>
      </c>
    </row>
    <row r="65" spans="1:17">
      <c r="A65" t="str">
        <f>IF(销售录入!A55="","","销售")</f>
        <v/>
      </c>
      <c r="B65" s="5" t="str">
        <f>IF(销售录入!A55="","",销售录入!A55)</f>
        <v/>
      </c>
      <c r="C65" t="str">
        <f>IF(销售录入!A55="","",销售录入!C55)</f>
        <v/>
      </c>
      <c r="D65" t="str">
        <f>IF(销售录入!A55="","",销售录入!D55)</f>
        <v/>
      </c>
      <c r="E65" s="17" t="str">
        <f>IF(销售录入!A55="","",销售录入!I55)</f>
        <v/>
      </c>
      <c r="F65" s="5" t="str">
        <f>IF(销售录入!A55="","",销售录入!L55)</f>
        <v/>
      </c>
      <c r="G65" s="17" t="str">
        <f>IF(C65="","",SUMIFS(资金流水!$J$4:$J$203,资金流水!$F$4:$F$203,C65,资金流水!$D$4:$D$203,"客户回款",资金流水!$A$4:$A$203,"&lt;="&amp;应收跟进!$E$2))</f>
        <v/>
      </c>
      <c r="H65" s="17" t="str">
        <f>IF(C65="","",SUMIFS($E$4:E64,$C$4:C64,C65))</f>
        <v/>
      </c>
      <c r="I65" s="55"/>
      <c r="J65" s="17" t="str">
        <f>IF(C65="","",MIN(MAX(0,E65-N(I65)),MAX(0,G65-SUMIFS($I$4:$I$213,$C$4:$C$213,C65)-(SUMIFS($E$4:E64,$C$4:C64,C65)-SUMIFS($I$4:I64,$C$4:C64,C65)))))</f>
        <v/>
      </c>
      <c r="K65" s="17" t="str">
        <f t="shared" si="2"/>
        <v/>
      </c>
      <c r="L65" s="17" t="str">
        <f t="shared" si="3"/>
        <v/>
      </c>
      <c r="M65" s="59" t="str">
        <f>IF(C65="","",IF(OR(L65&lt;=0,F65=""),0,MAX(0,应收跟进!$E$2-F65)))</f>
        <v/>
      </c>
      <c r="N65" t="str">
        <f>IF(C65="","",IF(L65&lt;=0,"已结清",IF(F65&gt;应收跟进!$E$2,"未到期",IF(M65&lt;=30,"逾期1-30天",IF(M65&lt;=60,"逾期31-60天",IF(M65&lt;=90,"逾期61-90天","逾期90天以上"))))))</f>
        <v/>
      </c>
      <c r="O65" t="str">
        <f t="shared" si="4"/>
        <v/>
      </c>
      <c r="P65" t="str">
        <f>IF(销售录入!A55="","",销售录入!N55)</f>
        <v/>
      </c>
      <c r="Q65" t="str">
        <f>IF(销售录入!A55="","",销售录入!O55)</f>
        <v/>
      </c>
    </row>
    <row r="66" spans="1:17">
      <c r="A66" t="str">
        <f>IF(销售录入!A56="","","销售")</f>
        <v/>
      </c>
      <c r="B66" s="5" t="str">
        <f>IF(销售录入!A56="","",销售录入!A56)</f>
        <v/>
      </c>
      <c r="C66" t="str">
        <f>IF(销售录入!A56="","",销售录入!C56)</f>
        <v/>
      </c>
      <c r="D66" t="str">
        <f>IF(销售录入!A56="","",销售录入!D56)</f>
        <v/>
      </c>
      <c r="E66" s="17" t="str">
        <f>IF(销售录入!A56="","",销售录入!I56)</f>
        <v/>
      </c>
      <c r="F66" s="5" t="str">
        <f>IF(销售录入!A56="","",销售录入!L56)</f>
        <v/>
      </c>
      <c r="G66" s="17" t="str">
        <f>IF(C66="","",SUMIFS(资金流水!$J$4:$J$203,资金流水!$F$4:$F$203,C66,资金流水!$D$4:$D$203,"客户回款",资金流水!$A$4:$A$203,"&lt;="&amp;应收跟进!$E$2))</f>
        <v/>
      </c>
      <c r="H66" s="17" t="str">
        <f>IF(C66="","",SUMIFS($E$4:E65,$C$4:C65,C66))</f>
        <v/>
      </c>
      <c r="I66" s="55"/>
      <c r="J66" s="17" t="str">
        <f>IF(C66="","",MIN(MAX(0,E66-N(I66)),MAX(0,G66-SUMIFS($I$4:$I$213,$C$4:$C$213,C66)-(SUMIFS($E$4:E65,$C$4:C65,C66)-SUMIFS($I$4:I65,$C$4:C65,C66)))))</f>
        <v/>
      </c>
      <c r="K66" s="17" t="str">
        <f t="shared" si="2"/>
        <v/>
      </c>
      <c r="L66" s="17" t="str">
        <f t="shared" si="3"/>
        <v/>
      </c>
      <c r="M66" s="59" t="str">
        <f>IF(C66="","",IF(OR(L66&lt;=0,F66=""),0,MAX(0,应收跟进!$E$2-F66)))</f>
        <v/>
      </c>
      <c r="N66" t="str">
        <f>IF(C66="","",IF(L66&lt;=0,"已结清",IF(F66&gt;应收跟进!$E$2,"未到期",IF(M66&lt;=30,"逾期1-30天",IF(M66&lt;=60,"逾期31-60天",IF(M66&lt;=90,"逾期61-90天","逾期90天以上"))))))</f>
        <v/>
      </c>
      <c r="O66" t="str">
        <f t="shared" si="4"/>
        <v/>
      </c>
      <c r="P66" t="str">
        <f>IF(销售录入!A56="","",销售录入!N56)</f>
        <v/>
      </c>
      <c r="Q66" t="str">
        <f>IF(销售录入!A56="","",销售录入!O56)</f>
        <v/>
      </c>
    </row>
    <row r="67" spans="1:17">
      <c r="A67" t="str">
        <f>IF(销售录入!A57="","","销售")</f>
        <v/>
      </c>
      <c r="B67" s="5" t="str">
        <f>IF(销售录入!A57="","",销售录入!A57)</f>
        <v/>
      </c>
      <c r="C67" t="str">
        <f>IF(销售录入!A57="","",销售录入!C57)</f>
        <v/>
      </c>
      <c r="D67" t="str">
        <f>IF(销售录入!A57="","",销售录入!D57)</f>
        <v/>
      </c>
      <c r="E67" s="17" t="str">
        <f>IF(销售录入!A57="","",销售录入!I57)</f>
        <v/>
      </c>
      <c r="F67" s="5" t="str">
        <f>IF(销售录入!A57="","",销售录入!L57)</f>
        <v/>
      </c>
      <c r="G67" s="17" t="str">
        <f>IF(C67="","",SUMIFS(资金流水!$J$4:$J$203,资金流水!$F$4:$F$203,C67,资金流水!$D$4:$D$203,"客户回款",资金流水!$A$4:$A$203,"&lt;="&amp;应收跟进!$E$2))</f>
        <v/>
      </c>
      <c r="H67" s="17" t="str">
        <f>IF(C67="","",SUMIFS($E$4:E66,$C$4:C66,C67))</f>
        <v/>
      </c>
      <c r="I67" s="55"/>
      <c r="J67" s="17" t="str">
        <f>IF(C67="","",MIN(MAX(0,E67-N(I67)),MAX(0,G67-SUMIFS($I$4:$I$213,$C$4:$C$213,C67)-(SUMIFS($E$4:E66,$C$4:C66,C67)-SUMIFS($I$4:I66,$C$4:C66,C67)))))</f>
        <v/>
      </c>
      <c r="K67" s="17" t="str">
        <f t="shared" si="2"/>
        <v/>
      </c>
      <c r="L67" s="17" t="str">
        <f t="shared" si="3"/>
        <v/>
      </c>
      <c r="M67" s="59" t="str">
        <f>IF(C67="","",IF(OR(L67&lt;=0,F67=""),0,MAX(0,应收跟进!$E$2-F67)))</f>
        <v/>
      </c>
      <c r="N67" t="str">
        <f>IF(C67="","",IF(L67&lt;=0,"已结清",IF(F67&gt;应收跟进!$E$2,"未到期",IF(M67&lt;=30,"逾期1-30天",IF(M67&lt;=60,"逾期31-60天",IF(M67&lt;=90,"逾期61-90天","逾期90天以上"))))))</f>
        <v/>
      </c>
      <c r="O67" t="str">
        <f t="shared" si="4"/>
        <v/>
      </c>
      <c r="P67" t="str">
        <f>IF(销售录入!A57="","",销售录入!N57)</f>
        <v/>
      </c>
      <c r="Q67" t="str">
        <f>IF(销售录入!A57="","",销售录入!O57)</f>
        <v/>
      </c>
    </row>
    <row r="68" spans="1:17">
      <c r="A68" t="str">
        <f>IF(销售录入!A58="","","销售")</f>
        <v/>
      </c>
      <c r="B68" s="5" t="str">
        <f>IF(销售录入!A58="","",销售录入!A58)</f>
        <v/>
      </c>
      <c r="C68" t="str">
        <f>IF(销售录入!A58="","",销售录入!C58)</f>
        <v/>
      </c>
      <c r="D68" t="str">
        <f>IF(销售录入!A58="","",销售录入!D58)</f>
        <v/>
      </c>
      <c r="E68" s="17" t="str">
        <f>IF(销售录入!A58="","",销售录入!I58)</f>
        <v/>
      </c>
      <c r="F68" s="5" t="str">
        <f>IF(销售录入!A58="","",销售录入!L58)</f>
        <v/>
      </c>
      <c r="G68" s="17" t="str">
        <f>IF(C68="","",SUMIFS(资金流水!$J$4:$J$203,资金流水!$F$4:$F$203,C68,资金流水!$D$4:$D$203,"客户回款",资金流水!$A$4:$A$203,"&lt;="&amp;应收跟进!$E$2))</f>
        <v/>
      </c>
      <c r="H68" s="17" t="str">
        <f>IF(C68="","",SUMIFS($E$4:E67,$C$4:C67,C68))</f>
        <v/>
      </c>
      <c r="I68" s="55"/>
      <c r="J68" s="17" t="str">
        <f>IF(C68="","",MIN(MAX(0,E68-N(I68)),MAX(0,G68-SUMIFS($I$4:$I$213,$C$4:$C$213,C68)-(SUMIFS($E$4:E67,$C$4:C67,C68)-SUMIFS($I$4:I67,$C$4:C67,C68)))))</f>
        <v/>
      </c>
      <c r="K68" s="17" t="str">
        <f t="shared" ref="K68:K113" si="6">IF(C68="","",MIN(E68,N(I68)+J68))</f>
        <v/>
      </c>
      <c r="L68" s="17" t="str">
        <f t="shared" ref="L68:L113" si="7">IF(C68="","",MAX(0,E68-K68))</f>
        <v/>
      </c>
      <c r="M68" s="59" t="str">
        <f>IF(C68="","",IF(OR(L68&lt;=0,F68=""),0,MAX(0,应收跟进!$E$2-F68)))</f>
        <v/>
      </c>
      <c r="N68" t="str">
        <f>IF(C68="","",IF(L68&lt;=0,"已结清",IF(F68&gt;应收跟进!$E$2,"未到期",IF(M68&lt;=30,"逾期1-30天",IF(M68&lt;=60,"逾期31-60天",IF(M68&lt;=90,"逾期61-90天","逾期90天以上"))))))</f>
        <v/>
      </c>
      <c r="O68" t="str">
        <f t="shared" ref="O68:O113" si="8">IF(C68="","",IF(L68&lt;=0,"已结清",IF(M68&gt;90,"高风险",IF(M68&gt;30,"重点关注",IF(M68&gt;0,"到期提醒","正常")))))</f>
        <v/>
      </c>
      <c r="P68" t="str">
        <f>IF(销售录入!A58="","",销售录入!N58)</f>
        <v/>
      </c>
      <c r="Q68" t="str">
        <f>IF(销售录入!A58="","",销售录入!O58)</f>
        <v/>
      </c>
    </row>
    <row r="69" spans="1:17">
      <c r="A69" t="str">
        <f>IF(销售录入!A59="","","销售")</f>
        <v/>
      </c>
      <c r="B69" s="5" t="str">
        <f>IF(销售录入!A59="","",销售录入!A59)</f>
        <v/>
      </c>
      <c r="C69" t="str">
        <f>IF(销售录入!A59="","",销售录入!C59)</f>
        <v/>
      </c>
      <c r="D69" t="str">
        <f>IF(销售录入!A59="","",销售录入!D59)</f>
        <v/>
      </c>
      <c r="E69" s="17" t="str">
        <f>IF(销售录入!A59="","",销售录入!I59)</f>
        <v/>
      </c>
      <c r="F69" s="5" t="str">
        <f>IF(销售录入!A59="","",销售录入!L59)</f>
        <v/>
      </c>
      <c r="G69" s="17" t="str">
        <f>IF(C69="","",SUMIFS(资金流水!$J$4:$J$203,资金流水!$F$4:$F$203,C69,资金流水!$D$4:$D$203,"客户回款",资金流水!$A$4:$A$203,"&lt;="&amp;应收跟进!$E$2))</f>
        <v/>
      </c>
      <c r="H69" s="17" t="str">
        <f>IF(C69="","",SUMIFS($E$4:E68,$C$4:C68,C69))</f>
        <v/>
      </c>
      <c r="I69" s="55"/>
      <c r="J69" s="17" t="str">
        <f>IF(C69="","",MIN(MAX(0,E69-N(I69)),MAX(0,G69-SUMIFS($I$4:$I$213,$C$4:$C$213,C69)-(SUMIFS($E$4:E68,$C$4:C68,C69)-SUMIFS($I$4:I68,$C$4:C68,C69)))))</f>
        <v/>
      </c>
      <c r="K69" s="17" t="str">
        <f t="shared" si="6"/>
        <v/>
      </c>
      <c r="L69" s="17" t="str">
        <f t="shared" si="7"/>
        <v/>
      </c>
      <c r="M69" s="59" t="str">
        <f>IF(C69="","",IF(OR(L69&lt;=0,F69=""),0,MAX(0,应收跟进!$E$2-F69)))</f>
        <v/>
      </c>
      <c r="N69" t="str">
        <f>IF(C69="","",IF(L69&lt;=0,"已结清",IF(F69&gt;应收跟进!$E$2,"未到期",IF(M69&lt;=30,"逾期1-30天",IF(M69&lt;=60,"逾期31-60天",IF(M69&lt;=90,"逾期61-90天","逾期90天以上"))))))</f>
        <v/>
      </c>
      <c r="O69" t="str">
        <f t="shared" si="8"/>
        <v/>
      </c>
      <c r="P69" t="str">
        <f>IF(销售录入!A59="","",销售录入!N59)</f>
        <v/>
      </c>
      <c r="Q69" t="str">
        <f>IF(销售录入!A59="","",销售录入!O59)</f>
        <v/>
      </c>
    </row>
    <row r="70" spans="1:17">
      <c r="A70" t="str">
        <f>IF(销售录入!A60="","","销售")</f>
        <v/>
      </c>
      <c r="B70" s="5" t="str">
        <f>IF(销售录入!A60="","",销售录入!A60)</f>
        <v/>
      </c>
      <c r="C70" t="str">
        <f>IF(销售录入!A60="","",销售录入!C60)</f>
        <v/>
      </c>
      <c r="D70" t="str">
        <f>IF(销售录入!A60="","",销售录入!D60)</f>
        <v/>
      </c>
      <c r="E70" s="17" t="str">
        <f>IF(销售录入!A60="","",销售录入!I60)</f>
        <v/>
      </c>
      <c r="F70" s="5" t="str">
        <f>IF(销售录入!A60="","",销售录入!L60)</f>
        <v/>
      </c>
      <c r="G70" s="17" t="str">
        <f>IF(C70="","",SUMIFS(资金流水!$J$4:$J$203,资金流水!$F$4:$F$203,C70,资金流水!$D$4:$D$203,"客户回款",资金流水!$A$4:$A$203,"&lt;="&amp;应收跟进!$E$2))</f>
        <v/>
      </c>
      <c r="H70" s="17" t="str">
        <f>IF(C70="","",SUMIFS($E$4:E69,$C$4:C69,C70))</f>
        <v/>
      </c>
      <c r="I70" s="55"/>
      <c r="J70" s="17" t="str">
        <f>IF(C70="","",MIN(MAX(0,E70-N(I70)),MAX(0,G70-SUMIFS($I$4:$I$213,$C$4:$C$213,C70)-(SUMIFS($E$4:E69,$C$4:C69,C70)-SUMIFS($I$4:I69,$C$4:C69,C70)))))</f>
        <v/>
      </c>
      <c r="K70" s="17" t="str">
        <f t="shared" si="6"/>
        <v/>
      </c>
      <c r="L70" s="17" t="str">
        <f t="shared" si="7"/>
        <v/>
      </c>
      <c r="M70" s="59" t="str">
        <f>IF(C70="","",IF(OR(L70&lt;=0,F70=""),0,MAX(0,应收跟进!$E$2-F70)))</f>
        <v/>
      </c>
      <c r="N70" t="str">
        <f>IF(C70="","",IF(L70&lt;=0,"已结清",IF(F70&gt;应收跟进!$E$2,"未到期",IF(M70&lt;=30,"逾期1-30天",IF(M70&lt;=60,"逾期31-60天",IF(M70&lt;=90,"逾期61-90天","逾期90天以上"))))))</f>
        <v/>
      </c>
      <c r="O70" t="str">
        <f t="shared" si="8"/>
        <v/>
      </c>
      <c r="P70" t="str">
        <f>IF(销售录入!A60="","",销售录入!N60)</f>
        <v/>
      </c>
      <c r="Q70" t="str">
        <f>IF(销售录入!A60="","",销售录入!O60)</f>
        <v/>
      </c>
    </row>
    <row r="71" spans="1:17">
      <c r="A71" t="str">
        <f>IF(销售录入!A61="","","销售")</f>
        <v/>
      </c>
      <c r="B71" s="5" t="str">
        <f>IF(销售录入!A61="","",销售录入!A61)</f>
        <v/>
      </c>
      <c r="C71" t="str">
        <f>IF(销售录入!A61="","",销售录入!C61)</f>
        <v/>
      </c>
      <c r="D71" t="str">
        <f>IF(销售录入!A61="","",销售录入!D61)</f>
        <v/>
      </c>
      <c r="E71" s="17" t="str">
        <f>IF(销售录入!A61="","",销售录入!I61)</f>
        <v/>
      </c>
      <c r="F71" s="5" t="str">
        <f>IF(销售录入!A61="","",销售录入!L61)</f>
        <v/>
      </c>
      <c r="G71" s="17" t="str">
        <f>IF(C71="","",SUMIFS(资金流水!$J$4:$J$203,资金流水!$F$4:$F$203,C71,资金流水!$D$4:$D$203,"客户回款",资金流水!$A$4:$A$203,"&lt;="&amp;应收跟进!$E$2))</f>
        <v/>
      </c>
      <c r="H71" s="17" t="str">
        <f>IF(C71="","",SUMIFS($E$4:E70,$C$4:C70,C71))</f>
        <v/>
      </c>
      <c r="I71" s="55"/>
      <c r="J71" s="17" t="str">
        <f>IF(C71="","",MIN(MAX(0,E71-N(I71)),MAX(0,G71-SUMIFS($I$4:$I$213,$C$4:$C$213,C71)-(SUMIFS($E$4:E70,$C$4:C70,C71)-SUMIFS($I$4:I70,$C$4:C70,C71)))))</f>
        <v/>
      </c>
      <c r="K71" s="17" t="str">
        <f t="shared" si="6"/>
        <v/>
      </c>
      <c r="L71" s="17" t="str">
        <f t="shared" si="7"/>
        <v/>
      </c>
      <c r="M71" s="59" t="str">
        <f>IF(C71="","",IF(OR(L71&lt;=0,F71=""),0,MAX(0,应收跟进!$E$2-F71)))</f>
        <v/>
      </c>
      <c r="N71" t="str">
        <f>IF(C71="","",IF(L71&lt;=0,"已结清",IF(F71&gt;应收跟进!$E$2,"未到期",IF(M71&lt;=30,"逾期1-30天",IF(M71&lt;=60,"逾期31-60天",IF(M71&lt;=90,"逾期61-90天","逾期90天以上"))))))</f>
        <v/>
      </c>
      <c r="O71" t="str">
        <f t="shared" si="8"/>
        <v/>
      </c>
      <c r="P71" t="str">
        <f>IF(销售录入!A61="","",销售录入!N61)</f>
        <v/>
      </c>
      <c r="Q71" t="str">
        <f>IF(销售录入!A61="","",销售录入!O61)</f>
        <v/>
      </c>
    </row>
    <row r="72" spans="1:17">
      <c r="A72" t="str">
        <f>IF(销售录入!A62="","","销售")</f>
        <v/>
      </c>
      <c r="B72" s="5" t="str">
        <f>IF(销售录入!A62="","",销售录入!A62)</f>
        <v/>
      </c>
      <c r="C72" t="str">
        <f>IF(销售录入!A62="","",销售录入!C62)</f>
        <v/>
      </c>
      <c r="D72" t="str">
        <f>IF(销售录入!A62="","",销售录入!D62)</f>
        <v/>
      </c>
      <c r="E72" s="17" t="str">
        <f>IF(销售录入!A62="","",销售录入!I62)</f>
        <v/>
      </c>
      <c r="F72" s="5" t="str">
        <f>IF(销售录入!A62="","",销售录入!L62)</f>
        <v/>
      </c>
      <c r="G72" s="17" t="str">
        <f>IF(C72="","",SUMIFS(资金流水!$J$4:$J$203,资金流水!$F$4:$F$203,C72,资金流水!$D$4:$D$203,"客户回款",资金流水!$A$4:$A$203,"&lt;="&amp;应收跟进!$E$2))</f>
        <v/>
      </c>
      <c r="H72" s="17" t="str">
        <f>IF(C72="","",SUMIFS($E$4:E71,$C$4:C71,C72))</f>
        <v/>
      </c>
      <c r="I72" s="55"/>
      <c r="J72" s="17" t="str">
        <f>IF(C72="","",MIN(MAX(0,E72-N(I72)),MAX(0,G72-SUMIFS($I$4:$I$213,$C$4:$C$213,C72)-(SUMIFS($E$4:E71,$C$4:C71,C72)-SUMIFS($I$4:I71,$C$4:C71,C72)))))</f>
        <v/>
      </c>
      <c r="K72" s="17" t="str">
        <f t="shared" si="6"/>
        <v/>
      </c>
      <c r="L72" s="17" t="str">
        <f t="shared" si="7"/>
        <v/>
      </c>
      <c r="M72" s="59" t="str">
        <f>IF(C72="","",IF(OR(L72&lt;=0,F72=""),0,MAX(0,应收跟进!$E$2-F72)))</f>
        <v/>
      </c>
      <c r="N72" t="str">
        <f>IF(C72="","",IF(L72&lt;=0,"已结清",IF(F72&gt;应收跟进!$E$2,"未到期",IF(M72&lt;=30,"逾期1-30天",IF(M72&lt;=60,"逾期31-60天",IF(M72&lt;=90,"逾期61-90天","逾期90天以上"))))))</f>
        <v/>
      </c>
      <c r="O72" t="str">
        <f t="shared" si="8"/>
        <v/>
      </c>
      <c r="P72" t="str">
        <f>IF(销售录入!A62="","",销售录入!N62)</f>
        <v/>
      </c>
      <c r="Q72" t="str">
        <f>IF(销售录入!A62="","",销售录入!O62)</f>
        <v/>
      </c>
    </row>
    <row r="73" spans="1:17">
      <c r="A73" t="str">
        <f>IF(销售录入!A63="","","销售")</f>
        <v/>
      </c>
      <c r="B73" s="5" t="str">
        <f>IF(销售录入!A63="","",销售录入!A63)</f>
        <v/>
      </c>
      <c r="C73" t="str">
        <f>IF(销售录入!A63="","",销售录入!C63)</f>
        <v/>
      </c>
      <c r="D73" t="str">
        <f>IF(销售录入!A63="","",销售录入!D63)</f>
        <v/>
      </c>
      <c r="E73" s="17" t="str">
        <f>IF(销售录入!A63="","",销售录入!I63)</f>
        <v/>
      </c>
      <c r="F73" s="5" t="str">
        <f>IF(销售录入!A63="","",销售录入!L63)</f>
        <v/>
      </c>
      <c r="G73" s="17" t="str">
        <f>IF(C73="","",SUMIFS(资金流水!$J$4:$J$203,资金流水!$F$4:$F$203,C73,资金流水!$D$4:$D$203,"客户回款",资金流水!$A$4:$A$203,"&lt;="&amp;应收跟进!$E$2))</f>
        <v/>
      </c>
      <c r="H73" s="17" t="str">
        <f>IF(C73="","",SUMIFS($E$4:E72,$C$4:C72,C73))</f>
        <v/>
      </c>
      <c r="I73" s="55"/>
      <c r="J73" s="17" t="str">
        <f>IF(C73="","",MIN(MAX(0,E73-N(I73)),MAX(0,G73-SUMIFS($I$4:$I$213,$C$4:$C$213,C73)-(SUMIFS($E$4:E72,$C$4:C72,C73)-SUMIFS($I$4:I72,$C$4:C72,C73)))))</f>
        <v/>
      </c>
      <c r="K73" s="17" t="str">
        <f t="shared" si="6"/>
        <v/>
      </c>
      <c r="L73" s="17" t="str">
        <f t="shared" si="7"/>
        <v/>
      </c>
      <c r="M73" s="59" t="str">
        <f>IF(C73="","",IF(OR(L73&lt;=0,F73=""),0,MAX(0,应收跟进!$E$2-F73)))</f>
        <v/>
      </c>
      <c r="N73" t="str">
        <f>IF(C73="","",IF(L73&lt;=0,"已结清",IF(F73&gt;应收跟进!$E$2,"未到期",IF(M73&lt;=30,"逾期1-30天",IF(M73&lt;=60,"逾期31-60天",IF(M73&lt;=90,"逾期61-90天","逾期90天以上"))))))</f>
        <v/>
      </c>
      <c r="O73" t="str">
        <f t="shared" si="8"/>
        <v/>
      </c>
      <c r="P73" t="str">
        <f>IF(销售录入!A63="","",销售录入!N63)</f>
        <v/>
      </c>
      <c r="Q73" t="str">
        <f>IF(销售录入!A63="","",销售录入!O63)</f>
        <v/>
      </c>
    </row>
    <row r="74" spans="1:17">
      <c r="A74" t="str">
        <f>IF(销售录入!A64="","","销售")</f>
        <v/>
      </c>
      <c r="B74" s="5" t="str">
        <f>IF(销售录入!A64="","",销售录入!A64)</f>
        <v/>
      </c>
      <c r="C74" t="str">
        <f>IF(销售录入!A64="","",销售录入!C64)</f>
        <v/>
      </c>
      <c r="D74" t="str">
        <f>IF(销售录入!A64="","",销售录入!D64)</f>
        <v/>
      </c>
      <c r="E74" s="17" t="str">
        <f>IF(销售录入!A64="","",销售录入!I64)</f>
        <v/>
      </c>
      <c r="F74" s="5" t="str">
        <f>IF(销售录入!A64="","",销售录入!L64)</f>
        <v/>
      </c>
      <c r="G74" s="17" t="str">
        <f>IF(C74="","",SUMIFS(资金流水!$J$4:$J$203,资金流水!$F$4:$F$203,C74,资金流水!$D$4:$D$203,"客户回款",资金流水!$A$4:$A$203,"&lt;="&amp;应收跟进!$E$2))</f>
        <v/>
      </c>
      <c r="H74" s="17" t="str">
        <f>IF(C74="","",SUMIFS($E$4:E73,$C$4:C73,C74))</f>
        <v/>
      </c>
      <c r="I74" s="55"/>
      <c r="J74" s="17" t="str">
        <f>IF(C74="","",MIN(MAX(0,E74-N(I74)),MAX(0,G74-SUMIFS($I$4:$I$213,$C$4:$C$213,C74)-(SUMIFS($E$4:E73,$C$4:C73,C74)-SUMIFS($I$4:I73,$C$4:C73,C74)))))</f>
        <v/>
      </c>
      <c r="K74" s="17" t="str">
        <f t="shared" si="6"/>
        <v/>
      </c>
      <c r="L74" s="17" t="str">
        <f t="shared" si="7"/>
        <v/>
      </c>
      <c r="M74" s="59" t="str">
        <f>IF(C74="","",IF(OR(L74&lt;=0,F74=""),0,MAX(0,应收跟进!$E$2-F74)))</f>
        <v/>
      </c>
      <c r="N74" t="str">
        <f>IF(C74="","",IF(L74&lt;=0,"已结清",IF(F74&gt;应收跟进!$E$2,"未到期",IF(M74&lt;=30,"逾期1-30天",IF(M74&lt;=60,"逾期31-60天",IF(M74&lt;=90,"逾期61-90天","逾期90天以上"))))))</f>
        <v/>
      </c>
      <c r="O74" t="str">
        <f t="shared" si="8"/>
        <v/>
      </c>
      <c r="P74" t="str">
        <f>IF(销售录入!A64="","",销售录入!N64)</f>
        <v/>
      </c>
      <c r="Q74" t="str">
        <f>IF(销售录入!A64="","",销售录入!O64)</f>
        <v/>
      </c>
    </row>
    <row r="75" spans="1:17">
      <c r="A75" t="str">
        <f>IF(销售录入!A65="","","销售")</f>
        <v/>
      </c>
      <c r="B75" s="5" t="str">
        <f>IF(销售录入!A65="","",销售录入!A65)</f>
        <v/>
      </c>
      <c r="C75" t="str">
        <f>IF(销售录入!A65="","",销售录入!C65)</f>
        <v/>
      </c>
      <c r="D75" t="str">
        <f>IF(销售录入!A65="","",销售录入!D65)</f>
        <v/>
      </c>
      <c r="E75" s="17" t="str">
        <f>IF(销售录入!A65="","",销售录入!I65)</f>
        <v/>
      </c>
      <c r="F75" s="5" t="str">
        <f>IF(销售录入!A65="","",销售录入!L65)</f>
        <v/>
      </c>
      <c r="G75" s="17" t="str">
        <f>IF(C75="","",SUMIFS(资金流水!$J$4:$J$203,资金流水!$F$4:$F$203,C75,资金流水!$D$4:$D$203,"客户回款",资金流水!$A$4:$A$203,"&lt;="&amp;应收跟进!$E$2))</f>
        <v/>
      </c>
      <c r="H75" s="17" t="str">
        <f>IF(C75="","",SUMIFS($E$4:E74,$C$4:C74,C75))</f>
        <v/>
      </c>
      <c r="I75" s="55"/>
      <c r="J75" s="17" t="str">
        <f>IF(C75="","",MIN(MAX(0,E75-N(I75)),MAX(0,G75-SUMIFS($I$4:$I$213,$C$4:$C$213,C75)-(SUMIFS($E$4:E74,$C$4:C74,C75)-SUMIFS($I$4:I74,$C$4:C74,C75)))))</f>
        <v/>
      </c>
      <c r="K75" s="17" t="str">
        <f t="shared" si="6"/>
        <v/>
      </c>
      <c r="L75" s="17" t="str">
        <f t="shared" si="7"/>
        <v/>
      </c>
      <c r="M75" s="59" t="str">
        <f>IF(C75="","",IF(OR(L75&lt;=0,F75=""),0,MAX(0,应收跟进!$E$2-F75)))</f>
        <v/>
      </c>
      <c r="N75" t="str">
        <f>IF(C75="","",IF(L75&lt;=0,"已结清",IF(F75&gt;应收跟进!$E$2,"未到期",IF(M75&lt;=30,"逾期1-30天",IF(M75&lt;=60,"逾期31-60天",IF(M75&lt;=90,"逾期61-90天","逾期90天以上"))))))</f>
        <v/>
      </c>
      <c r="O75" t="str">
        <f t="shared" si="8"/>
        <v/>
      </c>
      <c r="P75" t="str">
        <f>IF(销售录入!A65="","",销售录入!N65)</f>
        <v/>
      </c>
      <c r="Q75" t="str">
        <f>IF(销售录入!A65="","",销售录入!O65)</f>
        <v/>
      </c>
    </row>
    <row r="76" spans="1:17">
      <c r="A76" t="str">
        <f>IF(销售录入!A66="","","销售")</f>
        <v/>
      </c>
      <c r="B76" s="5" t="str">
        <f>IF(销售录入!A66="","",销售录入!A66)</f>
        <v/>
      </c>
      <c r="C76" t="str">
        <f>IF(销售录入!A66="","",销售录入!C66)</f>
        <v/>
      </c>
      <c r="D76" t="str">
        <f>IF(销售录入!A66="","",销售录入!D66)</f>
        <v/>
      </c>
      <c r="E76" s="17" t="str">
        <f>IF(销售录入!A66="","",销售录入!I66)</f>
        <v/>
      </c>
      <c r="F76" s="5" t="str">
        <f>IF(销售录入!A66="","",销售录入!L66)</f>
        <v/>
      </c>
      <c r="G76" s="17" t="str">
        <f>IF(C76="","",SUMIFS(资金流水!$J$4:$J$203,资金流水!$F$4:$F$203,C76,资金流水!$D$4:$D$203,"客户回款",资金流水!$A$4:$A$203,"&lt;="&amp;应收跟进!$E$2))</f>
        <v/>
      </c>
      <c r="H76" s="17" t="str">
        <f>IF(C76="","",SUMIFS($E$4:E75,$C$4:C75,C76))</f>
        <v/>
      </c>
      <c r="I76" s="55"/>
      <c r="J76" s="17" t="str">
        <f>IF(C76="","",MIN(MAX(0,E76-N(I76)),MAX(0,G76-SUMIFS($I$4:$I$213,$C$4:$C$213,C76)-(SUMIFS($E$4:E75,$C$4:C75,C76)-SUMIFS($I$4:I75,$C$4:C75,C76)))))</f>
        <v/>
      </c>
      <c r="K76" s="17" t="str">
        <f t="shared" si="6"/>
        <v/>
      </c>
      <c r="L76" s="17" t="str">
        <f t="shared" si="7"/>
        <v/>
      </c>
      <c r="M76" s="59" t="str">
        <f>IF(C76="","",IF(OR(L76&lt;=0,F76=""),0,MAX(0,应收跟进!$E$2-F76)))</f>
        <v/>
      </c>
      <c r="N76" t="str">
        <f>IF(C76="","",IF(L76&lt;=0,"已结清",IF(F76&gt;应收跟进!$E$2,"未到期",IF(M76&lt;=30,"逾期1-30天",IF(M76&lt;=60,"逾期31-60天",IF(M76&lt;=90,"逾期61-90天","逾期90天以上"))))))</f>
        <v/>
      </c>
      <c r="O76" t="str">
        <f t="shared" si="8"/>
        <v/>
      </c>
      <c r="P76" t="str">
        <f>IF(销售录入!A66="","",销售录入!N66)</f>
        <v/>
      </c>
      <c r="Q76" t="str">
        <f>IF(销售录入!A66="","",销售录入!O66)</f>
        <v/>
      </c>
    </row>
    <row r="77" spans="1:17">
      <c r="A77" t="str">
        <f>IF(销售录入!A67="","","销售")</f>
        <v/>
      </c>
      <c r="B77" s="5" t="str">
        <f>IF(销售录入!A67="","",销售录入!A67)</f>
        <v/>
      </c>
      <c r="C77" t="str">
        <f>IF(销售录入!A67="","",销售录入!C67)</f>
        <v/>
      </c>
      <c r="D77" t="str">
        <f>IF(销售录入!A67="","",销售录入!D67)</f>
        <v/>
      </c>
      <c r="E77" s="17" t="str">
        <f>IF(销售录入!A67="","",销售录入!I67)</f>
        <v/>
      </c>
      <c r="F77" s="5" t="str">
        <f>IF(销售录入!A67="","",销售录入!L67)</f>
        <v/>
      </c>
      <c r="G77" s="17" t="str">
        <f>IF(C77="","",SUMIFS(资金流水!$J$4:$J$203,资金流水!$F$4:$F$203,C77,资金流水!$D$4:$D$203,"客户回款",资金流水!$A$4:$A$203,"&lt;="&amp;应收跟进!$E$2))</f>
        <v/>
      </c>
      <c r="H77" s="17" t="str">
        <f>IF(C77="","",SUMIFS($E$4:E76,$C$4:C76,C77))</f>
        <v/>
      </c>
      <c r="I77" s="55"/>
      <c r="J77" s="17" t="str">
        <f>IF(C77="","",MIN(MAX(0,E77-N(I77)),MAX(0,G77-SUMIFS($I$4:$I$213,$C$4:$C$213,C77)-(SUMIFS($E$4:E76,$C$4:C76,C77)-SUMIFS($I$4:I76,$C$4:C76,C77)))))</f>
        <v/>
      </c>
      <c r="K77" s="17" t="str">
        <f t="shared" si="6"/>
        <v/>
      </c>
      <c r="L77" s="17" t="str">
        <f t="shared" si="7"/>
        <v/>
      </c>
      <c r="M77" s="59" t="str">
        <f>IF(C77="","",IF(OR(L77&lt;=0,F77=""),0,MAX(0,应收跟进!$E$2-F77)))</f>
        <v/>
      </c>
      <c r="N77" t="str">
        <f>IF(C77="","",IF(L77&lt;=0,"已结清",IF(F77&gt;应收跟进!$E$2,"未到期",IF(M77&lt;=30,"逾期1-30天",IF(M77&lt;=60,"逾期31-60天",IF(M77&lt;=90,"逾期61-90天","逾期90天以上"))))))</f>
        <v/>
      </c>
      <c r="O77" t="str">
        <f t="shared" si="8"/>
        <v/>
      </c>
      <c r="P77" t="str">
        <f>IF(销售录入!A67="","",销售录入!N67)</f>
        <v/>
      </c>
      <c r="Q77" t="str">
        <f>IF(销售录入!A67="","",销售录入!O67)</f>
        <v/>
      </c>
    </row>
    <row r="78" spans="1:17">
      <c r="A78" t="str">
        <f>IF(销售录入!A68="","","销售")</f>
        <v/>
      </c>
      <c r="B78" s="5" t="str">
        <f>IF(销售录入!A68="","",销售录入!A68)</f>
        <v/>
      </c>
      <c r="C78" t="str">
        <f>IF(销售录入!A68="","",销售录入!C68)</f>
        <v/>
      </c>
      <c r="D78" t="str">
        <f>IF(销售录入!A68="","",销售录入!D68)</f>
        <v/>
      </c>
      <c r="E78" s="17" t="str">
        <f>IF(销售录入!A68="","",销售录入!I68)</f>
        <v/>
      </c>
      <c r="F78" s="5" t="str">
        <f>IF(销售录入!A68="","",销售录入!L68)</f>
        <v/>
      </c>
      <c r="G78" s="17" t="str">
        <f>IF(C78="","",SUMIFS(资金流水!$J$4:$J$203,资金流水!$F$4:$F$203,C78,资金流水!$D$4:$D$203,"客户回款",资金流水!$A$4:$A$203,"&lt;="&amp;应收跟进!$E$2))</f>
        <v/>
      </c>
      <c r="H78" s="17" t="str">
        <f>IF(C78="","",SUMIFS($E$4:E77,$C$4:C77,C78))</f>
        <v/>
      </c>
      <c r="I78" s="55"/>
      <c r="J78" s="17" t="str">
        <f>IF(C78="","",MIN(MAX(0,E78-N(I78)),MAX(0,G78-SUMIFS($I$4:$I$213,$C$4:$C$213,C78)-(SUMIFS($E$4:E77,$C$4:C77,C78)-SUMIFS($I$4:I77,$C$4:C77,C78)))))</f>
        <v/>
      </c>
      <c r="K78" s="17" t="str">
        <f t="shared" si="6"/>
        <v/>
      </c>
      <c r="L78" s="17" t="str">
        <f t="shared" si="7"/>
        <v/>
      </c>
      <c r="M78" s="59" t="str">
        <f>IF(C78="","",IF(OR(L78&lt;=0,F78=""),0,MAX(0,应收跟进!$E$2-F78)))</f>
        <v/>
      </c>
      <c r="N78" t="str">
        <f>IF(C78="","",IF(L78&lt;=0,"已结清",IF(F78&gt;应收跟进!$E$2,"未到期",IF(M78&lt;=30,"逾期1-30天",IF(M78&lt;=60,"逾期31-60天",IF(M78&lt;=90,"逾期61-90天","逾期90天以上"))))))</f>
        <v/>
      </c>
      <c r="O78" t="str">
        <f t="shared" si="8"/>
        <v/>
      </c>
      <c r="P78" t="str">
        <f>IF(销售录入!A68="","",销售录入!N68)</f>
        <v/>
      </c>
      <c r="Q78" t="str">
        <f>IF(销售录入!A68="","",销售录入!O68)</f>
        <v/>
      </c>
    </row>
    <row r="79" spans="1:17">
      <c r="A79" t="str">
        <f>IF(销售录入!A69="","","销售")</f>
        <v/>
      </c>
      <c r="B79" s="5" t="str">
        <f>IF(销售录入!A69="","",销售录入!A69)</f>
        <v/>
      </c>
      <c r="C79" t="str">
        <f>IF(销售录入!A69="","",销售录入!C69)</f>
        <v/>
      </c>
      <c r="D79" t="str">
        <f>IF(销售录入!A69="","",销售录入!D69)</f>
        <v/>
      </c>
      <c r="E79" s="17" t="str">
        <f>IF(销售录入!A69="","",销售录入!I69)</f>
        <v/>
      </c>
      <c r="F79" s="5" t="str">
        <f>IF(销售录入!A69="","",销售录入!L69)</f>
        <v/>
      </c>
      <c r="G79" s="17" t="str">
        <f>IF(C79="","",SUMIFS(资金流水!$J$4:$J$203,资金流水!$F$4:$F$203,C79,资金流水!$D$4:$D$203,"客户回款",资金流水!$A$4:$A$203,"&lt;="&amp;应收跟进!$E$2))</f>
        <v/>
      </c>
      <c r="H79" s="17" t="str">
        <f>IF(C79="","",SUMIFS($E$4:E78,$C$4:C78,C79))</f>
        <v/>
      </c>
      <c r="I79" s="55"/>
      <c r="J79" s="17" t="str">
        <f>IF(C79="","",MIN(MAX(0,E79-N(I79)),MAX(0,G79-SUMIFS($I$4:$I$213,$C$4:$C$213,C79)-(SUMIFS($E$4:E78,$C$4:C78,C79)-SUMIFS($I$4:I78,$C$4:C78,C79)))))</f>
        <v/>
      </c>
      <c r="K79" s="17" t="str">
        <f t="shared" si="6"/>
        <v/>
      </c>
      <c r="L79" s="17" t="str">
        <f t="shared" si="7"/>
        <v/>
      </c>
      <c r="M79" s="59" t="str">
        <f>IF(C79="","",IF(OR(L79&lt;=0,F79=""),0,MAX(0,应收跟进!$E$2-F79)))</f>
        <v/>
      </c>
      <c r="N79" t="str">
        <f>IF(C79="","",IF(L79&lt;=0,"已结清",IF(F79&gt;应收跟进!$E$2,"未到期",IF(M79&lt;=30,"逾期1-30天",IF(M79&lt;=60,"逾期31-60天",IF(M79&lt;=90,"逾期61-90天","逾期90天以上"))))))</f>
        <v/>
      </c>
      <c r="O79" t="str">
        <f t="shared" si="8"/>
        <v/>
      </c>
      <c r="P79" t="str">
        <f>IF(销售录入!A69="","",销售录入!N69)</f>
        <v/>
      </c>
      <c r="Q79" t="str">
        <f>IF(销售录入!A69="","",销售录入!O69)</f>
        <v/>
      </c>
    </row>
    <row r="80" spans="1:17">
      <c r="A80" t="str">
        <f>IF(销售录入!A70="","","销售")</f>
        <v/>
      </c>
      <c r="B80" s="5" t="str">
        <f>IF(销售录入!A70="","",销售录入!A70)</f>
        <v/>
      </c>
      <c r="C80" t="str">
        <f>IF(销售录入!A70="","",销售录入!C70)</f>
        <v/>
      </c>
      <c r="D80" t="str">
        <f>IF(销售录入!A70="","",销售录入!D70)</f>
        <v/>
      </c>
      <c r="E80" s="17" t="str">
        <f>IF(销售录入!A70="","",销售录入!I70)</f>
        <v/>
      </c>
      <c r="F80" s="5" t="str">
        <f>IF(销售录入!A70="","",销售录入!L70)</f>
        <v/>
      </c>
      <c r="G80" s="17" t="str">
        <f>IF(C80="","",SUMIFS(资金流水!$J$4:$J$203,资金流水!$F$4:$F$203,C80,资金流水!$D$4:$D$203,"客户回款",资金流水!$A$4:$A$203,"&lt;="&amp;应收跟进!$E$2))</f>
        <v/>
      </c>
      <c r="H80" s="17" t="str">
        <f>IF(C80="","",SUMIFS($E$4:E79,$C$4:C79,C80))</f>
        <v/>
      </c>
      <c r="I80" s="55"/>
      <c r="J80" s="17" t="str">
        <f>IF(C80="","",MIN(MAX(0,E80-N(I80)),MAX(0,G80-SUMIFS($I$4:$I$213,$C$4:$C$213,C80)-(SUMIFS($E$4:E79,$C$4:C79,C80)-SUMIFS($I$4:I79,$C$4:C79,C80)))))</f>
        <v/>
      </c>
      <c r="K80" s="17" t="str">
        <f t="shared" si="6"/>
        <v/>
      </c>
      <c r="L80" s="17" t="str">
        <f t="shared" si="7"/>
        <v/>
      </c>
      <c r="M80" s="59" t="str">
        <f>IF(C80="","",IF(OR(L80&lt;=0,F80=""),0,MAX(0,应收跟进!$E$2-F80)))</f>
        <v/>
      </c>
      <c r="N80" t="str">
        <f>IF(C80="","",IF(L80&lt;=0,"已结清",IF(F80&gt;应收跟进!$E$2,"未到期",IF(M80&lt;=30,"逾期1-30天",IF(M80&lt;=60,"逾期31-60天",IF(M80&lt;=90,"逾期61-90天","逾期90天以上"))))))</f>
        <v/>
      </c>
      <c r="O80" t="str">
        <f t="shared" si="8"/>
        <v/>
      </c>
      <c r="P80" t="str">
        <f>IF(销售录入!A70="","",销售录入!N70)</f>
        <v/>
      </c>
      <c r="Q80" t="str">
        <f>IF(销售录入!A70="","",销售录入!O70)</f>
        <v/>
      </c>
    </row>
    <row r="81" spans="1:17">
      <c r="A81" t="str">
        <f>IF(销售录入!A71="","","销售")</f>
        <v/>
      </c>
      <c r="B81" s="5" t="str">
        <f>IF(销售录入!A71="","",销售录入!A71)</f>
        <v/>
      </c>
      <c r="C81" t="str">
        <f>IF(销售录入!A71="","",销售录入!C71)</f>
        <v/>
      </c>
      <c r="D81" t="str">
        <f>IF(销售录入!A71="","",销售录入!D71)</f>
        <v/>
      </c>
      <c r="E81" s="17" t="str">
        <f>IF(销售录入!A71="","",销售录入!I71)</f>
        <v/>
      </c>
      <c r="F81" s="5" t="str">
        <f>IF(销售录入!A71="","",销售录入!L71)</f>
        <v/>
      </c>
      <c r="G81" s="17" t="str">
        <f>IF(C81="","",SUMIFS(资金流水!$J$4:$J$203,资金流水!$F$4:$F$203,C81,资金流水!$D$4:$D$203,"客户回款",资金流水!$A$4:$A$203,"&lt;="&amp;应收跟进!$E$2))</f>
        <v/>
      </c>
      <c r="H81" s="17" t="str">
        <f>IF(C81="","",SUMIFS($E$4:E80,$C$4:C80,C81))</f>
        <v/>
      </c>
      <c r="I81" s="55"/>
      <c r="J81" s="17" t="str">
        <f>IF(C81="","",MIN(MAX(0,E81-N(I81)),MAX(0,G81-SUMIFS($I$4:$I$213,$C$4:$C$213,C81)-(SUMIFS($E$4:E80,$C$4:C80,C81)-SUMIFS($I$4:I80,$C$4:C80,C81)))))</f>
        <v/>
      </c>
      <c r="K81" s="17" t="str">
        <f t="shared" si="6"/>
        <v/>
      </c>
      <c r="L81" s="17" t="str">
        <f t="shared" si="7"/>
        <v/>
      </c>
      <c r="M81" s="59" t="str">
        <f>IF(C81="","",IF(OR(L81&lt;=0,F81=""),0,MAX(0,应收跟进!$E$2-F81)))</f>
        <v/>
      </c>
      <c r="N81" t="str">
        <f>IF(C81="","",IF(L81&lt;=0,"已结清",IF(F81&gt;应收跟进!$E$2,"未到期",IF(M81&lt;=30,"逾期1-30天",IF(M81&lt;=60,"逾期31-60天",IF(M81&lt;=90,"逾期61-90天","逾期90天以上"))))))</f>
        <v/>
      </c>
      <c r="O81" t="str">
        <f t="shared" si="8"/>
        <v/>
      </c>
      <c r="P81" t="str">
        <f>IF(销售录入!A71="","",销售录入!N71)</f>
        <v/>
      </c>
      <c r="Q81" t="str">
        <f>IF(销售录入!A71="","",销售录入!O71)</f>
        <v/>
      </c>
    </row>
    <row r="82" spans="1:17">
      <c r="A82" t="str">
        <f>IF(销售录入!A72="","","销售")</f>
        <v/>
      </c>
      <c r="B82" s="5" t="str">
        <f>IF(销售录入!A72="","",销售录入!A72)</f>
        <v/>
      </c>
      <c r="C82" t="str">
        <f>IF(销售录入!A72="","",销售录入!C72)</f>
        <v/>
      </c>
      <c r="D82" t="str">
        <f>IF(销售录入!A72="","",销售录入!D72)</f>
        <v/>
      </c>
      <c r="E82" s="17" t="str">
        <f>IF(销售录入!A72="","",销售录入!I72)</f>
        <v/>
      </c>
      <c r="F82" s="5" t="str">
        <f>IF(销售录入!A72="","",销售录入!L72)</f>
        <v/>
      </c>
      <c r="G82" s="17" t="str">
        <f>IF(C82="","",SUMIFS(资金流水!$J$4:$J$203,资金流水!$F$4:$F$203,C82,资金流水!$D$4:$D$203,"客户回款",资金流水!$A$4:$A$203,"&lt;="&amp;应收跟进!$E$2))</f>
        <v/>
      </c>
      <c r="H82" s="17" t="str">
        <f>IF(C82="","",SUMIFS($E$4:E81,$C$4:C81,C82))</f>
        <v/>
      </c>
      <c r="I82" s="55"/>
      <c r="J82" s="17" t="str">
        <f>IF(C82="","",MIN(MAX(0,E82-N(I82)),MAX(0,G82-SUMIFS($I$4:$I$213,$C$4:$C$213,C82)-(SUMIFS($E$4:E81,$C$4:C81,C82)-SUMIFS($I$4:I81,$C$4:C81,C82)))))</f>
        <v/>
      </c>
      <c r="K82" s="17" t="str">
        <f t="shared" si="6"/>
        <v/>
      </c>
      <c r="L82" s="17" t="str">
        <f t="shared" si="7"/>
        <v/>
      </c>
      <c r="M82" s="59" t="str">
        <f>IF(C82="","",IF(OR(L82&lt;=0,F82=""),0,MAX(0,应收跟进!$E$2-F82)))</f>
        <v/>
      </c>
      <c r="N82" t="str">
        <f>IF(C82="","",IF(L82&lt;=0,"已结清",IF(F82&gt;应收跟进!$E$2,"未到期",IF(M82&lt;=30,"逾期1-30天",IF(M82&lt;=60,"逾期31-60天",IF(M82&lt;=90,"逾期61-90天","逾期90天以上"))))))</f>
        <v/>
      </c>
      <c r="O82" t="str">
        <f t="shared" si="8"/>
        <v/>
      </c>
      <c r="P82" t="str">
        <f>IF(销售录入!A72="","",销售录入!N72)</f>
        <v/>
      </c>
      <c r="Q82" t="str">
        <f>IF(销售录入!A72="","",销售录入!O72)</f>
        <v/>
      </c>
    </row>
    <row r="83" spans="1:17">
      <c r="A83" t="str">
        <f>IF(销售录入!A73="","","销售")</f>
        <v/>
      </c>
      <c r="B83" s="5" t="str">
        <f>IF(销售录入!A73="","",销售录入!A73)</f>
        <v/>
      </c>
      <c r="C83" t="str">
        <f>IF(销售录入!A73="","",销售录入!C73)</f>
        <v/>
      </c>
      <c r="D83" t="str">
        <f>IF(销售录入!A73="","",销售录入!D73)</f>
        <v/>
      </c>
      <c r="E83" s="17" t="str">
        <f>IF(销售录入!A73="","",销售录入!I73)</f>
        <v/>
      </c>
      <c r="F83" s="5" t="str">
        <f>IF(销售录入!A73="","",销售录入!L73)</f>
        <v/>
      </c>
      <c r="G83" s="17" t="str">
        <f>IF(C83="","",SUMIFS(资金流水!$J$4:$J$203,资金流水!$F$4:$F$203,C83,资金流水!$D$4:$D$203,"客户回款",资金流水!$A$4:$A$203,"&lt;="&amp;应收跟进!$E$2))</f>
        <v/>
      </c>
      <c r="H83" s="17" t="str">
        <f>IF(C83="","",SUMIFS($E$4:E82,$C$4:C82,C83))</f>
        <v/>
      </c>
      <c r="I83" s="55"/>
      <c r="J83" s="17" t="str">
        <f>IF(C83="","",MIN(MAX(0,E83-N(I83)),MAX(0,G83-SUMIFS($I$4:$I$213,$C$4:$C$213,C83)-(SUMIFS($E$4:E82,$C$4:C82,C83)-SUMIFS($I$4:I82,$C$4:C82,C83)))))</f>
        <v/>
      </c>
      <c r="K83" s="17" t="str">
        <f t="shared" si="6"/>
        <v/>
      </c>
      <c r="L83" s="17" t="str">
        <f t="shared" si="7"/>
        <v/>
      </c>
      <c r="M83" s="59" t="str">
        <f>IF(C83="","",IF(OR(L83&lt;=0,F83=""),0,MAX(0,应收跟进!$E$2-F83)))</f>
        <v/>
      </c>
      <c r="N83" t="str">
        <f>IF(C83="","",IF(L83&lt;=0,"已结清",IF(F83&gt;应收跟进!$E$2,"未到期",IF(M83&lt;=30,"逾期1-30天",IF(M83&lt;=60,"逾期31-60天",IF(M83&lt;=90,"逾期61-90天","逾期90天以上"))))))</f>
        <v/>
      </c>
      <c r="O83" t="str">
        <f t="shared" si="8"/>
        <v/>
      </c>
      <c r="P83" t="str">
        <f>IF(销售录入!A73="","",销售录入!N73)</f>
        <v/>
      </c>
      <c r="Q83" t="str">
        <f>IF(销售录入!A73="","",销售录入!O73)</f>
        <v/>
      </c>
    </row>
    <row r="84" spans="1:17">
      <c r="A84" t="str">
        <f>IF(销售录入!A74="","","销售")</f>
        <v/>
      </c>
      <c r="B84" s="5" t="str">
        <f>IF(销售录入!A74="","",销售录入!A74)</f>
        <v/>
      </c>
      <c r="C84" t="str">
        <f>IF(销售录入!A74="","",销售录入!C74)</f>
        <v/>
      </c>
      <c r="D84" t="str">
        <f>IF(销售录入!A74="","",销售录入!D74)</f>
        <v/>
      </c>
      <c r="E84" s="17" t="str">
        <f>IF(销售录入!A74="","",销售录入!I74)</f>
        <v/>
      </c>
      <c r="F84" s="5" t="str">
        <f>IF(销售录入!A74="","",销售录入!L74)</f>
        <v/>
      </c>
      <c r="G84" s="17" t="str">
        <f>IF(C84="","",SUMIFS(资金流水!$J$4:$J$203,资金流水!$F$4:$F$203,C84,资金流水!$D$4:$D$203,"客户回款",资金流水!$A$4:$A$203,"&lt;="&amp;应收跟进!$E$2))</f>
        <v/>
      </c>
      <c r="H84" s="17" t="str">
        <f>IF(C84="","",SUMIFS($E$4:E83,$C$4:C83,C84))</f>
        <v/>
      </c>
      <c r="I84" s="55"/>
      <c r="J84" s="17" t="str">
        <f>IF(C84="","",MIN(MAX(0,E84-N(I84)),MAX(0,G84-SUMIFS($I$4:$I$213,$C$4:$C$213,C84)-(SUMIFS($E$4:E83,$C$4:C83,C84)-SUMIFS($I$4:I83,$C$4:C83,C84)))))</f>
        <v/>
      </c>
      <c r="K84" s="17" t="str">
        <f t="shared" si="6"/>
        <v/>
      </c>
      <c r="L84" s="17" t="str">
        <f t="shared" si="7"/>
        <v/>
      </c>
      <c r="M84" s="59" t="str">
        <f>IF(C84="","",IF(OR(L84&lt;=0,F84=""),0,MAX(0,应收跟进!$E$2-F84)))</f>
        <v/>
      </c>
      <c r="N84" t="str">
        <f>IF(C84="","",IF(L84&lt;=0,"已结清",IF(F84&gt;应收跟进!$E$2,"未到期",IF(M84&lt;=30,"逾期1-30天",IF(M84&lt;=60,"逾期31-60天",IF(M84&lt;=90,"逾期61-90天","逾期90天以上"))))))</f>
        <v/>
      </c>
      <c r="O84" t="str">
        <f t="shared" si="8"/>
        <v/>
      </c>
      <c r="P84" t="str">
        <f>IF(销售录入!A74="","",销售录入!N74)</f>
        <v/>
      </c>
      <c r="Q84" t="str">
        <f>IF(销售录入!A74="","",销售录入!O74)</f>
        <v/>
      </c>
    </row>
    <row r="85" spans="1:17">
      <c r="A85" t="str">
        <f>IF(销售录入!A75="","","销售")</f>
        <v/>
      </c>
      <c r="B85" s="5" t="str">
        <f>IF(销售录入!A75="","",销售录入!A75)</f>
        <v/>
      </c>
      <c r="C85" t="str">
        <f>IF(销售录入!A75="","",销售录入!C75)</f>
        <v/>
      </c>
      <c r="D85" t="str">
        <f>IF(销售录入!A75="","",销售录入!D75)</f>
        <v/>
      </c>
      <c r="E85" s="17" t="str">
        <f>IF(销售录入!A75="","",销售录入!I75)</f>
        <v/>
      </c>
      <c r="F85" s="5" t="str">
        <f>IF(销售录入!A75="","",销售录入!L75)</f>
        <v/>
      </c>
      <c r="G85" s="17" t="str">
        <f>IF(C85="","",SUMIFS(资金流水!$J$4:$J$203,资金流水!$F$4:$F$203,C85,资金流水!$D$4:$D$203,"客户回款",资金流水!$A$4:$A$203,"&lt;="&amp;应收跟进!$E$2))</f>
        <v/>
      </c>
      <c r="H85" s="17" t="str">
        <f>IF(C85="","",SUMIFS($E$4:E84,$C$4:C84,C85))</f>
        <v/>
      </c>
      <c r="I85" s="55"/>
      <c r="J85" s="17" t="str">
        <f>IF(C85="","",MIN(MAX(0,E85-N(I85)),MAX(0,G85-SUMIFS($I$4:$I$213,$C$4:$C$213,C85)-(SUMIFS($E$4:E84,$C$4:C84,C85)-SUMIFS($I$4:I84,$C$4:C84,C85)))))</f>
        <v/>
      </c>
      <c r="K85" s="17" t="str">
        <f t="shared" si="6"/>
        <v/>
      </c>
      <c r="L85" s="17" t="str">
        <f t="shared" si="7"/>
        <v/>
      </c>
      <c r="M85" s="59" t="str">
        <f>IF(C85="","",IF(OR(L85&lt;=0,F85=""),0,MAX(0,应收跟进!$E$2-F85)))</f>
        <v/>
      </c>
      <c r="N85" t="str">
        <f>IF(C85="","",IF(L85&lt;=0,"已结清",IF(F85&gt;应收跟进!$E$2,"未到期",IF(M85&lt;=30,"逾期1-30天",IF(M85&lt;=60,"逾期31-60天",IF(M85&lt;=90,"逾期61-90天","逾期90天以上"))))))</f>
        <v/>
      </c>
      <c r="O85" t="str">
        <f t="shared" si="8"/>
        <v/>
      </c>
      <c r="P85" t="str">
        <f>IF(销售录入!A75="","",销售录入!N75)</f>
        <v/>
      </c>
      <c r="Q85" t="str">
        <f>IF(销售录入!A75="","",销售录入!O75)</f>
        <v/>
      </c>
    </row>
    <row r="86" spans="1:17">
      <c r="A86" t="str">
        <f>IF(销售录入!A76="","","销售")</f>
        <v/>
      </c>
      <c r="B86" s="5" t="str">
        <f>IF(销售录入!A76="","",销售录入!A76)</f>
        <v/>
      </c>
      <c r="C86" t="str">
        <f>IF(销售录入!A76="","",销售录入!C76)</f>
        <v/>
      </c>
      <c r="D86" t="str">
        <f>IF(销售录入!A76="","",销售录入!D76)</f>
        <v/>
      </c>
      <c r="E86" s="17" t="str">
        <f>IF(销售录入!A76="","",销售录入!I76)</f>
        <v/>
      </c>
      <c r="F86" s="5" t="str">
        <f>IF(销售录入!A76="","",销售录入!L76)</f>
        <v/>
      </c>
      <c r="G86" s="17" t="str">
        <f>IF(C86="","",SUMIFS(资金流水!$J$4:$J$203,资金流水!$F$4:$F$203,C86,资金流水!$D$4:$D$203,"客户回款",资金流水!$A$4:$A$203,"&lt;="&amp;应收跟进!$E$2))</f>
        <v/>
      </c>
      <c r="H86" s="17" t="str">
        <f>IF(C86="","",SUMIFS($E$4:E85,$C$4:C85,C86))</f>
        <v/>
      </c>
      <c r="I86" s="55"/>
      <c r="J86" s="17" t="str">
        <f>IF(C86="","",MIN(MAX(0,E86-N(I86)),MAX(0,G86-SUMIFS($I$4:$I$213,$C$4:$C$213,C86)-(SUMIFS($E$4:E85,$C$4:C85,C86)-SUMIFS($I$4:I85,$C$4:C85,C86)))))</f>
        <v/>
      </c>
      <c r="K86" s="17" t="str">
        <f t="shared" si="6"/>
        <v/>
      </c>
      <c r="L86" s="17" t="str">
        <f t="shared" si="7"/>
        <v/>
      </c>
      <c r="M86" s="59" t="str">
        <f>IF(C86="","",IF(OR(L86&lt;=0,F86=""),0,MAX(0,应收跟进!$E$2-F86)))</f>
        <v/>
      </c>
      <c r="N86" t="str">
        <f>IF(C86="","",IF(L86&lt;=0,"已结清",IF(F86&gt;应收跟进!$E$2,"未到期",IF(M86&lt;=30,"逾期1-30天",IF(M86&lt;=60,"逾期31-60天",IF(M86&lt;=90,"逾期61-90天","逾期90天以上"))))))</f>
        <v/>
      </c>
      <c r="O86" t="str">
        <f t="shared" si="8"/>
        <v/>
      </c>
      <c r="P86" t="str">
        <f>IF(销售录入!A76="","",销售录入!N76)</f>
        <v/>
      </c>
      <c r="Q86" t="str">
        <f>IF(销售录入!A76="","",销售录入!O76)</f>
        <v/>
      </c>
    </row>
    <row r="87" spans="1:17">
      <c r="A87" t="str">
        <f>IF(销售录入!A77="","","销售")</f>
        <v/>
      </c>
      <c r="B87" s="5" t="str">
        <f>IF(销售录入!A77="","",销售录入!A77)</f>
        <v/>
      </c>
      <c r="C87" t="str">
        <f>IF(销售录入!A77="","",销售录入!C77)</f>
        <v/>
      </c>
      <c r="D87" t="str">
        <f>IF(销售录入!A77="","",销售录入!D77)</f>
        <v/>
      </c>
      <c r="E87" s="17" t="str">
        <f>IF(销售录入!A77="","",销售录入!I77)</f>
        <v/>
      </c>
      <c r="F87" s="5" t="str">
        <f>IF(销售录入!A77="","",销售录入!L77)</f>
        <v/>
      </c>
      <c r="G87" s="17" t="str">
        <f>IF(C87="","",SUMIFS(资金流水!$J$4:$J$203,资金流水!$F$4:$F$203,C87,资金流水!$D$4:$D$203,"客户回款",资金流水!$A$4:$A$203,"&lt;="&amp;应收跟进!$E$2))</f>
        <v/>
      </c>
      <c r="H87" s="17" t="str">
        <f>IF(C87="","",SUMIFS($E$4:E86,$C$4:C86,C87))</f>
        <v/>
      </c>
      <c r="I87" s="55"/>
      <c r="J87" s="17" t="str">
        <f>IF(C87="","",MIN(MAX(0,E87-N(I87)),MAX(0,G87-SUMIFS($I$4:$I$213,$C$4:$C$213,C87)-(SUMIFS($E$4:E86,$C$4:C86,C87)-SUMIFS($I$4:I86,$C$4:C86,C87)))))</f>
        <v/>
      </c>
      <c r="K87" s="17" t="str">
        <f t="shared" si="6"/>
        <v/>
      </c>
      <c r="L87" s="17" t="str">
        <f t="shared" si="7"/>
        <v/>
      </c>
      <c r="M87" s="59" t="str">
        <f>IF(C87="","",IF(OR(L87&lt;=0,F87=""),0,MAX(0,应收跟进!$E$2-F87)))</f>
        <v/>
      </c>
      <c r="N87" t="str">
        <f>IF(C87="","",IF(L87&lt;=0,"已结清",IF(F87&gt;应收跟进!$E$2,"未到期",IF(M87&lt;=30,"逾期1-30天",IF(M87&lt;=60,"逾期31-60天",IF(M87&lt;=90,"逾期61-90天","逾期90天以上"))))))</f>
        <v/>
      </c>
      <c r="O87" t="str">
        <f t="shared" si="8"/>
        <v/>
      </c>
      <c r="P87" t="str">
        <f>IF(销售录入!A77="","",销售录入!N77)</f>
        <v/>
      </c>
      <c r="Q87" t="str">
        <f>IF(销售录入!A77="","",销售录入!O77)</f>
        <v/>
      </c>
    </row>
    <row r="88" spans="1:17">
      <c r="A88" t="str">
        <f>IF(销售录入!A78="","","销售")</f>
        <v/>
      </c>
      <c r="B88" s="5" t="str">
        <f>IF(销售录入!A78="","",销售录入!A78)</f>
        <v/>
      </c>
      <c r="C88" t="str">
        <f>IF(销售录入!A78="","",销售录入!C78)</f>
        <v/>
      </c>
      <c r="D88" t="str">
        <f>IF(销售录入!A78="","",销售录入!D78)</f>
        <v/>
      </c>
      <c r="E88" s="17" t="str">
        <f>IF(销售录入!A78="","",销售录入!I78)</f>
        <v/>
      </c>
      <c r="F88" s="5" t="str">
        <f>IF(销售录入!A78="","",销售录入!L78)</f>
        <v/>
      </c>
      <c r="G88" s="17" t="str">
        <f>IF(C88="","",SUMIFS(资金流水!$J$4:$J$203,资金流水!$F$4:$F$203,C88,资金流水!$D$4:$D$203,"客户回款",资金流水!$A$4:$A$203,"&lt;="&amp;应收跟进!$E$2))</f>
        <v/>
      </c>
      <c r="H88" s="17" t="str">
        <f>IF(C88="","",SUMIFS($E$4:E87,$C$4:C87,C88))</f>
        <v/>
      </c>
      <c r="I88" s="55"/>
      <c r="J88" s="17" t="str">
        <f>IF(C88="","",MIN(MAX(0,E88-N(I88)),MAX(0,G88-SUMIFS($I$4:$I$213,$C$4:$C$213,C88)-(SUMIFS($E$4:E87,$C$4:C87,C88)-SUMIFS($I$4:I87,$C$4:C87,C88)))))</f>
        <v/>
      </c>
      <c r="K88" s="17" t="str">
        <f t="shared" si="6"/>
        <v/>
      </c>
      <c r="L88" s="17" t="str">
        <f t="shared" si="7"/>
        <v/>
      </c>
      <c r="M88" s="59" t="str">
        <f>IF(C88="","",IF(OR(L88&lt;=0,F88=""),0,MAX(0,应收跟进!$E$2-F88)))</f>
        <v/>
      </c>
      <c r="N88" t="str">
        <f>IF(C88="","",IF(L88&lt;=0,"已结清",IF(F88&gt;应收跟进!$E$2,"未到期",IF(M88&lt;=30,"逾期1-30天",IF(M88&lt;=60,"逾期31-60天",IF(M88&lt;=90,"逾期61-90天","逾期90天以上"))))))</f>
        <v/>
      </c>
      <c r="O88" t="str">
        <f t="shared" si="8"/>
        <v/>
      </c>
      <c r="P88" t="str">
        <f>IF(销售录入!A78="","",销售录入!N78)</f>
        <v/>
      </c>
      <c r="Q88" t="str">
        <f>IF(销售录入!A78="","",销售录入!O78)</f>
        <v/>
      </c>
    </row>
    <row r="89" spans="1:17">
      <c r="A89" t="str">
        <f>IF(销售录入!A79="","","销售")</f>
        <v/>
      </c>
      <c r="B89" s="5" t="str">
        <f>IF(销售录入!A79="","",销售录入!A79)</f>
        <v/>
      </c>
      <c r="C89" t="str">
        <f>IF(销售录入!A79="","",销售录入!C79)</f>
        <v/>
      </c>
      <c r="D89" t="str">
        <f>IF(销售录入!A79="","",销售录入!D79)</f>
        <v/>
      </c>
      <c r="E89" s="17" t="str">
        <f>IF(销售录入!A79="","",销售录入!I79)</f>
        <v/>
      </c>
      <c r="F89" s="5" t="str">
        <f>IF(销售录入!A79="","",销售录入!L79)</f>
        <v/>
      </c>
      <c r="G89" s="17" t="str">
        <f>IF(C89="","",SUMIFS(资金流水!$J$4:$J$203,资金流水!$F$4:$F$203,C89,资金流水!$D$4:$D$203,"客户回款",资金流水!$A$4:$A$203,"&lt;="&amp;应收跟进!$E$2))</f>
        <v/>
      </c>
      <c r="H89" s="17" t="str">
        <f>IF(C89="","",SUMIFS($E$4:E88,$C$4:C88,C89))</f>
        <v/>
      </c>
      <c r="I89" s="55"/>
      <c r="J89" s="17" t="str">
        <f>IF(C89="","",MIN(MAX(0,E89-N(I89)),MAX(0,G89-SUMIFS($I$4:$I$213,$C$4:$C$213,C89)-(SUMIFS($E$4:E88,$C$4:C88,C89)-SUMIFS($I$4:I88,$C$4:C88,C89)))))</f>
        <v/>
      </c>
      <c r="K89" s="17" t="str">
        <f t="shared" si="6"/>
        <v/>
      </c>
      <c r="L89" s="17" t="str">
        <f t="shared" si="7"/>
        <v/>
      </c>
      <c r="M89" s="59" t="str">
        <f>IF(C89="","",IF(OR(L89&lt;=0,F89=""),0,MAX(0,应收跟进!$E$2-F89)))</f>
        <v/>
      </c>
      <c r="N89" t="str">
        <f>IF(C89="","",IF(L89&lt;=0,"已结清",IF(F89&gt;应收跟进!$E$2,"未到期",IF(M89&lt;=30,"逾期1-30天",IF(M89&lt;=60,"逾期31-60天",IF(M89&lt;=90,"逾期61-90天","逾期90天以上"))))))</f>
        <v/>
      </c>
      <c r="O89" t="str">
        <f t="shared" si="8"/>
        <v/>
      </c>
      <c r="P89" t="str">
        <f>IF(销售录入!A79="","",销售录入!N79)</f>
        <v/>
      </c>
      <c r="Q89" t="str">
        <f>IF(销售录入!A79="","",销售录入!O79)</f>
        <v/>
      </c>
    </row>
    <row r="90" spans="1:17">
      <c r="A90" t="str">
        <f>IF(销售录入!A80="","","销售")</f>
        <v/>
      </c>
      <c r="B90" s="5" t="str">
        <f>IF(销售录入!A80="","",销售录入!A80)</f>
        <v/>
      </c>
      <c r="C90" t="str">
        <f>IF(销售录入!A80="","",销售录入!C80)</f>
        <v/>
      </c>
      <c r="D90" t="str">
        <f>IF(销售录入!A80="","",销售录入!D80)</f>
        <v/>
      </c>
      <c r="E90" s="17" t="str">
        <f>IF(销售录入!A80="","",销售录入!I80)</f>
        <v/>
      </c>
      <c r="F90" s="5" t="str">
        <f>IF(销售录入!A80="","",销售录入!L80)</f>
        <v/>
      </c>
      <c r="G90" s="17" t="str">
        <f>IF(C90="","",SUMIFS(资金流水!$J$4:$J$203,资金流水!$F$4:$F$203,C90,资金流水!$D$4:$D$203,"客户回款",资金流水!$A$4:$A$203,"&lt;="&amp;应收跟进!$E$2))</f>
        <v/>
      </c>
      <c r="H90" s="17" t="str">
        <f>IF(C90="","",SUMIFS($E$4:E89,$C$4:C89,C90))</f>
        <v/>
      </c>
      <c r="I90" s="55"/>
      <c r="J90" s="17" t="str">
        <f>IF(C90="","",MIN(MAX(0,E90-N(I90)),MAX(0,G90-SUMIFS($I$4:$I$213,$C$4:$C$213,C90)-(SUMIFS($E$4:E89,$C$4:C89,C90)-SUMIFS($I$4:I89,$C$4:C89,C90)))))</f>
        <v/>
      </c>
      <c r="K90" s="17" t="str">
        <f t="shared" si="6"/>
        <v/>
      </c>
      <c r="L90" s="17" t="str">
        <f t="shared" si="7"/>
        <v/>
      </c>
      <c r="M90" s="59" t="str">
        <f>IF(C90="","",IF(OR(L90&lt;=0,F90=""),0,MAX(0,应收跟进!$E$2-F90)))</f>
        <v/>
      </c>
      <c r="N90" t="str">
        <f>IF(C90="","",IF(L90&lt;=0,"已结清",IF(F90&gt;应收跟进!$E$2,"未到期",IF(M90&lt;=30,"逾期1-30天",IF(M90&lt;=60,"逾期31-60天",IF(M90&lt;=90,"逾期61-90天","逾期90天以上"))))))</f>
        <v/>
      </c>
      <c r="O90" t="str">
        <f t="shared" si="8"/>
        <v/>
      </c>
      <c r="P90" t="str">
        <f>IF(销售录入!A80="","",销售录入!N80)</f>
        <v/>
      </c>
      <c r="Q90" t="str">
        <f>IF(销售录入!A80="","",销售录入!O80)</f>
        <v/>
      </c>
    </row>
    <row r="91" spans="1:17">
      <c r="A91" t="str">
        <f>IF(销售录入!A81="","","销售")</f>
        <v/>
      </c>
      <c r="B91" s="5" t="str">
        <f>IF(销售录入!A81="","",销售录入!A81)</f>
        <v/>
      </c>
      <c r="C91" t="str">
        <f>IF(销售录入!A81="","",销售录入!C81)</f>
        <v/>
      </c>
      <c r="D91" t="str">
        <f>IF(销售录入!A81="","",销售录入!D81)</f>
        <v/>
      </c>
      <c r="E91" s="17" t="str">
        <f>IF(销售录入!A81="","",销售录入!I81)</f>
        <v/>
      </c>
      <c r="F91" s="5" t="str">
        <f>IF(销售录入!A81="","",销售录入!L81)</f>
        <v/>
      </c>
      <c r="G91" s="17" t="str">
        <f>IF(C91="","",SUMIFS(资金流水!$J$4:$J$203,资金流水!$F$4:$F$203,C91,资金流水!$D$4:$D$203,"客户回款",资金流水!$A$4:$A$203,"&lt;="&amp;应收跟进!$E$2))</f>
        <v/>
      </c>
      <c r="H91" s="17" t="str">
        <f>IF(C91="","",SUMIFS($E$4:E90,$C$4:C90,C91))</f>
        <v/>
      </c>
      <c r="I91" s="55"/>
      <c r="J91" s="17" t="str">
        <f>IF(C91="","",MIN(MAX(0,E91-N(I91)),MAX(0,G91-SUMIFS($I$4:$I$213,$C$4:$C$213,C91)-(SUMIFS($E$4:E90,$C$4:C90,C91)-SUMIFS($I$4:I90,$C$4:C90,C91)))))</f>
        <v/>
      </c>
      <c r="K91" s="17" t="str">
        <f t="shared" si="6"/>
        <v/>
      </c>
      <c r="L91" s="17" t="str">
        <f t="shared" si="7"/>
        <v/>
      </c>
      <c r="M91" s="59" t="str">
        <f>IF(C91="","",IF(OR(L91&lt;=0,F91=""),0,MAX(0,应收跟进!$E$2-F91)))</f>
        <v/>
      </c>
      <c r="N91" t="str">
        <f>IF(C91="","",IF(L91&lt;=0,"已结清",IF(F91&gt;应收跟进!$E$2,"未到期",IF(M91&lt;=30,"逾期1-30天",IF(M91&lt;=60,"逾期31-60天",IF(M91&lt;=90,"逾期61-90天","逾期90天以上"))))))</f>
        <v/>
      </c>
      <c r="O91" t="str">
        <f t="shared" si="8"/>
        <v/>
      </c>
      <c r="P91" t="str">
        <f>IF(销售录入!A81="","",销售录入!N81)</f>
        <v/>
      </c>
      <c r="Q91" t="str">
        <f>IF(销售录入!A81="","",销售录入!O81)</f>
        <v/>
      </c>
    </row>
    <row r="92" spans="1:17">
      <c r="A92" t="str">
        <f>IF(销售录入!A82="","","销售")</f>
        <v/>
      </c>
      <c r="B92" s="5" t="str">
        <f>IF(销售录入!A82="","",销售录入!A82)</f>
        <v/>
      </c>
      <c r="C92" t="str">
        <f>IF(销售录入!A82="","",销售录入!C82)</f>
        <v/>
      </c>
      <c r="D92" t="str">
        <f>IF(销售录入!A82="","",销售录入!D82)</f>
        <v/>
      </c>
      <c r="E92" s="17" t="str">
        <f>IF(销售录入!A82="","",销售录入!I82)</f>
        <v/>
      </c>
      <c r="F92" s="5" t="str">
        <f>IF(销售录入!A82="","",销售录入!L82)</f>
        <v/>
      </c>
      <c r="G92" s="17" t="str">
        <f>IF(C92="","",SUMIFS(资金流水!$J$4:$J$203,资金流水!$F$4:$F$203,C92,资金流水!$D$4:$D$203,"客户回款",资金流水!$A$4:$A$203,"&lt;="&amp;应收跟进!$E$2))</f>
        <v/>
      </c>
      <c r="H92" s="17" t="str">
        <f>IF(C92="","",SUMIFS($E$4:E91,$C$4:C91,C92))</f>
        <v/>
      </c>
      <c r="I92" s="55"/>
      <c r="J92" s="17" t="str">
        <f>IF(C92="","",MIN(MAX(0,E92-N(I92)),MAX(0,G92-SUMIFS($I$4:$I$213,$C$4:$C$213,C92)-(SUMIFS($E$4:E91,$C$4:C91,C92)-SUMIFS($I$4:I91,$C$4:C91,C92)))))</f>
        <v/>
      </c>
      <c r="K92" s="17" t="str">
        <f t="shared" si="6"/>
        <v/>
      </c>
      <c r="L92" s="17" t="str">
        <f t="shared" si="7"/>
        <v/>
      </c>
      <c r="M92" s="59" t="str">
        <f>IF(C92="","",IF(OR(L92&lt;=0,F92=""),0,MAX(0,应收跟进!$E$2-F92)))</f>
        <v/>
      </c>
      <c r="N92" t="str">
        <f>IF(C92="","",IF(L92&lt;=0,"已结清",IF(F92&gt;应收跟进!$E$2,"未到期",IF(M92&lt;=30,"逾期1-30天",IF(M92&lt;=60,"逾期31-60天",IF(M92&lt;=90,"逾期61-90天","逾期90天以上"))))))</f>
        <v/>
      </c>
      <c r="O92" t="str">
        <f t="shared" si="8"/>
        <v/>
      </c>
      <c r="P92" t="str">
        <f>IF(销售录入!A82="","",销售录入!N82)</f>
        <v/>
      </c>
      <c r="Q92" t="str">
        <f>IF(销售录入!A82="","",销售录入!O82)</f>
        <v/>
      </c>
    </row>
    <row r="93" spans="1:17">
      <c r="A93" t="str">
        <f>IF(销售录入!A83="","","销售")</f>
        <v/>
      </c>
      <c r="B93" s="5" t="str">
        <f>IF(销售录入!A83="","",销售录入!A83)</f>
        <v/>
      </c>
      <c r="C93" t="str">
        <f>IF(销售录入!A83="","",销售录入!C83)</f>
        <v/>
      </c>
      <c r="D93" t="str">
        <f>IF(销售录入!A83="","",销售录入!D83)</f>
        <v/>
      </c>
      <c r="E93" s="17" t="str">
        <f>IF(销售录入!A83="","",销售录入!I83)</f>
        <v/>
      </c>
      <c r="F93" s="5" t="str">
        <f>IF(销售录入!A83="","",销售录入!L83)</f>
        <v/>
      </c>
      <c r="G93" s="17" t="str">
        <f>IF(C93="","",SUMIFS(资金流水!$J$4:$J$203,资金流水!$F$4:$F$203,C93,资金流水!$D$4:$D$203,"客户回款",资金流水!$A$4:$A$203,"&lt;="&amp;应收跟进!$E$2))</f>
        <v/>
      </c>
      <c r="H93" s="17" t="str">
        <f>IF(C93="","",SUMIFS($E$4:E92,$C$4:C92,C93))</f>
        <v/>
      </c>
      <c r="I93" s="55"/>
      <c r="J93" s="17" t="str">
        <f>IF(C93="","",MIN(MAX(0,E93-N(I93)),MAX(0,G93-SUMIFS($I$4:$I$213,$C$4:$C$213,C93)-(SUMIFS($E$4:E92,$C$4:C92,C93)-SUMIFS($I$4:I92,$C$4:C92,C93)))))</f>
        <v/>
      </c>
      <c r="K93" s="17" t="str">
        <f t="shared" si="6"/>
        <v/>
      </c>
      <c r="L93" s="17" t="str">
        <f t="shared" si="7"/>
        <v/>
      </c>
      <c r="M93" s="59" t="str">
        <f>IF(C93="","",IF(OR(L93&lt;=0,F93=""),0,MAX(0,应收跟进!$E$2-F93)))</f>
        <v/>
      </c>
      <c r="N93" t="str">
        <f>IF(C93="","",IF(L93&lt;=0,"已结清",IF(F93&gt;应收跟进!$E$2,"未到期",IF(M93&lt;=30,"逾期1-30天",IF(M93&lt;=60,"逾期31-60天",IF(M93&lt;=90,"逾期61-90天","逾期90天以上"))))))</f>
        <v/>
      </c>
      <c r="O93" t="str">
        <f t="shared" si="8"/>
        <v/>
      </c>
      <c r="P93" t="str">
        <f>IF(销售录入!A83="","",销售录入!N83)</f>
        <v/>
      </c>
      <c r="Q93" t="str">
        <f>IF(销售录入!A83="","",销售录入!O83)</f>
        <v/>
      </c>
    </row>
    <row r="94" spans="1:17">
      <c r="A94" t="str">
        <f>IF(销售录入!A84="","","销售")</f>
        <v/>
      </c>
      <c r="B94" s="5" t="str">
        <f>IF(销售录入!A84="","",销售录入!A84)</f>
        <v/>
      </c>
      <c r="C94" t="str">
        <f>IF(销售录入!A84="","",销售录入!C84)</f>
        <v/>
      </c>
      <c r="D94" t="str">
        <f>IF(销售录入!A84="","",销售录入!D84)</f>
        <v/>
      </c>
      <c r="E94" s="17" t="str">
        <f>IF(销售录入!A84="","",销售录入!I84)</f>
        <v/>
      </c>
      <c r="F94" s="5" t="str">
        <f>IF(销售录入!A84="","",销售录入!L84)</f>
        <v/>
      </c>
      <c r="G94" s="17" t="str">
        <f>IF(C94="","",SUMIFS(资金流水!$J$4:$J$203,资金流水!$F$4:$F$203,C94,资金流水!$D$4:$D$203,"客户回款",资金流水!$A$4:$A$203,"&lt;="&amp;应收跟进!$E$2))</f>
        <v/>
      </c>
      <c r="H94" s="17" t="str">
        <f>IF(C94="","",SUMIFS($E$4:E93,$C$4:C93,C94))</f>
        <v/>
      </c>
      <c r="I94" s="55"/>
      <c r="J94" s="17" t="str">
        <f>IF(C94="","",MIN(MAX(0,E94-N(I94)),MAX(0,G94-SUMIFS($I$4:$I$213,$C$4:$C$213,C94)-(SUMIFS($E$4:E93,$C$4:C93,C94)-SUMIFS($I$4:I93,$C$4:C93,C94)))))</f>
        <v/>
      </c>
      <c r="K94" s="17" t="str">
        <f t="shared" si="6"/>
        <v/>
      </c>
      <c r="L94" s="17" t="str">
        <f t="shared" si="7"/>
        <v/>
      </c>
      <c r="M94" s="59" t="str">
        <f>IF(C94="","",IF(OR(L94&lt;=0,F94=""),0,MAX(0,应收跟进!$E$2-F94)))</f>
        <v/>
      </c>
      <c r="N94" t="str">
        <f>IF(C94="","",IF(L94&lt;=0,"已结清",IF(F94&gt;应收跟进!$E$2,"未到期",IF(M94&lt;=30,"逾期1-30天",IF(M94&lt;=60,"逾期31-60天",IF(M94&lt;=90,"逾期61-90天","逾期90天以上"))))))</f>
        <v/>
      </c>
      <c r="O94" t="str">
        <f t="shared" si="8"/>
        <v/>
      </c>
      <c r="P94" t="str">
        <f>IF(销售录入!A84="","",销售录入!N84)</f>
        <v/>
      </c>
      <c r="Q94" t="str">
        <f>IF(销售录入!A84="","",销售录入!O84)</f>
        <v/>
      </c>
    </row>
    <row r="95" spans="1:17">
      <c r="A95" t="str">
        <f>IF(销售录入!A85="","","销售")</f>
        <v/>
      </c>
      <c r="B95" s="5" t="str">
        <f>IF(销售录入!A85="","",销售录入!A85)</f>
        <v/>
      </c>
      <c r="C95" t="str">
        <f>IF(销售录入!A85="","",销售录入!C85)</f>
        <v/>
      </c>
      <c r="D95" t="str">
        <f>IF(销售录入!A85="","",销售录入!D85)</f>
        <v/>
      </c>
      <c r="E95" s="17" t="str">
        <f>IF(销售录入!A85="","",销售录入!I85)</f>
        <v/>
      </c>
      <c r="F95" s="5" t="str">
        <f>IF(销售录入!A85="","",销售录入!L85)</f>
        <v/>
      </c>
      <c r="G95" s="17" t="str">
        <f>IF(C95="","",SUMIFS(资金流水!$J$4:$J$203,资金流水!$F$4:$F$203,C95,资金流水!$D$4:$D$203,"客户回款",资金流水!$A$4:$A$203,"&lt;="&amp;应收跟进!$E$2))</f>
        <v/>
      </c>
      <c r="H95" s="17" t="str">
        <f>IF(C95="","",SUMIFS($E$4:E94,$C$4:C94,C95))</f>
        <v/>
      </c>
      <c r="I95" s="55"/>
      <c r="J95" s="17" t="str">
        <f>IF(C95="","",MIN(MAX(0,E95-N(I95)),MAX(0,G95-SUMIFS($I$4:$I$213,$C$4:$C$213,C95)-(SUMIFS($E$4:E94,$C$4:C94,C95)-SUMIFS($I$4:I94,$C$4:C94,C95)))))</f>
        <v/>
      </c>
      <c r="K95" s="17" t="str">
        <f t="shared" si="6"/>
        <v/>
      </c>
      <c r="L95" s="17" t="str">
        <f t="shared" si="7"/>
        <v/>
      </c>
      <c r="M95" s="59" t="str">
        <f>IF(C95="","",IF(OR(L95&lt;=0,F95=""),0,MAX(0,应收跟进!$E$2-F95)))</f>
        <v/>
      </c>
      <c r="N95" t="str">
        <f>IF(C95="","",IF(L95&lt;=0,"已结清",IF(F95&gt;应收跟进!$E$2,"未到期",IF(M95&lt;=30,"逾期1-30天",IF(M95&lt;=60,"逾期31-60天",IF(M95&lt;=90,"逾期61-90天","逾期90天以上"))))))</f>
        <v/>
      </c>
      <c r="O95" t="str">
        <f t="shared" si="8"/>
        <v/>
      </c>
      <c r="P95" t="str">
        <f>IF(销售录入!A85="","",销售录入!N85)</f>
        <v/>
      </c>
      <c r="Q95" t="str">
        <f>IF(销售录入!A85="","",销售录入!O85)</f>
        <v/>
      </c>
    </row>
    <row r="96" spans="1:17">
      <c r="A96" t="str">
        <f>IF(销售录入!A86="","","销售")</f>
        <v/>
      </c>
      <c r="B96" s="5" t="str">
        <f>IF(销售录入!A86="","",销售录入!A86)</f>
        <v/>
      </c>
      <c r="C96" t="str">
        <f>IF(销售录入!A86="","",销售录入!C86)</f>
        <v/>
      </c>
      <c r="D96" t="str">
        <f>IF(销售录入!A86="","",销售录入!D86)</f>
        <v/>
      </c>
      <c r="E96" s="17" t="str">
        <f>IF(销售录入!A86="","",销售录入!I86)</f>
        <v/>
      </c>
      <c r="F96" s="5" t="str">
        <f>IF(销售录入!A86="","",销售录入!L86)</f>
        <v/>
      </c>
      <c r="G96" s="17" t="str">
        <f>IF(C96="","",SUMIFS(资金流水!$J$4:$J$203,资金流水!$F$4:$F$203,C96,资金流水!$D$4:$D$203,"客户回款",资金流水!$A$4:$A$203,"&lt;="&amp;应收跟进!$E$2))</f>
        <v/>
      </c>
      <c r="H96" s="17" t="str">
        <f>IF(C96="","",SUMIFS($E$4:E95,$C$4:C95,C96))</f>
        <v/>
      </c>
      <c r="I96" s="55"/>
      <c r="J96" s="17" t="str">
        <f>IF(C96="","",MIN(MAX(0,E96-N(I96)),MAX(0,G96-SUMIFS($I$4:$I$213,$C$4:$C$213,C96)-(SUMIFS($E$4:E95,$C$4:C95,C96)-SUMIFS($I$4:I95,$C$4:C95,C96)))))</f>
        <v/>
      </c>
      <c r="K96" s="17" t="str">
        <f t="shared" si="6"/>
        <v/>
      </c>
      <c r="L96" s="17" t="str">
        <f t="shared" si="7"/>
        <v/>
      </c>
      <c r="M96" s="59" t="str">
        <f>IF(C96="","",IF(OR(L96&lt;=0,F96=""),0,MAX(0,应收跟进!$E$2-F96)))</f>
        <v/>
      </c>
      <c r="N96" t="str">
        <f>IF(C96="","",IF(L96&lt;=0,"已结清",IF(F96&gt;应收跟进!$E$2,"未到期",IF(M96&lt;=30,"逾期1-30天",IF(M96&lt;=60,"逾期31-60天",IF(M96&lt;=90,"逾期61-90天","逾期90天以上"))))))</f>
        <v/>
      </c>
      <c r="O96" t="str">
        <f t="shared" si="8"/>
        <v/>
      </c>
      <c r="P96" t="str">
        <f>IF(销售录入!A86="","",销售录入!N86)</f>
        <v/>
      </c>
      <c r="Q96" t="str">
        <f>IF(销售录入!A86="","",销售录入!O86)</f>
        <v/>
      </c>
    </row>
    <row r="97" spans="1:17">
      <c r="A97" t="str">
        <f>IF(销售录入!A87="","","销售")</f>
        <v/>
      </c>
      <c r="B97" s="5" t="str">
        <f>IF(销售录入!A87="","",销售录入!A87)</f>
        <v/>
      </c>
      <c r="C97" t="str">
        <f>IF(销售录入!A87="","",销售录入!C87)</f>
        <v/>
      </c>
      <c r="D97" t="str">
        <f>IF(销售录入!A87="","",销售录入!D87)</f>
        <v/>
      </c>
      <c r="E97" s="17" t="str">
        <f>IF(销售录入!A87="","",销售录入!I87)</f>
        <v/>
      </c>
      <c r="F97" s="5" t="str">
        <f>IF(销售录入!A87="","",销售录入!L87)</f>
        <v/>
      </c>
      <c r="G97" s="17" t="str">
        <f>IF(C97="","",SUMIFS(资金流水!$J$4:$J$203,资金流水!$F$4:$F$203,C97,资金流水!$D$4:$D$203,"客户回款",资金流水!$A$4:$A$203,"&lt;="&amp;应收跟进!$E$2))</f>
        <v/>
      </c>
      <c r="H97" s="17" t="str">
        <f>IF(C97="","",SUMIFS($E$4:E96,$C$4:C96,C97))</f>
        <v/>
      </c>
      <c r="I97" s="55"/>
      <c r="J97" s="17" t="str">
        <f>IF(C97="","",MIN(MAX(0,E97-N(I97)),MAX(0,G97-SUMIFS($I$4:$I$213,$C$4:$C$213,C97)-(SUMIFS($E$4:E96,$C$4:C96,C97)-SUMIFS($I$4:I96,$C$4:C96,C97)))))</f>
        <v/>
      </c>
      <c r="K97" s="17" t="str">
        <f t="shared" si="6"/>
        <v/>
      </c>
      <c r="L97" s="17" t="str">
        <f t="shared" si="7"/>
        <v/>
      </c>
      <c r="M97" s="59" t="str">
        <f>IF(C97="","",IF(OR(L97&lt;=0,F97=""),0,MAX(0,应收跟进!$E$2-F97)))</f>
        <v/>
      </c>
      <c r="N97" t="str">
        <f>IF(C97="","",IF(L97&lt;=0,"已结清",IF(F97&gt;应收跟进!$E$2,"未到期",IF(M97&lt;=30,"逾期1-30天",IF(M97&lt;=60,"逾期31-60天",IF(M97&lt;=90,"逾期61-90天","逾期90天以上"))))))</f>
        <v/>
      </c>
      <c r="O97" t="str">
        <f t="shared" si="8"/>
        <v/>
      </c>
      <c r="P97" t="str">
        <f>IF(销售录入!A87="","",销售录入!N87)</f>
        <v/>
      </c>
      <c r="Q97" t="str">
        <f>IF(销售录入!A87="","",销售录入!O87)</f>
        <v/>
      </c>
    </row>
    <row r="98" spans="1:17">
      <c r="A98" t="str">
        <f>IF(销售录入!A88="","","销售")</f>
        <v/>
      </c>
      <c r="B98" s="5" t="str">
        <f>IF(销售录入!A88="","",销售录入!A88)</f>
        <v/>
      </c>
      <c r="C98" t="str">
        <f>IF(销售录入!A88="","",销售录入!C88)</f>
        <v/>
      </c>
      <c r="D98" t="str">
        <f>IF(销售录入!A88="","",销售录入!D88)</f>
        <v/>
      </c>
      <c r="E98" s="17" t="str">
        <f>IF(销售录入!A88="","",销售录入!I88)</f>
        <v/>
      </c>
      <c r="F98" s="5" t="str">
        <f>IF(销售录入!A88="","",销售录入!L88)</f>
        <v/>
      </c>
      <c r="G98" s="17" t="str">
        <f>IF(C98="","",SUMIFS(资金流水!$J$4:$J$203,资金流水!$F$4:$F$203,C98,资金流水!$D$4:$D$203,"客户回款",资金流水!$A$4:$A$203,"&lt;="&amp;应收跟进!$E$2))</f>
        <v/>
      </c>
      <c r="H98" s="17" t="str">
        <f>IF(C98="","",SUMIFS($E$4:E97,$C$4:C97,C98))</f>
        <v/>
      </c>
      <c r="I98" s="55"/>
      <c r="J98" s="17" t="str">
        <f>IF(C98="","",MIN(MAX(0,E98-N(I98)),MAX(0,G98-SUMIFS($I$4:$I$213,$C$4:$C$213,C98)-(SUMIFS($E$4:E97,$C$4:C97,C98)-SUMIFS($I$4:I97,$C$4:C97,C98)))))</f>
        <v/>
      </c>
      <c r="K98" s="17" t="str">
        <f t="shared" si="6"/>
        <v/>
      </c>
      <c r="L98" s="17" t="str">
        <f t="shared" si="7"/>
        <v/>
      </c>
      <c r="M98" s="59" t="str">
        <f>IF(C98="","",IF(OR(L98&lt;=0,F98=""),0,MAX(0,应收跟进!$E$2-F98)))</f>
        <v/>
      </c>
      <c r="N98" t="str">
        <f>IF(C98="","",IF(L98&lt;=0,"已结清",IF(F98&gt;应收跟进!$E$2,"未到期",IF(M98&lt;=30,"逾期1-30天",IF(M98&lt;=60,"逾期31-60天",IF(M98&lt;=90,"逾期61-90天","逾期90天以上"))))))</f>
        <v/>
      </c>
      <c r="O98" t="str">
        <f t="shared" si="8"/>
        <v/>
      </c>
      <c r="P98" t="str">
        <f>IF(销售录入!A88="","",销售录入!N88)</f>
        <v/>
      </c>
      <c r="Q98" t="str">
        <f>IF(销售录入!A88="","",销售录入!O88)</f>
        <v/>
      </c>
    </row>
    <row r="99" spans="1:17">
      <c r="A99" t="str">
        <f>IF(销售录入!A89="","","销售")</f>
        <v/>
      </c>
      <c r="B99" s="5" t="str">
        <f>IF(销售录入!A89="","",销售录入!A89)</f>
        <v/>
      </c>
      <c r="C99" t="str">
        <f>IF(销售录入!A89="","",销售录入!C89)</f>
        <v/>
      </c>
      <c r="D99" t="str">
        <f>IF(销售录入!A89="","",销售录入!D89)</f>
        <v/>
      </c>
      <c r="E99" s="17" t="str">
        <f>IF(销售录入!A89="","",销售录入!I89)</f>
        <v/>
      </c>
      <c r="F99" s="5" t="str">
        <f>IF(销售录入!A89="","",销售录入!L89)</f>
        <v/>
      </c>
      <c r="G99" s="17" t="str">
        <f>IF(C99="","",SUMIFS(资金流水!$J$4:$J$203,资金流水!$F$4:$F$203,C99,资金流水!$D$4:$D$203,"客户回款",资金流水!$A$4:$A$203,"&lt;="&amp;应收跟进!$E$2))</f>
        <v/>
      </c>
      <c r="H99" s="17" t="str">
        <f>IF(C99="","",SUMIFS($E$4:E98,$C$4:C98,C99))</f>
        <v/>
      </c>
      <c r="I99" s="55"/>
      <c r="J99" s="17" t="str">
        <f>IF(C99="","",MIN(MAX(0,E99-N(I99)),MAX(0,G99-SUMIFS($I$4:$I$213,$C$4:$C$213,C99)-(SUMIFS($E$4:E98,$C$4:C98,C99)-SUMIFS($I$4:I98,$C$4:C98,C99)))))</f>
        <v/>
      </c>
      <c r="K99" s="17" t="str">
        <f t="shared" si="6"/>
        <v/>
      </c>
      <c r="L99" s="17" t="str">
        <f t="shared" si="7"/>
        <v/>
      </c>
      <c r="M99" s="59" t="str">
        <f>IF(C99="","",IF(OR(L99&lt;=0,F99=""),0,MAX(0,应收跟进!$E$2-F99)))</f>
        <v/>
      </c>
      <c r="N99" t="str">
        <f>IF(C99="","",IF(L99&lt;=0,"已结清",IF(F99&gt;应收跟进!$E$2,"未到期",IF(M99&lt;=30,"逾期1-30天",IF(M99&lt;=60,"逾期31-60天",IF(M99&lt;=90,"逾期61-90天","逾期90天以上"))))))</f>
        <v/>
      </c>
      <c r="O99" t="str">
        <f t="shared" si="8"/>
        <v/>
      </c>
      <c r="P99" t="str">
        <f>IF(销售录入!A89="","",销售录入!N89)</f>
        <v/>
      </c>
      <c r="Q99" t="str">
        <f>IF(销售录入!A89="","",销售录入!O89)</f>
        <v/>
      </c>
    </row>
    <row r="100" spans="1:17">
      <c r="A100" t="str">
        <f>IF(销售录入!A90="","","销售")</f>
        <v/>
      </c>
      <c r="B100" s="5" t="str">
        <f>IF(销售录入!A90="","",销售录入!A90)</f>
        <v/>
      </c>
      <c r="C100" t="str">
        <f>IF(销售录入!A90="","",销售录入!C90)</f>
        <v/>
      </c>
      <c r="D100" t="str">
        <f>IF(销售录入!A90="","",销售录入!D90)</f>
        <v/>
      </c>
      <c r="E100" s="17" t="str">
        <f>IF(销售录入!A90="","",销售录入!I90)</f>
        <v/>
      </c>
      <c r="F100" s="5" t="str">
        <f>IF(销售录入!A90="","",销售录入!L90)</f>
        <v/>
      </c>
      <c r="G100" s="17" t="str">
        <f>IF(C100="","",SUMIFS(资金流水!$J$4:$J$203,资金流水!$F$4:$F$203,C100,资金流水!$D$4:$D$203,"客户回款",资金流水!$A$4:$A$203,"&lt;="&amp;应收跟进!$E$2))</f>
        <v/>
      </c>
      <c r="H100" s="17" t="str">
        <f>IF(C100="","",SUMIFS($E$4:E99,$C$4:C99,C100))</f>
        <v/>
      </c>
      <c r="I100" s="55"/>
      <c r="J100" s="17" t="str">
        <f>IF(C100="","",MIN(MAX(0,E100-N(I100)),MAX(0,G100-SUMIFS($I$4:$I$213,$C$4:$C$213,C100)-(SUMIFS($E$4:E99,$C$4:C99,C100)-SUMIFS($I$4:I99,$C$4:C99,C100)))))</f>
        <v/>
      </c>
      <c r="K100" s="17" t="str">
        <f t="shared" si="6"/>
        <v/>
      </c>
      <c r="L100" s="17" t="str">
        <f t="shared" si="7"/>
        <v/>
      </c>
      <c r="M100" s="59" t="str">
        <f>IF(C100="","",IF(OR(L100&lt;=0,F100=""),0,MAX(0,应收跟进!$E$2-F100)))</f>
        <v/>
      </c>
      <c r="N100" t="str">
        <f>IF(C100="","",IF(L100&lt;=0,"已结清",IF(F100&gt;应收跟进!$E$2,"未到期",IF(M100&lt;=30,"逾期1-30天",IF(M100&lt;=60,"逾期31-60天",IF(M100&lt;=90,"逾期61-90天","逾期90天以上"))))))</f>
        <v/>
      </c>
      <c r="O100" t="str">
        <f t="shared" si="8"/>
        <v/>
      </c>
      <c r="P100" t="str">
        <f>IF(销售录入!A90="","",销售录入!N90)</f>
        <v/>
      </c>
      <c r="Q100" t="str">
        <f>IF(销售录入!A90="","",销售录入!O90)</f>
        <v/>
      </c>
    </row>
    <row r="101" spans="1:17">
      <c r="A101" t="str">
        <f>IF(销售录入!A91="","","销售")</f>
        <v/>
      </c>
      <c r="B101" s="5" t="str">
        <f>IF(销售录入!A91="","",销售录入!A91)</f>
        <v/>
      </c>
      <c r="C101" t="str">
        <f>IF(销售录入!A91="","",销售录入!C91)</f>
        <v/>
      </c>
      <c r="D101" t="str">
        <f>IF(销售录入!A91="","",销售录入!D91)</f>
        <v/>
      </c>
      <c r="E101" s="17" t="str">
        <f>IF(销售录入!A91="","",销售录入!I91)</f>
        <v/>
      </c>
      <c r="F101" s="5" t="str">
        <f>IF(销售录入!A91="","",销售录入!L91)</f>
        <v/>
      </c>
      <c r="G101" s="17" t="str">
        <f>IF(C101="","",SUMIFS(资金流水!$J$4:$J$203,资金流水!$F$4:$F$203,C101,资金流水!$D$4:$D$203,"客户回款",资金流水!$A$4:$A$203,"&lt;="&amp;应收跟进!$E$2))</f>
        <v/>
      </c>
      <c r="H101" s="17" t="str">
        <f>IF(C101="","",SUMIFS($E$4:E100,$C$4:C100,C101))</f>
        <v/>
      </c>
      <c r="I101" s="55"/>
      <c r="J101" s="17" t="str">
        <f>IF(C101="","",MIN(MAX(0,E101-N(I101)),MAX(0,G101-SUMIFS($I$4:$I$213,$C$4:$C$213,C101)-(SUMIFS($E$4:E100,$C$4:C100,C101)-SUMIFS($I$4:I100,$C$4:C100,C101)))))</f>
        <v/>
      </c>
      <c r="K101" s="17" t="str">
        <f t="shared" si="6"/>
        <v/>
      </c>
      <c r="L101" s="17" t="str">
        <f t="shared" si="7"/>
        <v/>
      </c>
      <c r="M101" s="59" t="str">
        <f>IF(C101="","",IF(OR(L101&lt;=0,F101=""),0,MAX(0,应收跟进!$E$2-F101)))</f>
        <v/>
      </c>
      <c r="N101" t="str">
        <f>IF(C101="","",IF(L101&lt;=0,"已结清",IF(F101&gt;应收跟进!$E$2,"未到期",IF(M101&lt;=30,"逾期1-30天",IF(M101&lt;=60,"逾期31-60天",IF(M101&lt;=90,"逾期61-90天","逾期90天以上"))))))</f>
        <v/>
      </c>
      <c r="O101" t="str">
        <f t="shared" si="8"/>
        <v/>
      </c>
      <c r="P101" t="str">
        <f>IF(销售录入!A91="","",销售录入!N91)</f>
        <v/>
      </c>
      <c r="Q101" t="str">
        <f>IF(销售录入!A91="","",销售录入!O91)</f>
        <v/>
      </c>
    </row>
    <row r="102" spans="1:17">
      <c r="A102" t="str">
        <f>IF(销售录入!A92="","","销售")</f>
        <v/>
      </c>
      <c r="B102" s="5" t="str">
        <f>IF(销售录入!A92="","",销售录入!A92)</f>
        <v/>
      </c>
      <c r="C102" t="str">
        <f>IF(销售录入!A92="","",销售录入!C92)</f>
        <v/>
      </c>
      <c r="D102" t="str">
        <f>IF(销售录入!A92="","",销售录入!D92)</f>
        <v/>
      </c>
      <c r="E102" s="17" t="str">
        <f>IF(销售录入!A92="","",销售录入!I92)</f>
        <v/>
      </c>
      <c r="F102" s="5" t="str">
        <f>IF(销售录入!A92="","",销售录入!L92)</f>
        <v/>
      </c>
      <c r="G102" s="17" t="str">
        <f>IF(C102="","",SUMIFS(资金流水!$J$4:$J$203,资金流水!$F$4:$F$203,C102,资金流水!$D$4:$D$203,"客户回款",资金流水!$A$4:$A$203,"&lt;="&amp;应收跟进!$E$2))</f>
        <v/>
      </c>
      <c r="H102" s="17" t="str">
        <f>IF(C102="","",SUMIFS($E$4:E101,$C$4:C101,C102))</f>
        <v/>
      </c>
      <c r="I102" s="55"/>
      <c r="J102" s="17" t="str">
        <f>IF(C102="","",MIN(MAX(0,E102-N(I102)),MAX(0,G102-SUMIFS($I$4:$I$213,$C$4:$C$213,C102)-(SUMIFS($E$4:E101,$C$4:C101,C102)-SUMIFS($I$4:I101,$C$4:C101,C102)))))</f>
        <v/>
      </c>
      <c r="K102" s="17" t="str">
        <f t="shared" si="6"/>
        <v/>
      </c>
      <c r="L102" s="17" t="str">
        <f t="shared" si="7"/>
        <v/>
      </c>
      <c r="M102" s="59" t="str">
        <f>IF(C102="","",IF(OR(L102&lt;=0,F102=""),0,MAX(0,应收跟进!$E$2-F102)))</f>
        <v/>
      </c>
      <c r="N102" t="str">
        <f>IF(C102="","",IF(L102&lt;=0,"已结清",IF(F102&gt;应收跟进!$E$2,"未到期",IF(M102&lt;=30,"逾期1-30天",IF(M102&lt;=60,"逾期31-60天",IF(M102&lt;=90,"逾期61-90天","逾期90天以上"))))))</f>
        <v/>
      </c>
      <c r="O102" t="str">
        <f t="shared" si="8"/>
        <v/>
      </c>
      <c r="P102" t="str">
        <f>IF(销售录入!A92="","",销售录入!N92)</f>
        <v/>
      </c>
      <c r="Q102" t="str">
        <f>IF(销售录入!A92="","",销售录入!O92)</f>
        <v/>
      </c>
    </row>
    <row r="103" spans="1:17">
      <c r="A103" t="str">
        <f>IF(销售录入!A93="","","销售")</f>
        <v/>
      </c>
      <c r="B103" s="5" t="str">
        <f>IF(销售录入!A93="","",销售录入!A93)</f>
        <v/>
      </c>
      <c r="C103" t="str">
        <f>IF(销售录入!A93="","",销售录入!C93)</f>
        <v/>
      </c>
      <c r="D103" t="str">
        <f>IF(销售录入!A93="","",销售录入!D93)</f>
        <v/>
      </c>
      <c r="E103" s="17" t="str">
        <f>IF(销售录入!A93="","",销售录入!I93)</f>
        <v/>
      </c>
      <c r="F103" s="5" t="str">
        <f>IF(销售录入!A93="","",销售录入!L93)</f>
        <v/>
      </c>
      <c r="G103" s="17" t="str">
        <f>IF(C103="","",SUMIFS(资金流水!$J$4:$J$203,资金流水!$F$4:$F$203,C103,资金流水!$D$4:$D$203,"客户回款",资金流水!$A$4:$A$203,"&lt;="&amp;应收跟进!$E$2))</f>
        <v/>
      </c>
      <c r="H103" s="17" t="str">
        <f>IF(C103="","",SUMIFS($E$4:E102,$C$4:C102,C103))</f>
        <v/>
      </c>
      <c r="I103" s="55"/>
      <c r="J103" s="17" t="str">
        <f>IF(C103="","",MIN(MAX(0,E103-N(I103)),MAX(0,G103-SUMIFS($I$4:$I$213,$C$4:$C$213,C103)-(SUMIFS($E$4:E102,$C$4:C102,C103)-SUMIFS($I$4:I102,$C$4:C102,C103)))))</f>
        <v/>
      </c>
      <c r="K103" s="17" t="str">
        <f t="shared" si="6"/>
        <v/>
      </c>
      <c r="L103" s="17" t="str">
        <f t="shared" si="7"/>
        <v/>
      </c>
      <c r="M103" s="59" t="str">
        <f>IF(C103="","",IF(OR(L103&lt;=0,F103=""),0,MAX(0,应收跟进!$E$2-F103)))</f>
        <v/>
      </c>
      <c r="N103" t="str">
        <f>IF(C103="","",IF(L103&lt;=0,"已结清",IF(F103&gt;应收跟进!$E$2,"未到期",IF(M103&lt;=30,"逾期1-30天",IF(M103&lt;=60,"逾期31-60天",IF(M103&lt;=90,"逾期61-90天","逾期90天以上"))))))</f>
        <v/>
      </c>
      <c r="O103" t="str">
        <f t="shared" si="8"/>
        <v/>
      </c>
      <c r="P103" t="str">
        <f>IF(销售录入!A93="","",销售录入!N93)</f>
        <v/>
      </c>
      <c r="Q103" t="str">
        <f>IF(销售录入!A93="","",销售录入!O93)</f>
        <v/>
      </c>
    </row>
    <row r="104" spans="1:17">
      <c r="A104" t="str">
        <f>IF(销售录入!A94="","","销售")</f>
        <v/>
      </c>
      <c r="B104" s="5" t="str">
        <f>IF(销售录入!A94="","",销售录入!A94)</f>
        <v/>
      </c>
      <c r="C104" t="str">
        <f>IF(销售录入!A94="","",销售录入!C94)</f>
        <v/>
      </c>
      <c r="D104" t="str">
        <f>IF(销售录入!A94="","",销售录入!D94)</f>
        <v/>
      </c>
      <c r="E104" s="17" t="str">
        <f>IF(销售录入!A94="","",销售录入!I94)</f>
        <v/>
      </c>
      <c r="F104" s="5" t="str">
        <f>IF(销售录入!A94="","",销售录入!L94)</f>
        <v/>
      </c>
      <c r="G104" s="17" t="str">
        <f>IF(C104="","",SUMIFS(资金流水!$J$4:$J$203,资金流水!$F$4:$F$203,C104,资金流水!$D$4:$D$203,"客户回款",资金流水!$A$4:$A$203,"&lt;="&amp;应收跟进!$E$2))</f>
        <v/>
      </c>
      <c r="H104" s="17" t="str">
        <f>IF(C104="","",SUMIFS($E$4:E103,$C$4:C103,C104))</f>
        <v/>
      </c>
      <c r="I104" s="55"/>
      <c r="J104" s="17" t="str">
        <f>IF(C104="","",MIN(MAX(0,E104-N(I104)),MAX(0,G104-SUMIFS($I$4:$I$213,$C$4:$C$213,C104)-(SUMIFS($E$4:E103,$C$4:C103,C104)-SUMIFS($I$4:I103,$C$4:C103,C104)))))</f>
        <v/>
      </c>
      <c r="K104" s="17" t="str">
        <f t="shared" si="6"/>
        <v/>
      </c>
      <c r="L104" s="17" t="str">
        <f t="shared" si="7"/>
        <v/>
      </c>
      <c r="M104" s="59" t="str">
        <f>IF(C104="","",IF(OR(L104&lt;=0,F104=""),0,MAX(0,应收跟进!$E$2-F104)))</f>
        <v/>
      </c>
      <c r="N104" t="str">
        <f>IF(C104="","",IF(L104&lt;=0,"已结清",IF(F104&gt;应收跟进!$E$2,"未到期",IF(M104&lt;=30,"逾期1-30天",IF(M104&lt;=60,"逾期31-60天",IF(M104&lt;=90,"逾期61-90天","逾期90天以上"))))))</f>
        <v/>
      </c>
      <c r="O104" t="str">
        <f t="shared" si="8"/>
        <v/>
      </c>
      <c r="P104" t="str">
        <f>IF(销售录入!A94="","",销售录入!N94)</f>
        <v/>
      </c>
      <c r="Q104" t="str">
        <f>IF(销售录入!A94="","",销售录入!O94)</f>
        <v/>
      </c>
    </row>
    <row r="105" spans="1:17">
      <c r="A105" t="str">
        <f>IF(销售录入!A95="","","销售")</f>
        <v/>
      </c>
      <c r="B105" s="5" t="str">
        <f>IF(销售录入!A95="","",销售录入!A95)</f>
        <v/>
      </c>
      <c r="C105" t="str">
        <f>IF(销售录入!A95="","",销售录入!C95)</f>
        <v/>
      </c>
      <c r="D105" t="str">
        <f>IF(销售录入!A95="","",销售录入!D95)</f>
        <v/>
      </c>
      <c r="E105" s="17" t="str">
        <f>IF(销售录入!A95="","",销售录入!I95)</f>
        <v/>
      </c>
      <c r="F105" s="5" t="str">
        <f>IF(销售录入!A95="","",销售录入!L95)</f>
        <v/>
      </c>
      <c r="G105" s="17" t="str">
        <f>IF(C105="","",SUMIFS(资金流水!$J$4:$J$203,资金流水!$F$4:$F$203,C105,资金流水!$D$4:$D$203,"客户回款",资金流水!$A$4:$A$203,"&lt;="&amp;应收跟进!$E$2))</f>
        <v/>
      </c>
      <c r="H105" s="17" t="str">
        <f>IF(C105="","",SUMIFS($E$4:E104,$C$4:C104,C105))</f>
        <v/>
      </c>
      <c r="I105" s="55"/>
      <c r="J105" s="17" t="str">
        <f>IF(C105="","",MIN(MAX(0,E105-N(I105)),MAX(0,G105-SUMIFS($I$4:$I$213,$C$4:$C$213,C105)-(SUMIFS($E$4:E104,$C$4:C104,C105)-SUMIFS($I$4:I104,$C$4:C104,C105)))))</f>
        <v/>
      </c>
      <c r="K105" s="17" t="str">
        <f t="shared" si="6"/>
        <v/>
      </c>
      <c r="L105" s="17" t="str">
        <f t="shared" si="7"/>
        <v/>
      </c>
      <c r="M105" s="59" t="str">
        <f>IF(C105="","",IF(OR(L105&lt;=0,F105=""),0,MAX(0,应收跟进!$E$2-F105)))</f>
        <v/>
      </c>
      <c r="N105" t="str">
        <f>IF(C105="","",IF(L105&lt;=0,"已结清",IF(F105&gt;应收跟进!$E$2,"未到期",IF(M105&lt;=30,"逾期1-30天",IF(M105&lt;=60,"逾期31-60天",IF(M105&lt;=90,"逾期61-90天","逾期90天以上"))))))</f>
        <v/>
      </c>
      <c r="O105" t="str">
        <f t="shared" si="8"/>
        <v/>
      </c>
      <c r="P105" t="str">
        <f>IF(销售录入!A95="","",销售录入!N95)</f>
        <v/>
      </c>
      <c r="Q105" t="str">
        <f>IF(销售录入!A95="","",销售录入!O95)</f>
        <v/>
      </c>
    </row>
    <row r="106" spans="1:17">
      <c r="A106" t="str">
        <f>IF(销售录入!A96="","","销售")</f>
        <v/>
      </c>
      <c r="B106" s="5" t="str">
        <f>IF(销售录入!A96="","",销售录入!A96)</f>
        <v/>
      </c>
      <c r="C106" t="str">
        <f>IF(销售录入!A96="","",销售录入!C96)</f>
        <v/>
      </c>
      <c r="D106" t="str">
        <f>IF(销售录入!A96="","",销售录入!D96)</f>
        <v/>
      </c>
      <c r="E106" s="17" t="str">
        <f>IF(销售录入!A96="","",销售录入!I96)</f>
        <v/>
      </c>
      <c r="F106" s="5" t="str">
        <f>IF(销售录入!A96="","",销售录入!L96)</f>
        <v/>
      </c>
      <c r="G106" s="17" t="str">
        <f>IF(C106="","",SUMIFS(资金流水!$J$4:$J$203,资金流水!$F$4:$F$203,C106,资金流水!$D$4:$D$203,"客户回款",资金流水!$A$4:$A$203,"&lt;="&amp;应收跟进!$E$2))</f>
        <v/>
      </c>
      <c r="H106" s="17" t="str">
        <f>IF(C106="","",SUMIFS($E$4:E105,$C$4:C105,C106))</f>
        <v/>
      </c>
      <c r="I106" s="55"/>
      <c r="J106" s="17" t="str">
        <f>IF(C106="","",MIN(MAX(0,E106-N(I106)),MAX(0,G106-SUMIFS($I$4:$I$213,$C$4:$C$213,C106)-(SUMIFS($E$4:E105,$C$4:C105,C106)-SUMIFS($I$4:I105,$C$4:C105,C106)))))</f>
        <v/>
      </c>
      <c r="K106" s="17" t="str">
        <f t="shared" si="6"/>
        <v/>
      </c>
      <c r="L106" s="17" t="str">
        <f t="shared" si="7"/>
        <v/>
      </c>
      <c r="M106" s="59" t="str">
        <f>IF(C106="","",IF(OR(L106&lt;=0,F106=""),0,MAX(0,应收跟进!$E$2-F106)))</f>
        <v/>
      </c>
      <c r="N106" t="str">
        <f>IF(C106="","",IF(L106&lt;=0,"已结清",IF(F106&gt;应收跟进!$E$2,"未到期",IF(M106&lt;=30,"逾期1-30天",IF(M106&lt;=60,"逾期31-60天",IF(M106&lt;=90,"逾期61-90天","逾期90天以上"))))))</f>
        <v/>
      </c>
      <c r="O106" t="str">
        <f t="shared" si="8"/>
        <v/>
      </c>
      <c r="P106" t="str">
        <f>IF(销售录入!A96="","",销售录入!N96)</f>
        <v/>
      </c>
      <c r="Q106" t="str">
        <f>IF(销售录入!A96="","",销售录入!O96)</f>
        <v/>
      </c>
    </row>
    <row r="107" spans="1:17">
      <c r="A107" t="str">
        <f>IF(销售录入!A97="","","销售")</f>
        <v/>
      </c>
      <c r="B107" s="5" t="str">
        <f>IF(销售录入!A97="","",销售录入!A97)</f>
        <v/>
      </c>
      <c r="C107" t="str">
        <f>IF(销售录入!A97="","",销售录入!C97)</f>
        <v/>
      </c>
      <c r="D107" t="str">
        <f>IF(销售录入!A97="","",销售录入!D97)</f>
        <v/>
      </c>
      <c r="E107" s="17" t="str">
        <f>IF(销售录入!A97="","",销售录入!I97)</f>
        <v/>
      </c>
      <c r="F107" s="5" t="str">
        <f>IF(销售录入!A97="","",销售录入!L97)</f>
        <v/>
      </c>
      <c r="G107" s="17" t="str">
        <f>IF(C107="","",SUMIFS(资金流水!$J$4:$J$203,资金流水!$F$4:$F$203,C107,资金流水!$D$4:$D$203,"客户回款",资金流水!$A$4:$A$203,"&lt;="&amp;应收跟进!$E$2))</f>
        <v/>
      </c>
      <c r="H107" s="17" t="str">
        <f>IF(C107="","",SUMIFS($E$4:E106,$C$4:C106,C107))</f>
        <v/>
      </c>
      <c r="I107" s="55"/>
      <c r="J107" s="17" t="str">
        <f>IF(C107="","",MIN(MAX(0,E107-N(I107)),MAX(0,G107-SUMIFS($I$4:$I$213,$C$4:$C$213,C107)-(SUMIFS($E$4:E106,$C$4:C106,C107)-SUMIFS($I$4:I106,$C$4:C106,C107)))))</f>
        <v/>
      </c>
      <c r="K107" s="17" t="str">
        <f t="shared" si="6"/>
        <v/>
      </c>
      <c r="L107" s="17" t="str">
        <f t="shared" si="7"/>
        <v/>
      </c>
      <c r="M107" s="59" t="str">
        <f>IF(C107="","",IF(OR(L107&lt;=0,F107=""),0,MAX(0,应收跟进!$E$2-F107)))</f>
        <v/>
      </c>
      <c r="N107" t="str">
        <f>IF(C107="","",IF(L107&lt;=0,"已结清",IF(F107&gt;应收跟进!$E$2,"未到期",IF(M107&lt;=30,"逾期1-30天",IF(M107&lt;=60,"逾期31-60天",IF(M107&lt;=90,"逾期61-90天","逾期90天以上"))))))</f>
        <v/>
      </c>
      <c r="O107" t="str">
        <f t="shared" si="8"/>
        <v/>
      </c>
      <c r="P107" t="str">
        <f>IF(销售录入!A97="","",销售录入!N97)</f>
        <v/>
      </c>
      <c r="Q107" t="str">
        <f>IF(销售录入!A97="","",销售录入!O97)</f>
        <v/>
      </c>
    </row>
    <row r="108" spans="1:17">
      <c r="A108" t="str">
        <f>IF(销售录入!A98="","","销售")</f>
        <v/>
      </c>
      <c r="B108" s="5" t="str">
        <f>IF(销售录入!A98="","",销售录入!A98)</f>
        <v/>
      </c>
      <c r="C108" t="str">
        <f>IF(销售录入!A98="","",销售录入!C98)</f>
        <v/>
      </c>
      <c r="D108" t="str">
        <f>IF(销售录入!A98="","",销售录入!D98)</f>
        <v/>
      </c>
      <c r="E108" s="17" t="str">
        <f>IF(销售录入!A98="","",销售录入!I98)</f>
        <v/>
      </c>
      <c r="F108" s="5" t="str">
        <f>IF(销售录入!A98="","",销售录入!L98)</f>
        <v/>
      </c>
      <c r="G108" s="17" t="str">
        <f>IF(C108="","",SUMIFS(资金流水!$J$4:$J$203,资金流水!$F$4:$F$203,C108,资金流水!$D$4:$D$203,"客户回款",资金流水!$A$4:$A$203,"&lt;="&amp;应收跟进!$E$2))</f>
        <v/>
      </c>
      <c r="H108" s="17" t="str">
        <f>IF(C108="","",SUMIFS($E$4:E107,$C$4:C107,C108))</f>
        <v/>
      </c>
      <c r="I108" s="55"/>
      <c r="J108" s="17" t="str">
        <f>IF(C108="","",MIN(MAX(0,E108-N(I108)),MAX(0,G108-SUMIFS($I$4:$I$213,$C$4:$C$213,C108)-(SUMIFS($E$4:E107,$C$4:C107,C108)-SUMIFS($I$4:I107,$C$4:C107,C108)))))</f>
        <v/>
      </c>
      <c r="K108" s="17" t="str">
        <f t="shared" si="6"/>
        <v/>
      </c>
      <c r="L108" s="17" t="str">
        <f t="shared" si="7"/>
        <v/>
      </c>
      <c r="M108" s="59" t="str">
        <f>IF(C108="","",IF(OR(L108&lt;=0,F108=""),0,MAX(0,应收跟进!$E$2-F108)))</f>
        <v/>
      </c>
      <c r="N108" t="str">
        <f>IF(C108="","",IF(L108&lt;=0,"已结清",IF(F108&gt;应收跟进!$E$2,"未到期",IF(M108&lt;=30,"逾期1-30天",IF(M108&lt;=60,"逾期31-60天",IF(M108&lt;=90,"逾期61-90天","逾期90天以上"))))))</f>
        <v/>
      </c>
      <c r="O108" t="str">
        <f t="shared" si="8"/>
        <v/>
      </c>
      <c r="P108" t="str">
        <f>IF(销售录入!A98="","",销售录入!N98)</f>
        <v/>
      </c>
      <c r="Q108" t="str">
        <f>IF(销售录入!A98="","",销售录入!O98)</f>
        <v/>
      </c>
    </row>
    <row r="109" spans="1:17">
      <c r="A109" t="str">
        <f>IF(销售录入!A99="","","销售")</f>
        <v/>
      </c>
      <c r="B109" s="5" t="str">
        <f>IF(销售录入!A99="","",销售录入!A99)</f>
        <v/>
      </c>
      <c r="C109" t="str">
        <f>IF(销售录入!A99="","",销售录入!C99)</f>
        <v/>
      </c>
      <c r="D109" t="str">
        <f>IF(销售录入!A99="","",销售录入!D99)</f>
        <v/>
      </c>
      <c r="E109" s="17" t="str">
        <f>IF(销售录入!A99="","",销售录入!I99)</f>
        <v/>
      </c>
      <c r="F109" s="5" t="str">
        <f>IF(销售录入!A99="","",销售录入!L99)</f>
        <v/>
      </c>
      <c r="G109" s="17" t="str">
        <f>IF(C109="","",SUMIFS(资金流水!$J$4:$J$203,资金流水!$F$4:$F$203,C109,资金流水!$D$4:$D$203,"客户回款",资金流水!$A$4:$A$203,"&lt;="&amp;应收跟进!$E$2))</f>
        <v/>
      </c>
      <c r="H109" s="17" t="str">
        <f>IF(C109="","",SUMIFS($E$4:E108,$C$4:C108,C109))</f>
        <v/>
      </c>
      <c r="I109" s="55"/>
      <c r="J109" s="17" t="str">
        <f>IF(C109="","",MIN(MAX(0,E109-N(I109)),MAX(0,G109-SUMIFS($I$4:$I$213,$C$4:$C$213,C109)-(SUMIFS($E$4:E108,$C$4:C108,C109)-SUMIFS($I$4:I108,$C$4:C108,C109)))))</f>
        <v/>
      </c>
      <c r="K109" s="17" t="str">
        <f t="shared" si="6"/>
        <v/>
      </c>
      <c r="L109" s="17" t="str">
        <f t="shared" si="7"/>
        <v/>
      </c>
      <c r="M109" s="59" t="str">
        <f>IF(C109="","",IF(OR(L109&lt;=0,F109=""),0,MAX(0,应收跟进!$E$2-F109)))</f>
        <v/>
      </c>
      <c r="N109" t="str">
        <f>IF(C109="","",IF(L109&lt;=0,"已结清",IF(F109&gt;应收跟进!$E$2,"未到期",IF(M109&lt;=30,"逾期1-30天",IF(M109&lt;=60,"逾期31-60天",IF(M109&lt;=90,"逾期61-90天","逾期90天以上"))))))</f>
        <v/>
      </c>
      <c r="O109" t="str">
        <f t="shared" si="8"/>
        <v/>
      </c>
      <c r="P109" t="str">
        <f>IF(销售录入!A99="","",销售录入!N99)</f>
        <v/>
      </c>
      <c r="Q109" t="str">
        <f>IF(销售录入!A99="","",销售录入!O99)</f>
        <v/>
      </c>
    </row>
    <row r="110" spans="1:17">
      <c r="A110" t="str">
        <f>IF(销售录入!A100="","","销售")</f>
        <v/>
      </c>
      <c r="B110" s="5" t="str">
        <f>IF(销售录入!A100="","",销售录入!A100)</f>
        <v/>
      </c>
      <c r="C110" t="str">
        <f>IF(销售录入!A100="","",销售录入!C100)</f>
        <v/>
      </c>
      <c r="D110" t="str">
        <f>IF(销售录入!A100="","",销售录入!D100)</f>
        <v/>
      </c>
      <c r="E110" s="17" t="str">
        <f>IF(销售录入!A100="","",销售录入!I100)</f>
        <v/>
      </c>
      <c r="F110" s="5" t="str">
        <f>IF(销售录入!A100="","",销售录入!L100)</f>
        <v/>
      </c>
      <c r="G110" s="17" t="str">
        <f>IF(C110="","",SUMIFS(资金流水!$J$4:$J$203,资金流水!$F$4:$F$203,C110,资金流水!$D$4:$D$203,"客户回款",资金流水!$A$4:$A$203,"&lt;="&amp;应收跟进!$E$2))</f>
        <v/>
      </c>
      <c r="H110" s="17" t="str">
        <f>IF(C110="","",SUMIFS($E$4:E109,$C$4:C109,C110))</f>
        <v/>
      </c>
      <c r="I110" s="55"/>
      <c r="J110" s="17" t="str">
        <f>IF(C110="","",MIN(MAX(0,E110-N(I110)),MAX(0,G110-SUMIFS($I$4:$I$213,$C$4:$C$213,C110)-(SUMIFS($E$4:E109,$C$4:C109,C110)-SUMIFS($I$4:I109,$C$4:C109,C110)))))</f>
        <v/>
      </c>
      <c r="K110" s="17" t="str">
        <f t="shared" si="6"/>
        <v/>
      </c>
      <c r="L110" s="17" t="str">
        <f t="shared" si="7"/>
        <v/>
      </c>
      <c r="M110" s="59" t="str">
        <f>IF(C110="","",IF(OR(L110&lt;=0,F110=""),0,MAX(0,应收跟进!$E$2-F110)))</f>
        <v/>
      </c>
      <c r="N110" t="str">
        <f>IF(C110="","",IF(L110&lt;=0,"已结清",IF(F110&gt;应收跟进!$E$2,"未到期",IF(M110&lt;=30,"逾期1-30天",IF(M110&lt;=60,"逾期31-60天",IF(M110&lt;=90,"逾期61-90天","逾期90天以上"))))))</f>
        <v/>
      </c>
      <c r="O110" t="str">
        <f t="shared" si="8"/>
        <v/>
      </c>
      <c r="P110" t="str">
        <f>IF(销售录入!A100="","",销售录入!N100)</f>
        <v/>
      </c>
      <c r="Q110" t="str">
        <f>IF(销售录入!A100="","",销售录入!O100)</f>
        <v/>
      </c>
    </row>
    <row r="111" spans="1:17">
      <c r="A111" t="str">
        <f>IF(销售录入!A101="","","销售")</f>
        <v/>
      </c>
      <c r="B111" s="5" t="str">
        <f>IF(销售录入!A101="","",销售录入!A101)</f>
        <v/>
      </c>
      <c r="C111" t="str">
        <f>IF(销售录入!A101="","",销售录入!C101)</f>
        <v/>
      </c>
      <c r="D111" t="str">
        <f>IF(销售录入!A101="","",销售录入!D101)</f>
        <v/>
      </c>
      <c r="E111" s="17" t="str">
        <f>IF(销售录入!A101="","",销售录入!I101)</f>
        <v/>
      </c>
      <c r="F111" s="5" t="str">
        <f>IF(销售录入!A101="","",销售录入!L101)</f>
        <v/>
      </c>
      <c r="G111" s="17" t="str">
        <f>IF(C111="","",SUMIFS(资金流水!$J$4:$J$203,资金流水!$F$4:$F$203,C111,资金流水!$D$4:$D$203,"客户回款",资金流水!$A$4:$A$203,"&lt;="&amp;应收跟进!$E$2))</f>
        <v/>
      </c>
      <c r="H111" s="17" t="str">
        <f>IF(C111="","",SUMIFS($E$4:E110,$C$4:C110,C111))</f>
        <v/>
      </c>
      <c r="I111" s="55"/>
      <c r="J111" s="17" t="str">
        <f>IF(C111="","",MIN(MAX(0,E111-N(I111)),MAX(0,G111-SUMIFS($I$4:$I$213,$C$4:$C$213,C111)-(SUMIFS($E$4:E110,$C$4:C110,C111)-SUMIFS($I$4:I110,$C$4:C110,C111)))))</f>
        <v/>
      </c>
      <c r="K111" s="17" t="str">
        <f t="shared" si="6"/>
        <v/>
      </c>
      <c r="L111" s="17" t="str">
        <f t="shared" si="7"/>
        <v/>
      </c>
      <c r="M111" s="59" t="str">
        <f>IF(C111="","",IF(OR(L111&lt;=0,F111=""),0,MAX(0,应收跟进!$E$2-F111)))</f>
        <v/>
      </c>
      <c r="N111" t="str">
        <f>IF(C111="","",IF(L111&lt;=0,"已结清",IF(F111&gt;应收跟进!$E$2,"未到期",IF(M111&lt;=30,"逾期1-30天",IF(M111&lt;=60,"逾期31-60天",IF(M111&lt;=90,"逾期61-90天","逾期90天以上"))))))</f>
        <v/>
      </c>
      <c r="O111" t="str">
        <f t="shared" si="8"/>
        <v/>
      </c>
      <c r="P111" t="str">
        <f>IF(销售录入!A101="","",销售录入!N101)</f>
        <v/>
      </c>
      <c r="Q111" t="str">
        <f>IF(销售录入!A101="","",销售录入!O101)</f>
        <v/>
      </c>
    </row>
    <row r="112" spans="1:17">
      <c r="A112" t="str">
        <f>IF(销售录入!A102="","","销售")</f>
        <v/>
      </c>
      <c r="B112" s="5" t="str">
        <f>IF(销售录入!A102="","",销售录入!A102)</f>
        <v/>
      </c>
      <c r="C112" t="str">
        <f>IF(销售录入!A102="","",销售录入!C102)</f>
        <v/>
      </c>
      <c r="D112" t="str">
        <f>IF(销售录入!A102="","",销售录入!D102)</f>
        <v/>
      </c>
      <c r="E112" s="17" t="str">
        <f>IF(销售录入!A102="","",销售录入!I102)</f>
        <v/>
      </c>
      <c r="F112" s="5" t="str">
        <f>IF(销售录入!A102="","",销售录入!L102)</f>
        <v/>
      </c>
      <c r="G112" s="17" t="str">
        <f>IF(C112="","",SUMIFS(资金流水!$J$4:$J$203,资金流水!$F$4:$F$203,C112,资金流水!$D$4:$D$203,"客户回款",资金流水!$A$4:$A$203,"&lt;="&amp;应收跟进!$E$2))</f>
        <v/>
      </c>
      <c r="H112" s="17" t="str">
        <f>IF(C112="","",SUMIFS($E$4:E111,$C$4:C111,C112))</f>
        <v/>
      </c>
      <c r="I112" s="55"/>
      <c r="J112" s="17" t="str">
        <f>IF(C112="","",MIN(MAX(0,E112-N(I112)),MAX(0,G112-SUMIFS($I$4:$I$213,$C$4:$C$213,C112)-(SUMIFS($E$4:E111,$C$4:C111,C112)-SUMIFS($I$4:I111,$C$4:C111,C112)))))</f>
        <v/>
      </c>
      <c r="K112" s="17" t="str">
        <f t="shared" si="6"/>
        <v/>
      </c>
      <c r="L112" s="17" t="str">
        <f t="shared" si="7"/>
        <v/>
      </c>
      <c r="M112" s="59" t="str">
        <f>IF(C112="","",IF(OR(L112&lt;=0,F112=""),0,MAX(0,应收跟进!$E$2-F112)))</f>
        <v/>
      </c>
      <c r="N112" t="str">
        <f>IF(C112="","",IF(L112&lt;=0,"已结清",IF(F112&gt;应收跟进!$E$2,"未到期",IF(M112&lt;=30,"逾期1-30天",IF(M112&lt;=60,"逾期31-60天",IF(M112&lt;=90,"逾期61-90天","逾期90天以上"))))))</f>
        <v/>
      </c>
      <c r="O112" t="str">
        <f t="shared" si="8"/>
        <v/>
      </c>
      <c r="P112" t="str">
        <f>IF(销售录入!A102="","",销售录入!N102)</f>
        <v/>
      </c>
      <c r="Q112" t="str">
        <f>IF(销售录入!A102="","",销售录入!O102)</f>
        <v/>
      </c>
    </row>
    <row r="113" spans="1:17">
      <c r="A113" t="str">
        <f>IF(销售录入!A103="","","销售")</f>
        <v/>
      </c>
      <c r="B113" s="5" t="str">
        <f>IF(销售录入!A103="","",销售录入!A103)</f>
        <v/>
      </c>
      <c r="C113" t="str">
        <f>IF(销售录入!A103="","",销售录入!C103)</f>
        <v/>
      </c>
      <c r="D113" t="str">
        <f>IF(销售录入!A103="","",销售录入!D103)</f>
        <v/>
      </c>
      <c r="E113" s="17" t="str">
        <f>IF(销售录入!A103="","",销售录入!I103)</f>
        <v/>
      </c>
      <c r="F113" s="5" t="str">
        <f>IF(销售录入!A103="","",销售录入!L103)</f>
        <v/>
      </c>
      <c r="G113" s="17" t="str">
        <f>IF(C113="","",SUMIFS(资金流水!$J$4:$J$203,资金流水!$F$4:$F$203,C113,资金流水!$D$4:$D$203,"客户回款",资金流水!$A$4:$A$203,"&lt;="&amp;应收跟进!$E$2))</f>
        <v/>
      </c>
      <c r="H113" s="17" t="str">
        <f>IF(C113="","",SUMIFS($E$4:E112,$C$4:C112,C113))</f>
        <v/>
      </c>
      <c r="I113" s="55"/>
      <c r="J113" s="17" t="str">
        <f>IF(C113="","",MIN(MAX(0,E113-N(I113)),MAX(0,G113-SUMIFS($I$4:$I$213,$C$4:$C$213,C113)-(SUMIFS($E$4:E112,$C$4:C112,C113)-SUMIFS($I$4:I112,$C$4:C112,C113)))))</f>
        <v/>
      </c>
      <c r="K113" s="17" t="str">
        <f t="shared" si="6"/>
        <v/>
      </c>
      <c r="L113" s="17" t="str">
        <f t="shared" si="7"/>
        <v/>
      </c>
      <c r="M113" s="59" t="str">
        <f>IF(C113="","",IF(OR(L113&lt;=0,F113=""),0,MAX(0,应收跟进!$E$2-F113)))</f>
        <v/>
      </c>
      <c r="N113" t="str">
        <f>IF(C113="","",IF(L113&lt;=0,"已结清",IF(F113&gt;应收跟进!$E$2,"未到期",IF(M113&lt;=30,"逾期1-30天",IF(M113&lt;=60,"逾期31-60天",IF(M113&lt;=90,"逾期61-90天","逾期90天以上"))))))</f>
        <v/>
      </c>
      <c r="O113" t="str">
        <f t="shared" si="8"/>
        <v/>
      </c>
      <c r="P113" t="str">
        <f>IF(销售录入!A103="","",销售录入!N103)</f>
        <v/>
      </c>
      <c r="Q113" t="str">
        <f>IF(销售录入!A103="","",销售录入!O103)</f>
        <v/>
      </c>
    </row>
    <row r="114" spans="1:17">
      <c r="A114" t="str">
        <f>IF(销售录入!A104="","","销售")</f>
        <v/>
      </c>
      <c r="B114" t="str">
        <f>IF(销售录入!A104="","",销售录入!A104)</f>
        <v/>
      </c>
      <c r="C114" t="str">
        <f>IF(销售录入!A104="","",销售录入!C104)</f>
        <v/>
      </c>
      <c r="D114" t="str">
        <f>IF(销售录入!A104="","",销售录入!D104)</f>
        <v/>
      </c>
      <c r="E114" t="str">
        <f>IF(销售录入!A104="","",销售录入!I104)</f>
        <v/>
      </c>
      <c r="F114" t="str">
        <f>IF(销售录入!A104="","",销售录入!L104)</f>
        <v/>
      </c>
      <c r="G114" t="str">
        <f>IF(C114="","",SUMIFS(资金流水!$J$4:$J$203,资金流水!$F$4:$F$203,C114,资金流水!$D$4:$D$203,"客户回款",资金流水!$A$4:$A$203,"&lt;="&amp;应收跟进!$E$2))</f>
        <v/>
      </c>
      <c r="H114" t="str">
        <f>IF(C114="","",SUMIFS($E$4:E113,$C$4:C113,C114))</f>
        <v/>
      </c>
      <c r="J114" t="str">
        <f>IF(C114="","",MIN(MAX(0,E114-N(I114)),MAX(0,G114-SUMIFS($I$4:$I$213,$C$4:$C$213,C114)-(SUMIFS($E$4:E113,$C$4:C113,C114)-SUMIFS($I$4:I113,$C$4:C113,C114)))))</f>
        <v/>
      </c>
      <c r="M114" t="str">
        <f>IF(C114="","",IF(OR(L114&lt;=0,F114=""),0,MAX(0,应收跟进!$E$2-F114)))</f>
        <v/>
      </c>
      <c r="N114" t="str">
        <f>IF(C114="","",IF(L114&lt;=0,"已结清",IF(F114&gt;应收跟进!$E$2,"未到期",IF(M114&lt;=30,"逾期1-30天",IF(M114&lt;=60,"逾期31-60天",IF(M114&lt;=90,"逾期61-90天","逾期90天以上"))))))</f>
        <v/>
      </c>
      <c r="P114" t="str">
        <f>IF(销售录入!A104="","",销售录入!N104)</f>
        <v/>
      </c>
      <c r="Q114" t="str">
        <f>IF(销售录入!A104="","",销售录入!O104)</f>
        <v/>
      </c>
    </row>
    <row r="115" spans="1:17">
      <c r="A115" t="str">
        <f>IF(销售录入!A105="","","销售")</f>
        <v/>
      </c>
      <c r="B115" t="str">
        <f>IF(销售录入!A105="","",销售录入!A105)</f>
        <v/>
      </c>
      <c r="C115" t="str">
        <f>IF(销售录入!A105="","",销售录入!C105)</f>
        <v/>
      </c>
      <c r="D115" t="str">
        <f>IF(销售录入!A105="","",销售录入!D105)</f>
        <v/>
      </c>
      <c r="E115" t="str">
        <f>IF(销售录入!A105="","",销售录入!I105)</f>
        <v/>
      </c>
      <c r="F115" t="str">
        <f>IF(销售录入!A105="","",销售录入!L105)</f>
        <v/>
      </c>
      <c r="G115" t="str">
        <f>IF(C115="","",SUMIFS(资金流水!$J$4:$J$203,资金流水!$F$4:$F$203,C115,资金流水!$D$4:$D$203,"客户回款",资金流水!$A$4:$A$203,"&lt;="&amp;应收跟进!$E$2))</f>
        <v/>
      </c>
      <c r="H115" t="str">
        <f>IF(C115="","",SUMIFS($E$4:E114,$C$4:C114,C115))</f>
        <v/>
      </c>
      <c r="J115" t="str">
        <f>IF(C115="","",MIN(MAX(0,E115-N(I115)),MAX(0,G115-SUMIFS($I$4:$I$213,$C$4:$C$213,C115)-(SUMIFS($E$4:E114,$C$4:C114,C115)-SUMIFS($I$4:I114,$C$4:C114,C115)))))</f>
        <v/>
      </c>
      <c r="M115" t="str">
        <f>IF(C115="","",IF(OR(L115&lt;=0,F115=""),0,MAX(0,应收跟进!$E$2-F115)))</f>
        <v/>
      </c>
      <c r="N115" t="str">
        <f>IF(C115="","",IF(L115&lt;=0,"已结清",IF(F115&gt;应收跟进!$E$2,"未到期",IF(M115&lt;=30,"逾期1-30天",IF(M115&lt;=60,"逾期31-60天",IF(M115&lt;=90,"逾期61-90天","逾期90天以上"))))))</f>
        <v/>
      </c>
      <c r="P115" t="str">
        <f>IF(销售录入!A105="","",销售录入!N105)</f>
        <v/>
      </c>
      <c r="Q115" t="str">
        <f>IF(销售录入!A105="","",销售录入!O105)</f>
        <v/>
      </c>
    </row>
    <row r="116" spans="1:17">
      <c r="A116" t="str">
        <f>IF(销售录入!A106="","","销售")</f>
        <v/>
      </c>
      <c r="B116" t="str">
        <f>IF(销售录入!A106="","",销售录入!A106)</f>
        <v/>
      </c>
      <c r="C116" t="str">
        <f>IF(销售录入!A106="","",销售录入!C106)</f>
        <v/>
      </c>
      <c r="D116" t="str">
        <f>IF(销售录入!A106="","",销售录入!D106)</f>
        <v/>
      </c>
      <c r="E116" t="str">
        <f>IF(销售录入!A106="","",销售录入!I106)</f>
        <v/>
      </c>
      <c r="F116" t="str">
        <f>IF(销售录入!A106="","",销售录入!L106)</f>
        <v/>
      </c>
      <c r="G116" t="str">
        <f>IF(C116="","",SUMIFS(资金流水!$J$4:$J$203,资金流水!$F$4:$F$203,C116,资金流水!$D$4:$D$203,"客户回款",资金流水!$A$4:$A$203,"&lt;="&amp;应收跟进!$E$2))</f>
        <v/>
      </c>
      <c r="H116" t="str">
        <f>IF(C116="","",SUMIFS($E$4:E115,$C$4:C115,C116))</f>
        <v/>
      </c>
      <c r="J116" t="str">
        <f>IF(C116="","",MIN(MAX(0,E116-N(I116)),MAX(0,G116-SUMIFS($I$4:$I$213,$C$4:$C$213,C116)-(SUMIFS($E$4:E115,$C$4:C115,C116)-SUMIFS($I$4:I115,$C$4:C115,C116)))))</f>
        <v/>
      </c>
      <c r="M116" t="str">
        <f>IF(C116="","",IF(OR(L116&lt;=0,F116=""),0,MAX(0,应收跟进!$E$2-F116)))</f>
        <v/>
      </c>
      <c r="N116" t="str">
        <f>IF(C116="","",IF(L116&lt;=0,"已结清",IF(F116&gt;应收跟进!$E$2,"未到期",IF(M116&lt;=30,"逾期1-30天",IF(M116&lt;=60,"逾期31-60天",IF(M116&lt;=90,"逾期61-90天","逾期90天以上"))))))</f>
        <v/>
      </c>
      <c r="P116" t="str">
        <f>IF(销售录入!A106="","",销售录入!N106)</f>
        <v/>
      </c>
      <c r="Q116" t="str">
        <f>IF(销售录入!A106="","",销售录入!O106)</f>
        <v/>
      </c>
    </row>
    <row r="117" spans="1:17">
      <c r="A117" t="str">
        <f>IF(销售录入!A107="","","销售")</f>
        <v/>
      </c>
      <c r="B117" t="str">
        <f>IF(销售录入!A107="","",销售录入!A107)</f>
        <v/>
      </c>
      <c r="C117" t="str">
        <f>IF(销售录入!A107="","",销售录入!C107)</f>
        <v/>
      </c>
      <c r="D117" t="str">
        <f>IF(销售录入!A107="","",销售录入!D107)</f>
        <v/>
      </c>
      <c r="E117" t="str">
        <f>IF(销售录入!A107="","",销售录入!I107)</f>
        <v/>
      </c>
      <c r="F117" t="str">
        <f>IF(销售录入!A107="","",销售录入!L107)</f>
        <v/>
      </c>
      <c r="G117" t="str">
        <f>IF(C117="","",SUMIFS(资金流水!$J$4:$J$203,资金流水!$F$4:$F$203,C117,资金流水!$D$4:$D$203,"客户回款",资金流水!$A$4:$A$203,"&lt;="&amp;应收跟进!$E$2))</f>
        <v/>
      </c>
      <c r="H117" t="str">
        <f>IF(C117="","",SUMIFS($E$4:E116,$C$4:C116,C117))</f>
        <v/>
      </c>
      <c r="J117" t="str">
        <f>IF(C117="","",MIN(MAX(0,E117-N(I117)),MAX(0,G117-SUMIFS($I$4:$I$213,$C$4:$C$213,C117)-(SUMIFS($E$4:E116,$C$4:C116,C117)-SUMIFS($I$4:I116,$C$4:C116,C117)))))</f>
        <v/>
      </c>
      <c r="M117" t="str">
        <f>IF(C117="","",IF(OR(L117&lt;=0,F117=""),0,MAX(0,应收跟进!$E$2-F117)))</f>
        <v/>
      </c>
      <c r="N117" t="str">
        <f>IF(C117="","",IF(L117&lt;=0,"已结清",IF(F117&gt;应收跟进!$E$2,"未到期",IF(M117&lt;=30,"逾期1-30天",IF(M117&lt;=60,"逾期31-60天",IF(M117&lt;=90,"逾期61-90天","逾期90天以上"))))))</f>
        <v/>
      </c>
      <c r="P117" t="str">
        <f>IF(销售录入!A107="","",销售录入!N107)</f>
        <v/>
      </c>
      <c r="Q117" t="str">
        <f>IF(销售录入!A107="","",销售录入!O107)</f>
        <v/>
      </c>
    </row>
    <row r="118" spans="1:17">
      <c r="A118" t="str">
        <f>IF(销售录入!A108="","","销售")</f>
        <v/>
      </c>
      <c r="B118" t="str">
        <f>IF(销售录入!A108="","",销售录入!A108)</f>
        <v/>
      </c>
      <c r="C118" t="str">
        <f>IF(销售录入!A108="","",销售录入!C108)</f>
        <v/>
      </c>
      <c r="D118" t="str">
        <f>IF(销售录入!A108="","",销售录入!D108)</f>
        <v/>
      </c>
      <c r="E118" t="str">
        <f>IF(销售录入!A108="","",销售录入!I108)</f>
        <v/>
      </c>
      <c r="F118" t="str">
        <f>IF(销售录入!A108="","",销售录入!L108)</f>
        <v/>
      </c>
      <c r="G118" t="str">
        <f>IF(C118="","",SUMIFS(资金流水!$J$4:$J$203,资金流水!$F$4:$F$203,C118,资金流水!$D$4:$D$203,"客户回款",资金流水!$A$4:$A$203,"&lt;="&amp;应收跟进!$E$2))</f>
        <v/>
      </c>
      <c r="H118" t="str">
        <f>IF(C118="","",SUMIFS($E$4:E117,$C$4:C117,C118))</f>
        <v/>
      </c>
      <c r="J118" t="str">
        <f>IF(C118="","",MIN(MAX(0,E118-N(I118)),MAX(0,G118-SUMIFS($I$4:$I$213,$C$4:$C$213,C118)-(SUMIFS($E$4:E117,$C$4:C117,C118)-SUMIFS($I$4:I117,$C$4:C117,C118)))))</f>
        <v/>
      </c>
      <c r="M118" t="str">
        <f>IF(C118="","",IF(OR(L118&lt;=0,F118=""),0,MAX(0,应收跟进!$E$2-F118)))</f>
        <v/>
      </c>
      <c r="N118" t="str">
        <f>IF(C118="","",IF(L118&lt;=0,"已结清",IF(F118&gt;应收跟进!$E$2,"未到期",IF(M118&lt;=30,"逾期1-30天",IF(M118&lt;=60,"逾期31-60天",IF(M118&lt;=90,"逾期61-90天","逾期90天以上"))))))</f>
        <v/>
      </c>
      <c r="P118" t="str">
        <f>IF(销售录入!A108="","",销售录入!N108)</f>
        <v/>
      </c>
      <c r="Q118" t="str">
        <f>IF(销售录入!A108="","",销售录入!O108)</f>
        <v/>
      </c>
    </row>
    <row r="119" spans="1:17">
      <c r="A119" t="str">
        <f>IF(销售录入!A109="","","销售")</f>
        <v/>
      </c>
      <c r="B119" t="str">
        <f>IF(销售录入!A109="","",销售录入!A109)</f>
        <v/>
      </c>
      <c r="C119" t="str">
        <f>IF(销售录入!A109="","",销售录入!C109)</f>
        <v/>
      </c>
      <c r="D119" t="str">
        <f>IF(销售录入!A109="","",销售录入!D109)</f>
        <v/>
      </c>
      <c r="E119" t="str">
        <f>IF(销售录入!A109="","",销售录入!I109)</f>
        <v/>
      </c>
      <c r="F119" t="str">
        <f>IF(销售录入!A109="","",销售录入!L109)</f>
        <v/>
      </c>
      <c r="G119" t="str">
        <f>IF(C119="","",SUMIFS(资金流水!$J$4:$J$203,资金流水!$F$4:$F$203,C119,资金流水!$D$4:$D$203,"客户回款",资金流水!$A$4:$A$203,"&lt;="&amp;应收跟进!$E$2))</f>
        <v/>
      </c>
      <c r="H119" t="str">
        <f>IF(C119="","",SUMIFS($E$4:E118,$C$4:C118,C119))</f>
        <v/>
      </c>
      <c r="J119" t="str">
        <f>IF(C119="","",MIN(MAX(0,E119-N(I119)),MAX(0,G119-SUMIFS($I$4:$I$213,$C$4:$C$213,C119)-(SUMIFS($E$4:E118,$C$4:C118,C119)-SUMIFS($I$4:I118,$C$4:C118,C119)))))</f>
        <v/>
      </c>
      <c r="M119" t="str">
        <f>IF(C119="","",IF(OR(L119&lt;=0,F119=""),0,MAX(0,应收跟进!$E$2-F119)))</f>
        <v/>
      </c>
      <c r="N119" t="str">
        <f>IF(C119="","",IF(L119&lt;=0,"已结清",IF(F119&gt;应收跟进!$E$2,"未到期",IF(M119&lt;=30,"逾期1-30天",IF(M119&lt;=60,"逾期31-60天",IF(M119&lt;=90,"逾期61-90天","逾期90天以上"))))))</f>
        <v/>
      </c>
      <c r="P119" t="str">
        <f>IF(销售录入!A109="","",销售录入!N109)</f>
        <v/>
      </c>
      <c r="Q119" t="str">
        <f>IF(销售录入!A109="","",销售录入!O109)</f>
        <v/>
      </c>
    </row>
    <row r="120" spans="1:17">
      <c r="A120" t="str">
        <f>IF(销售录入!A110="","","销售")</f>
        <v/>
      </c>
      <c r="B120" t="str">
        <f>IF(销售录入!A110="","",销售录入!A110)</f>
        <v/>
      </c>
      <c r="C120" t="str">
        <f>IF(销售录入!A110="","",销售录入!C110)</f>
        <v/>
      </c>
      <c r="D120" t="str">
        <f>IF(销售录入!A110="","",销售录入!D110)</f>
        <v/>
      </c>
      <c r="E120" t="str">
        <f>IF(销售录入!A110="","",销售录入!I110)</f>
        <v/>
      </c>
      <c r="F120" t="str">
        <f>IF(销售录入!A110="","",销售录入!L110)</f>
        <v/>
      </c>
      <c r="G120" t="str">
        <f>IF(C120="","",SUMIFS(资金流水!$J$4:$J$203,资金流水!$F$4:$F$203,C120,资金流水!$D$4:$D$203,"客户回款",资金流水!$A$4:$A$203,"&lt;="&amp;应收跟进!$E$2))</f>
        <v/>
      </c>
      <c r="H120" t="str">
        <f>IF(C120="","",SUMIFS($E$4:E119,$C$4:C119,C120))</f>
        <v/>
      </c>
      <c r="J120" t="str">
        <f>IF(C120="","",MIN(MAX(0,E120-N(I120)),MAX(0,G120-SUMIFS($I$4:$I$213,$C$4:$C$213,C120)-(SUMIFS($E$4:E119,$C$4:C119,C120)-SUMIFS($I$4:I119,$C$4:C119,C120)))))</f>
        <v/>
      </c>
      <c r="M120" t="str">
        <f>IF(C120="","",IF(OR(L120&lt;=0,F120=""),0,MAX(0,应收跟进!$E$2-F120)))</f>
        <v/>
      </c>
      <c r="N120" t="str">
        <f>IF(C120="","",IF(L120&lt;=0,"已结清",IF(F120&gt;应收跟进!$E$2,"未到期",IF(M120&lt;=30,"逾期1-30天",IF(M120&lt;=60,"逾期31-60天",IF(M120&lt;=90,"逾期61-90天","逾期90天以上"))))))</f>
        <v/>
      </c>
      <c r="P120" t="str">
        <f>IF(销售录入!A110="","",销售录入!N110)</f>
        <v/>
      </c>
      <c r="Q120" t="str">
        <f>IF(销售录入!A110="","",销售录入!O110)</f>
        <v/>
      </c>
    </row>
    <row r="121" spans="1:17">
      <c r="A121" t="str">
        <f>IF(销售录入!A111="","","销售")</f>
        <v/>
      </c>
      <c r="B121" t="str">
        <f>IF(销售录入!A111="","",销售录入!A111)</f>
        <v/>
      </c>
      <c r="C121" t="str">
        <f>IF(销售录入!A111="","",销售录入!C111)</f>
        <v/>
      </c>
      <c r="D121" t="str">
        <f>IF(销售录入!A111="","",销售录入!D111)</f>
        <v/>
      </c>
      <c r="E121" t="str">
        <f>IF(销售录入!A111="","",销售录入!I111)</f>
        <v/>
      </c>
      <c r="F121" t="str">
        <f>IF(销售录入!A111="","",销售录入!L111)</f>
        <v/>
      </c>
      <c r="G121" t="str">
        <f>IF(C121="","",SUMIFS(资金流水!$J$4:$J$203,资金流水!$F$4:$F$203,C121,资金流水!$D$4:$D$203,"客户回款",资金流水!$A$4:$A$203,"&lt;="&amp;应收跟进!$E$2))</f>
        <v/>
      </c>
      <c r="H121" t="str">
        <f>IF(C121="","",SUMIFS($E$4:E120,$C$4:C120,C121))</f>
        <v/>
      </c>
      <c r="J121" t="str">
        <f>IF(C121="","",MIN(MAX(0,E121-N(I121)),MAX(0,G121-SUMIFS($I$4:$I$213,$C$4:$C$213,C121)-(SUMIFS($E$4:E120,$C$4:C120,C121)-SUMIFS($I$4:I120,$C$4:C120,C121)))))</f>
        <v/>
      </c>
      <c r="M121" t="str">
        <f>IF(C121="","",IF(OR(L121&lt;=0,F121=""),0,MAX(0,应收跟进!$E$2-F121)))</f>
        <v/>
      </c>
      <c r="N121" t="str">
        <f>IF(C121="","",IF(L121&lt;=0,"已结清",IF(F121&gt;应收跟进!$E$2,"未到期",IF(M121&lt;=30,"逾期1-30天",IF(M121&lt;=60,"逾期31-60天",IF(M121&lt;=90,"逾期61-90天","逾期90天以上"))))))</f>
        <v/>
      </c>
      <c r="P121" t="str">
        <f>IF(销售录入!A111="","",销售录入!N111)</f>
        <v/>
      </c>
      <c r="Q121" t="str">
        <f>IF(销售录入!A111="","",销售录入!O111)</f>
        <v/>
      </c>
    </row>
    <row r="122" spans="1:17">
      <c r="A122" t="str">
        <f>IF(销售录入!A112="","","销售")</f>
        <v/>
      </c>
      <c r="B122" t="str">
        <f>IF(销售录入!A112="","",销售录入!A112)</f>
        <v/>
      </c>
      <c r="C122" t="str">
        <f>IF(销售录入!A112="","",销售录入!C112)</f>
        <v/>
      </c>
      <c r="D122" t="str">
        <f>IF(销售录入!A112="","",销售录入!D112)</f>
        <v/>
      </c>
      <c r="E122" t="str">
        <f>IF(销售录入!A112="","",销售录入!I112)</f>
        <v/>
      </c>
      <c r="F122" t="str">
        <f>IF(销售录入!A112="","",销售录入!L112)</f>
        <v/>
      </c>
      <c r="G122" t="str">
        <f>IF(C122="","",SUMIFS(资金流水!$J$4:$J$203,资金流水!$F$4:$F$203,C122,资金流水!$D$4:$D$203,"客户回款",资金流水!$A$4:$A$203,"&lt;="&amp;应收跟进!$E$2))</f>
        <v/>
      </c>
      <c r="H122" t="str">
        <f>IF(C122="","",SUMIFS($E$4:E121,$C$4:C121,C122))</f>
        <v/>
      </c>
      <c r="J122" t="str">
        <f>IF(C122="","",MIN(MAX(0,E122-N(I122)),MAX(0,G122-SUMIFS($I$4:$I$213,$C$4:$C$213,C122)-(SUMIFS($E$4:E121,$C$4:C121,C122)-SUMIFS($I$4:I121,$C$4:C121,C122)))))</f>
        <v/>
      </c>
      <c r="M122" t="str">
        <f>IF(C122="","",IF(OR(L122&lt;=0,F122=""),0,MAX(0,应收跟进!$E$2-F122)))</f>
        <v/>
      </c>
      <c r="N122" t="str">
        <f>IF(C122="","",IF(L122&lt;=0,"已结清",IF(F122&gt;应收跟进!$E$2,"未到期",IF(M122&lt;=30,"逾期1-30天",IF(M122&lt;=60,"逾期31-60天",IF(M122&lt;=90,"逾期61-90天","逾期90天以上"))))))</f>
        <v/>
      </c>
      <c r="P122" t="str">
        <f>IF(销售录入!A112="","",销售录入!N112)</f>
        <v/>
      </c>
      <c r="Q122" t="str">
        <f>IF(销售录入!A112="","",销售录入!O112)</f>
        <v/>
      </c>
    </row>
    <row r="123" spans="1:17">
      <c r="A123" t="str">
        <f>IF(销售录入!A113="","","销售")</f>
        <v/>
      </c>
      <c r="B123" t="str">
        <f>IF(销售录入!A113="","",销售录入!A113)</f>
        <v/>
      </c>
      <c r="C123" t="str">
        <f>IF(销售录入!A113="","",销售录入!C113)</f>
        <v/>
      </c>
      <c r="D123" t="str">
        <f>IF(销售录入!A113="","",销售录入!D113)</f>
        <v/>
      </c>
      <c r="E123" t="str">
        <f>IF(销售录入!A113="","",销售录入!I113)</f>
        <v/>
      </c>
      <c r="F123" t="str">
        <f>IF(销售录入!A113="","",销售录入!L113)</f>
        <v/>
      </c>
      <c r="G123" t="str">
        <f>IF(C123="","",SUMIFS(资金流水!$J$4:$J$203,资金流水!$F$4:$F$203,C123,资金流水!$D$4:$D$203,"客户回款",资金流水!$A$4:$A$203,"&lt;="&amp;应收跟进!$E$2))</f>
        <v/>
      </c>
      <c r="H123" t="str">
        <f>IF(C123="","",SUMIFS($E$4:E122,$C$4:C122,C123))</f>
        <v/>
      </c>
      <c r="J123" t="str">
        <f>IF(C123="","",MIN(MAX(0,E123-N(I123)),MAX(0,G123-SUMIFS($I$4:$I$213,$C$4:$C$213,C123)-(SUMIFS($E$4:E122,$C$4:C122,C123)-SUMIFS($I$4:I122,$C$4:C122,C123)))))</f>
        <v/>
      </c>
      <c r="M123" t="str">
        <f>IF(C123="","",IF(OR(L123&lt;=0,F123=""),0,MAX(0,应收跟进!$E$2-F123)))</f>
        <v/>
      </c>
      <c r="N123" t="str">
        <f>IF(C123="","",IF(L123&lt;=0,"已结清",IF(F123&gt;应收跟进!$E$2,"未到期",IF(M123&lt;=30,"逾期1-30天",IF(M123&lt;=60,"逾期31-60天",IF(M123&lt;=90,"逾期61-90天","逾期90天以上"))))))</f>
        <v/>
      </c>
      <c r="P123" t="str">
        <f>IF(销售录入!A113="","",销售录入!N113)</f>
        <v/>
      </c>
      <c r="Q123" t="str">
        <f>IF(销售录入!A113="","",销售录入!O113)</f>
        <v/>
      </c>
    </row>
    <row r="124" spans="1:17">
      <c r="A124" t="str">
        <f>IF(销售录入!A114="","","销售")</f>
        <v/>
      </c>
      <c r="B124" t="str">
        <f>IF(销售录入!A114="","",销售录入!A114)</f>
        <v/>
      </c>
      <c r="C124" t="str">
        <f>IF(销售录入!A114="","",销售录入!C114)</f>
        <v/>
      </c>
      <c r="D124" t="str">
        <f>IF(销售录入!A114="","",销售录入!D114)</f>
        <v/>
      </c>
      <c r="E124" t="str">
        <f>IF(销售录入!A114="","",销售录入!I114)</f>
        <v/>
      </c>
      <c r="F124" t="str">
        <f>IF(销售录入!A114="","",销售录入!L114)</f>
        <v/>
      </c>
      <c r="G124" t="str">
        <f>IF(C124="","",SUMIFS(资金流水!$J$4:$J$203,资金流水!$F$4:$F$203,C124,资金流水!$D$4:$D$203,"客户回款",资金流水!$A$4:$A$203,"&lt;="&amp;应收跟进!$E$2))</f>
        <v/>
      </c>
      <c r="H124" t="str">
        <f>IF(C124="","",SUMIFS($E$4:E123,$C$4:C123,C124))</f>
        <v/>
      </c>
      <c r="J124" t="str">
        <f>IF(C124="","",MIN(MAX(0,E124-N(I124)),MAX(0,G124-SUMIFS($I$4:$I$213,$C$4:$C$213,C124)-(SUMIFS($E$4:E123,$C$4:C123,C124)-SUMIFS($I$4:I123,$C$4:C123,C124)))))</f>
        <v/>
      </c>
      <c r="M124" t="str">
        <f>IF(C124="","",IF(OR(L124&lt;=0,F124=""),0,MAX(0,应收跟进!$E$2-F124)))</f>
        <v/>
      </c>
      <c r="N124" t="str">
        <f>IF(C124="","",IF(L124&lt;=0,"已结清",IF(F124&gt;应收跟进!$E$2,"未到期",IF(M124&lt;=30,"逾期1-30天",IF(M124&lt;=60,"逾期31-60天",IF(M124&lt;=90,"逾期61-90天","逾期90天以上"))))))</f>
        <v/>
      </c>
      <c r="P124" t="str">
        <f>IF(销售录入!A114="","",销售录入!N114)</f>
        <v/>
      </c>
      <c r="Q124" t="str">
        <f>IF(销售录入!A114="","",销售录入!O114)</f>
        <v/>
      </c>
    </row>
    <row r="125" spans="1:17">
      <c r="A125" t="str">
        <f>IF(销售录入!A115="","","销售")</f>
        <v/>
      </c>
      <c r="B125" t="str">
        <f>IF(销售录入!A115="","",销售录入!A115)</f>
        <v/>
      </c>
      <c r="C125" t="str">
        <f>IF(销售录入!A115="","",销售录入!C115)</f>
        <v/>
      </c>
      <c r="D125" t="str">
        <f>IF(销售录入!A115="","",销售录入!D115)</f>
        <v/>
      </c>
      <c r="E125" t="str">
        <f>IF(销售录入!A115="","",销售录入!I115)</f>
        <v/>
      </c>
      <c r="F125" t="str">
        <f>IF(销售录入!A115="","",销售录入!L115)</f>
        <v/>
      </c>
      <c r="G125" t="str">
        <f>IF(C125="","",SUMIFS(资金流水!$J$4:$J$203,资金流水!$F$4:$F$203,C125,资金流水!$D$4:$D$203,"客户回款",资金流水!$A$4:$A$203,"&lt;="&amp;应收跟进!$E$2))</f>
        <v/>
      </c>
      <c r="H125" t="str">
        <f>IF(C125="","",SUMIFS($E$4:E124,$C$4:C124,C125))</f>
        <v/>
      </c>
      <c r="J125" t="str">
        <f>IF(C125="","",MIN(MAX(0,E125-N(I125)),MAX(0,G125-SUMIFS($I$4:$I$213,$C$4:$C$213,C125)-(SUMIFS($E$4:E124,$C$4:C124,C125)-SUMIFS($I$4:I124,$C$4:C124,C125)))))</f>
        <v/>
      </c>
      <c r="M125" t="str">
        <f>IF(C125="","",IF(OR(L125&lt;=0,F125=""),0,MAX(0,应收跟进!$E$2-F125)))</f>
        <v/>
      </c>
      <c r="N125" t="str">
        <f>IF(C125="","",IF(L125&lt;=0,"已结清",IF(F125&gt;应收跟进!$E$2,"未到期",IF(M125&lt;=30,"逾期1-30天",IF(M125&lt;=60,"逾期31-60天",IF(M125&lt;=90,"逾期61-90天","逾期90天以上"))))))</f>
        <v/>
      </c>
      <c r="P125" t="str">
        <f>IF(销售录入!A115="","",销售录入!N115)</f>
        <v/>
      </c>
      <c r="Q125" t="str">
        <f>IF(销售录入!A115="","",销售录入!O115)</f>
        <v/>
      </c>
    </row>
    <row r="126" spans="1:17">
      <c r="A126" t="str">
        <f>IF(销售录入!A116="","","销售")</f>
        <v/>
      </c>
      <c r="B126" t="str">
        <f>IF(销售录入!A116="","",销售录入!A116)</f>
        <v/>
      </c>
      <c r="C126" t="str">
        <f>IF(销售录入!A116="","",销售录入!C116)</f>
        <v/>
      </c>
      <c r="D126" t="str">
        <f>IF(销售录入!A116="","",销售录入!D116)</f>
        <v/>
      </c>
      <c r="E126" t="str">
        <f>IF(销售录入!A116="","",销售录入!I116)</f>
        <v/>
      </c>
      <c r="F126" t="str">
        <f>IF(销售录入!A116="","",销售录入!L116)</f>
        <v/>
      </c>
      <c r="G126" t="str">
        <f>IF(C126="","",SUMIFS(资金流水!$J$4:$J$203,资金流水!$F$4:$F$203,C126,资金流水!$D$4:$D$203,"客户回款",资金流水!$A$4:$A$203,"&lt;="&amp;应收跟进!$E$2))</f>
        <v/>
      </c>
      <c r="H126" t="str">
        <f>IF(C126="","",SUMIFS($E$4:E125,$C$4:C125,C126))</f>
        <v/>
      </c>
      <c r="J126" t="str">
        <f>IF(C126="","",MIN(MAX(0,E126-N(I126)),MAX(0,G126-SUMIFS($I$4:$I$213,$C$4:$C$213,C126)-(SUMIFS($E$4:E125,$C$4:C125,C126)-SUMIFS($I$4:I125,$C$4:C125,C126)))))</f>
        <v/>
      </c>
      <c r="M126" t="str">
        <f>IF(C126="","",IF(OR(L126&lt;=0,F126=""),0,MAX(0,应收跟进!$E$2-F126)))</f>
        <v/>
      </c>
      <c r="N126" t="str">
        <f>IF(C126="","",IF(L126&lt;=0,"已结清",IF(F126&gt;应收跟进!$E$2,"未到期",IF(M126&lt;=30,"逾期1-30天",IF(M126&lt;=60,"逾期31-60天",IF(M126&lt;=90,"逾期61-90天","逾期90天以上"))))))</f>
        <v/>
      </c>
      <c r="P126" t="str">
        <f>IF(销售录入!A116="","",销售录入!N116)</f>
        <v/>
      </c>
      <c r="Q126" t="str">
        <f>IF(销售录入!A116="","",销售录入!O116)</f>
        <v/>
      </c>
    </row>
    <row r="127" spans="1:17">
      <c r="A127" t="str">
        <f>IF(销售录入!A117="","","销售")</f>
        <v/>
      </c>
      <c r="B127" t="str">
        <f>IF(销售录入!A117="","",销售录入!A117)</f>
        <v/>
      </c>
      <c r="C127" t="str">
        <f>IF(销售录入!A117="","",销售录入!C117)</f>
        <v/>
      </c>
      <c r="D127" t="str">
        <f>IF(销售录入!A117="","",销售录入!D117)</f>
        <v/>
      </c>
      <c r="E127" t="str">
        <f>IF(销售录入!A117="","",销售录入!I117)</f>
        <v/>
      </c>
      <c r="F127" t="str">
        <f>IF(销售录入!A117="","",销售录入!L117)</f>
        <v/>
      </c>
      <c r="G127" t="str">
        <f>IF(C127="","",SUMIFS(资金流水!$J$4:$J$203,资金流水!$F$4:$F$203,C127,资金流水!$D$4:$D$203,"客户回款",资金流水!$A$4:$A$203,"&lt;="&amp;应收跟进!$E$2))</f>
        <v/>
      </c>
      <c r="H127" t="str">
        <f>IF(C127="","",SUMIFS($E$4:E126,$C$4:C126,C127))</f>
        <v/>
      </c>
      <c r="J127" t="str">
        <f>IF(C127="","",MIN(MAX(0,E127-N(I127)),MAX(0,G127-SUMIFS($I$4:$I$213,$C$4:$C$213,C127)-(SUMIFS($E$4:E126,$C$4:C126,C127)-SUMIFS($I$4:I126,$C$4:C126,C127)))))</f>
        <v/>
      </c>
      <c r="M127" t="str">
        <f>IF(C127="","",IF(OR(L127&lt;=0,F127=""),0,MAX(0,应收跟进!$E$2-F127)))</f>
        <v/>
      </c>
      <c r="N127" t="str">
        <f>IF(C127="","",IF(L127&lt;=0,"已结清",IF(F127&gt;应收跟进!$E$2,"未到期",IF(M127&lt;=30,"逾期1-30天",IF(M127&lt;=60,"逾期31-60天",IF(M127&lt;=90,"逾期61-90天","逾期90天以上"))))))</f>
        <v/>
      </c>
      <c r="P127" t="str">
        <f>IF(销售录入!A117="","",销售录入!N117)</f>
        <v/>
      </c>
      <c r="Q127" t="str">
        <f>IF(销售录入!A117="","",销售录入!O117)</f>
        <v/>
      </c>
    </row>
    <row r="128" spans="1:17">
      <c r="A128" t="str">
        <f>IF(销售录入!A118="","","销售")</f>
        <v/>
      </c>
      <c r="B128" t="str">
        <f>IF(销售录入!A118="","",销售录入!A118)</f>
        <v/>
      </c>
      <c r="C128" t="str">
        <f>IF(销售录入!A118="","",销售录入!C118)</f>
        <v/>
      </c>
      <c r="D128" t="str">
        <f>IF(销售录入!A118="","",销售录入!D118)</f>
        <v/>
      </c>
      <c r="E128" t="str">
        <f>IF(销售录入!A118="","",销售录入!I118)</f>
        <v/>
      </c>
      <c r="F128" t="str">
        <f>IF(销售录入!A118="","",销售录入!L118)</f>
        <v/>
      </c>
      <c r="G128" t="str">
        <f>IF(C128="","",SUMIFS(资金流水!$J$4:$J$203,资金流水!$F$4:$F$203,C128,资金流水!$D$4:$D$203,"客户回款",资金流水!$A$4:$A$203,"&lt;="&amp;应收跟进!$E$2))</f>
        <v/>
      </c>
      <c r="H128" t="str">
        <f>IF(C128="","",SUMIFS($E$4:E127,$C$4:C127,C128))</f>
        <v/>
      </c>
      <c r="J128" t="str">
        <f>IF(C128="","",MIN(MAX(0,E128-N(I128)),MAX(0,G128-SUMIFS($I$4:$I$213,$C$4:$C$213,C128)-(SUMIFS($E$4:E127,$C$4:C127,C128)-SUMIFS($I$4:I127,$C$4:C127,C128)))))</f>
        <v/>
      </c>
      <c r="M128" t="str">
        <f>IF(C128="","",IF(OR(L128&lt;=0,F128=""),0,MAX(0,应收跟进!$E$2-F128)))</f>
        <v/>
      </c>
      <c r="N128" t="str">
        <f>IF(C128="","",IF(L128&lt;=0,"已结清",IF(F128&gt;应收跟进!$E$2,"未到期",IF(M128&lt;=30,"逾期1-30天",IF(M128&lt;=60,"逾期31-60天",IF(M128&lt;=90,"逾期61-90天","逾期90天以上"))))))</f>
        <v/>
      </c>
      <c r="P128" t="str">
        <f>IF(销售录入!A118="","",销售录入!N118)</f>
        <v/>
      </c>
      <c r="Q128" t="str">
        <f>IF(销售录入!A118="","",销售录入!O118)</f>
        <v/>
      </c>
    </row>
    <row r="129" spans="1:17">
      <c r="A129" t="str">
        <f>IF(销售录入!A119="","","销售")</f>
        <v/>
      </c>
      <c r="B129" t="str">
        <f>IF(销售录入!A119="","",销售录入!A119)</f>
        <v/>
      </c>
      <c r="C129" t="str">
        <f>IF(销售录入!A119="","",销售录入!C119)</f>
        <v/>
      </c>
      <c r="D129" t="str">
        <f>IF(销售录入!A119="","",销售录入!D119)</f>
        <v/>
      </c>
      <c r="E129" t="str">
        <f>IF(销售录入!A119="","",销售录入!I119)</f>
        <v/>
      </c>
      <c r="F129" t="str">
        <f>IF(销售录入!A119="","",销售录入!L119)</f>
        <v/>
      </c>
      <c r="G129" t="str">
        <f>IF(C129="","",SUMIFS(资金流水!$J$4:$J$203,资金流水!$F$4:$F$203,C129,资金流水!$D$4:$D$203,"客户回款",资金流水!$A$4:$A$203,"&lt;="&amp;应收跟进!$E$2))</f>
        <v/>
      </c>
      <c r="H129" t="str">
        <f>IF(C129="","",SUMIFS($E$4:E128,$C$4:C128,C129))</f>
        <v/>
      </c>
      <c r="J129" t="str">
        <f>IF(C129="","",MIN(MAX(0,E129-N(I129)),MAX(0,G129-SUMIFS($I$4:$I$213,$C$4:$C$213,C129)-(SUMIFS($E$4:E128,$C$4:C128,C129)-SUMIFS($I$4:I128,$C$4:C128,C129)))))</f>
        <v/>
      </c>
      <c r="M129" t="str">
        <f>IF(C129="","",IF(OR(L129&lt;=0,F129=""),0,MAX(0,应收跟进!$E$2-F129)))</f>
        <v/>
      </c>
      <c r="N129" t="str">
        <f>IF(C129="","",IF(L129&lt;=0,"已结清",IF(F129&gt;应收跟进!$E$2,"未到期",IF(M129&lt;=30,"逾期1-30天",IF(M129&lt;=60,"逾期31-60天",IF(M129&lt;=90,"逾期61-90天","逾期90天以上"))))))</f>
        <v/>
      </c>
      <c r="P129" t="str">
        <f>IF(销售录入!A119="","",销售录入!N119)</f>
        <v/>
      </c>
      <c r="Q129" t="str">
        <f>IF(销售录入!A119="","",销售录入!O119)</f>
        <v/>
      </c>
    </row>
    <row r="130" spans="1:17">
      <c r="A130" t="str">
        <f>IF(销售录入!A120="","","销售")</f>
        <v/>
      </c>
      <c r="B130" t="str">
        <f>IF(销售录入!A120="","",销售录入!A120)</f>
        <v/>
      </c>
      <c r="C130" t="str">
        <f>IF(销售录入!A120="","",销售录入!C120)</f>
        <v/>
      </c>
      <c r="D130" t="str">
        <f>IF(销售录入!A120="","",销售录入!D120)</f>
        <v/>
      </c>
      <c r="E130" t="str">
        <f>IF(销售录入!A120="","",销售录入!I120)</f>
        <v/>
      </c>
      <c r="F130" t="str">
        <f>IF(销售录入!A120="","",销售录入!L120)</f>
        <v/>
      </c>
      <c r="G130" t="str">
        <f>IF(C130="","",SUMIFS(资金流水!$J$4:$J$203,资金流水!$F$4:$F$203,C130,资金流水!$D$4:$D$203,"客户回款",资金流水!$A$4:$A$203,"&lt;="&amp;应收跟进!$E$2))</f>
        <v/>
      </c>
      <c r="H130" t="str">
        <f>IF(C130="","",SUMIFS($E$4:E129,$C$4:C129,C130))</f>
        <v/>
      </c>
      <c r="J130" t="str">
        <f>IF(C130="","",MIN(MAX(0,E130-N(I130)),MAX(0,G130-SUMIFS($I$4:$I$213,$C$4:$C$213,C130)-(SUMIFS($E$4:E129,$C$4:C129,C130)-SUMIFS($I$4:I129,$C$4:C129,C130)))))</f>
        <v/>
      </c>
      <c r="M130" t="str">
        <f>IF(C130="","",IF(OR(L130&lt;=0,F130=""),0,MAX(0,应收跟进!$E$2-F130)))</f>
        <v/>
      </c>
      <c r="N130" t="str">
        <f>IF(C130="","",IF(L130&lt;=0,"已结清",IF(F130&gt;应收跟进!$E$2,"未到期",IF(M130&lt;=30,"逾期1-30天",IF(M130&lt;=60,"逾期31-60天",IF(M130&lt;=90,"逾期61-90天","逾期90天以上"))))))</f>
        <v/>
      </c>
      <c r="P130" t="str">
        <f>IF(销售录入!A120="","",销售录入!N120)</f>
        <v/>
      </c>
      <c r="Q130" t="str">
        <f>IF(销售录入!A120="","",销售录入!O120)</f>
        <v/>
      </c>
    </row>
    <row r="131" spans="1:17">
      <c r="A131" t="str">
        <f>IF(销售录入!A121="","","销售")</f>
        <v/>
      </c>
      <c r="B131" t="str">
        <f>IF(销售录入!A121="","",销售录入!A121)</f>
        <v/>
      </c>
      <c r="C131" t="str">
        <f>IF(销售录入!A121="","",销售录入!C121)</f>
        <v/>
      </c>
      <c r="D131" t="str">
        <f>IF(销售录入!A121="","",销售录入!D121)</f>
        <v/>
      </c>
      <c r="E131" t="str">
        <f>IF(销售录入!A121="","",销售录入!I121)</f>
        <v/>
      </c>
      <c r="F131" t="str">
        <f>IF(销售录入!A121="","",销售录入!L121)</f>
        <v/>
      </c>
      <c r="G131" t="str">
        <f>IF(C131="","",SUMIFS(资金流水!$J$4:$J$203,资金流水!$F$4:$F$203,C131,资金流水!$D$4:$D$203,"客户回款",资金流水!$A$4:$A$203,"&lt;="&amp;应收跟进!$E$2))</f>
        <v/>
      </c>
      <c r="H131" t="str">
        <f>IF(C131="","",SUMIFS($E$4:E130,$C$4:C130,C131))</f>
        <v/>
      </c>
      <c r="J131" t="str">
        <f>IF(C131="","",MIN(MAX(0,E131-N(I131)),MAX(0,G131-SUMIFS($I$4:$I$213,$C$4:$C$213,C131)-(SUMIFS($E$4:E130,$C$4:C130,C131)-SUMIFS($I$4:I130,$C$4:C130,C131)))))</f>
        <v/>
      </c>
      <c r="M131" t="str">
        <f>IF(C131="","",IF(OR(L131&lt;=0,F131=""),0,MAX(0,应收跟进!$E$2-F131)))</f>
        <v/>
      </c>
      <c r="N131" t="str">
        <f>IF(C131="","",IF(L131&lt;=0,"已结清",IF(F131&gt;应收跟进!$E$2,"未到期",IF(M131&lt;=30,"逾期1-30天",IF(M131&lt;=60,"逾期31-60天",IF(M131&lt;=90,"逾期61-90天","逾期90天以上"))))))</f>
        <v/>
      </c>
      <c r="P131" t="str">
        <f>IF(销售录入!A121="","",销售录入!N121)</f>
        <v/>
      </c>
      <c r="Q131" t="str">
        <f>IF(销售录入!A121="","",销售录入!O121)</f>
        <v/>
      </c>
    </row>
    <row r="132" spans="1:17">
      <c r="A132" t="str">
        <f>IF(销售录入!A122="","","销售")</f>
        <v/>
      </c>
      <c r="B132" t="str">
        <f>IF(销售录入!A122="","",销售录入!A122)</f>
        <v/>
      </c>
      <c r="C132" t="str">
        <f>IF(销售录入!A122="","",销售录入!C122)</f>
        <v/>
      </c>
      <c r="D132" t="str">
        <f>IF(销售录入!A122="","",销售录入!D122)</f>
        <v/>
      </c>
      <c r="E132" t="str">
        <f>IF(销售录入!A122="","",销售录入!I122)</f>
        <v/>
      </c>
      <c r="F132" t="str">
        <f>IF(销售录入!A122="","",销售录入!L122)</f>
        <v/>
      </c>
      <c r="G132" t="str">
        <f>IF(C132="","",SUMIFS(资金流水!$J$4:$J$203,资金流水!$F$4:$F$203,C132,资金流水!$D$4:$D$203,"客户回款",资金流水!$A$4:$A$203,"&lt;="&amp;应收跟进!$E$2))</f>
        <v/>
      </c>
      <c r="H132" t="str">
        <f>IF(C132="","",SUMIFS($E$4:E131,$C$4:C131,C132))</f>
        <v/>
      </c>
      <c r="J132" t="str">
        <f>IF(C132="","",MIN(MAX(0,E132-N(I132)),MAX(0,G132-SUMIFS($I$4:$I$213,$C$4:$C$213,C132)-(SUMIFS($E$4:E131,$C$4:C131,C132)-SUMIFS($I$4:I131,$C$4:C131,C132)))))</f>
        <v/>
      </c>
      <c r="M132" t="str">
        <f>IF(C132="","",IF(OR(L132&lt;=0,F132=""),0,MAX(0,应收跟进!$E$2-F132)))</f>
        <v/>
      </c>
      <c r="N132" t="str">
        <f>IF(C132="","",IF(L132&lt;=0,"已结清",IF(F132&gt;应收跟进!$E$2,"未到期",IF(M132&lt;=30,"逾期1-30天",IF(M132&lt;=60,"逾期31-60天",IF(M132&lt;=90,"逾期61-90天","逾期90天以上"))))))</f>
        <v/>
      </c>
      <c r="P132" t="str">
        <f>IF(销售录入!A122="","",销售录入!N122)</f>
        <v/>
      </c>
      <c r="Q132" t="str">
        <f>IF(销售录入!A122="","",销售录入!O122)</f>
        <v/>
      </c>
    </row>
    <row r="133" spans="1:17">
      <c r="A133" t="str">
        <f>IF(销售录入!A123="","","销售")</f>
        <v/>
      </c>
      <c r="B133" t="str">
        <f>IF(销售录入!A123="","",销售录入!A123)</f>
        <v/>
      </c>
      <c r="C133" t="str">
        <f>IF(销售录入!A123="","",销售录入!C123)</f>
        <v/>
      </c>
      <c r="D133" t="str">
        <f>IF(销售录入!A123="","",销售录入!D123)</f>
        <v/>
      </c>
      <c r="E133" t="str">
        <f>IF(销售录入!A123="","",销售录入!I123)</f>
        <v/>
      </c>
      <c r="F133" t="str">
        <f>IF(销售录入!A123="","",销售录入!L123)</f>
        <v/>
      </c>
      <c r="G133" t="str">
        <f>IF(C133="","",SUMIFS(资金流水!$J$4:$J$203,资金流水!$F$4:$F$203,C133,资金流水!$D$4:$D$203,"客户回款",资金流水!$A$4:$A$203,"&lt;="&amp;应收跟进!$E$2))</f>
        <v/>
      </c>
      <c r="H133" t="str">
        <f>IF(C133="","",SUMIFS($E$4:E132,$C$4:C132,C133))</f>
        <v/>
      </c>
      <c r="J133" t="str">
        <f>IF(C133="","",MIN(MAX(0,E133-N(I133)),MAX(0,G133-SUMIFS($I$4:$I$213,$C$4:$C$213,C133)-(SUMIFS($E$4:E132,$C$4:C132,C133)-SUMIFS($I$4:I132,$C$4:C132,C133)))))</f>
        <v/>
      </c>
      <c r="M133" t="str">
        <f>IF(C133="","",IF(OR(L133&lt;=0,F133=""),0,MAX(0,应收跟进!$E$2-F133)))</f>
        <v/>
      </c>
      <c r="N133" t="str">
        <f>IF(C133="","",IF(L133&lt;=0,"已结清",IF(F133&gt;应收跟进!$E$2,"未到期",IF(M133&lt;=30,"逾期1-30天",IF(M133&lt;=60,"逾期31-60天",IF(M133&lt;=90,"逾期61-90天","逾期90天以上"))))))</f>
        <v/>
      </c>
      <c r="P133" t="str">
        <f>IF(销售录入!A123="","",销售录入!N123)</f>
        <v/>
      </c>
      <c r="Q133" t="str">
        <f>IF(销售录入!A123="","",销售录入!O123)</f>
        <v/>
      </c>
    </row>
    <row r="134" spans="1:17">
      <c r="A134" t="str">
        <f>IF(销售录入!A124="","","销售")</f>
        <v/>
      </c>
      <c r="B134" t="str">
        <f>IF(销售录入!A124="","",销售录入!A124)</f>
        <v/>
      </c>
      <c r="C134" t="str">
        <f>IF(销售录入!A124="","",销售录入!C124)</f>
        <v/>
      </c>
      <c r="D134" t="str">
        <f>IF(销售录入!A124="","",销售录入!D124)</f>
        <v/>
      </c>
      <c r="E134" t="str">
        <f>IF(销售录入!A124="","",销售录入!I124)</f>
        <v/>
      </c>
      <c r="F134" t="str">
        <f>IF(销售录入!A124="","",销售录入!L124)</f>
        <v/>
      </c>
      <c r="G134" t="str">
        <f>IF(C134="","",SUMIFS(资金流水!$J$4:$J$203,资金流水!$F$4:$F$203,C134,资金流水!$D$4:$D$203,"客户回款",资金流水!$A$4:$A$203,"&lt;="&amp;应收跟进!$E$2))</f>
        <v/>
      </c>
      <c r="H134" t="str">
        <f>IF(C134="","",SUMIFS($E$4:E133,$C$4:C133,C134))</f>
        <v/>
      </c>
      <c r="J134" t="str">
        <f>IF(C134="","",MIN(MAX(0,E134-N(I134)),MAX(0,G134-SUMIFS($I$4:$I$213,$C$4:$C$213,C134)-(SUMIFS($E$4:E133,$C$4:C133,C134)-SUMIFS($I$4:I133,$C$4:C133,C134)))))</f>
        <v/>
      </c>
      <c r="M134" t="str">
        <f>IF(C134="","",IF(OR(L134&lt;=0,F134=""),0,MAX(0,应收跟进!$E$2-F134)))</f>
        <v/>
      </c>
      <c r="N134" t="str">
        <f>IF(C134="","",IF(L134&lt;=0,"已结清",IF(F134&gt;应收跟进!$E$2,"未到期",IF(M134&lt;=30,"逾期1-30天",IF(M134&lt;=60,"逾期31-60天",IF(M134&lt;=90,"逾期61-90天","逾期90天以上"))))))</f>
        <v/>
      </c>
      <c r="P134" t="str">
        <f>IF(销售录入!A124="","",销售录入!N124)</f>
        <v/>
      </c>
      <c r="Q134" t="str">
        <f>IF(销售录入!A124="","",销售录入!O124)</f>
        <v/>
      </c>
    </row>
    <row r="135" spans="1:17">
      <c r="A135" t="str">
        <f>IF(销售录入!A125="","","销售")</f>
        <v/>
      </c>
      <c r="B135" t="str">
        <f>IF(销售录入!A125="","",销售录入!A125)</f>
        <v/>
      </c>
      <c r="C135" t="str">
        <f>IF(销售录入!A125="","",销售录入!C125)</f>
        <v/>
      </c>
      <c r="D135" t="str">
        <f>IF(销售录入!A125="","",销售录入!D125)</f>
        <v/>
      </c>
      <c r="E135" t="str">
        <f>IF(销售录入!A125="","",销售录入!I125)</f>
        <v/>
      </c>
      <c r="F135" t="str">
        <f>IF(销售录入!A125="","",销售录入!L125)</f>
        <v/>
      </c>
      <c r="G135" t="str">
        <f>IF(C135="","",SUMIFS(资金流水!$J$4:$J$203,资金流水!$F$4:$F$203,C135,资金流水!$D$4:$D$203,"客户回款",资金流水!$A$4:$A$203,"&lt;="&amp;应收跟进!$E$2))</f>
        <v/>
      </c>
      <c r="H135" t="str">
        <f>IF(C135="","",SUMIFS($E$4:E134,$C$4:C134,C135))</f>
        <v/>
      </c>
      <c r="J135" t="str">
        <f>IF(C135="","",MIN(MAX(0,E135-N(I135)),MAX(0,G135-SUMIFS($I$4:$I$213,$C$4:$C$213,C135)-(SUMIFS($E$4:E134,$C$4:C134,C135)-SUMIFS($I$4:I134,$C$4:C134,C135)))))</f>
        <v/>
      </c>
      <c r="M135" t="str">
        <f>IF(C135="","",IF(OR(L135&lt;=0,F135=""),0,MAX(0,应收跟进!$E$2-F135)))</f>
        <v/>
      </c>
      <c r="N135" t="str">
        <f>IF(C135="","",IF(L135&lt;=0,"已结清",IF(F135&gt;应收跟进!$E$2,"未到期",IF(M135&lt;=30,"逾期1-30天",IF(M135&lt;=60,"逾期31-60天",IF(M135&lt;=90,"逾期61-90天","逾期90天以上"))))))</f>
        <v/>
      </c>
      <c r="P135" t="str">
        <f>IF(销售录入!A125="","",销售录入!N125)</f>
        <v/>
      </c>
      <c r="Q135" t="str">
        <f>IF(销售录入!A125="","",销售录入!O125)</f>
        <v/>
      </c>
    </row>
    <row r="136" spans="1:17">
      <c r="A136" t="str">
        <f>IF(销售录入!A126="","","销售")</f>
        <v/>
      </c>
      <c r="B136" t="str">
        <f>IF(销售录入!A126="","",销售录入!A126)</f>
        <v/>
      </c>
      <c r="C136" t="str">
        <f>IF(销售录入!A126="","",销售录入!C126)</f>
        <v/>
      </c>
      <c r="D136" t="str">
        <f>IF(销售录入!A126="","",销售录入!D126)</f>
        <v/>
      </c>
      <c r="E136" t="str">
        <f>IF(销售录入!A126="","",销售录入!I126)</f>
        <v/>
      </c>
      <c r="F136" t="str">
        <f>IF(销售录入!A126="","",销售录入!L126)</f>
        <v/>
      </c>
      <c r="G136" t="str">
        <f>IF(C136="","",SUMIFS(资金流水!$J$4:$J$203,资金流水!$F$4:$F$203,C136,资金流水!$D$4:$D$203,"客户回款",资金流水!$A$4:$A$203,"&lt;="&amp;应收跟进!$E$2))</f>
        <v/>
      </c>
      <c r="H136" t="str">
        <f>IF(C136="","",SUMIFS($E$4:E135,$C$4:C135,C136))</f>
        <v/>
      </c>
      <c r="J136" t="str">
        <f>IF(C136="","",MIN(MAX(0,E136-N(I136)),MAX(0,G136-SUMIFS($I$4:$I$213,$C$4:$C$213,C136)-(SUMIFS($E$4:E135,$C$4:C135,C136)-SUMIFS($I$4:I135,$C$4:C135,C136)))))</f>
        <v/>
      </c>
      <c r="M136" t="str">
        <f>IF(C136="","",IF(OR(L136&lt;=0,F136=""),0,MAX(0,应收跟进!$E$2-F136)))</f>
        <v/>
      </c>
      <c r="N136" t="str">
        <f>IF(C136="","",IF(L136&lt;=0,"已结清",IF(F136&gt;应收跟进!$E$2,"未到期",IF(M136&lt;=30,"逾期1-30天",IF(M136&lt;=60,"逾期31-60天",IF(M136&lt;=90,"逾期61-90天","逾期90天以上"))))))</f>
        <v/>
      </c>
      <c r="P136" t="str">
        <f>IF(销售录入!A126="","",销售录入!N126)</f>
        <v/>
      </c>
      <c r="Q136" t="str">
        <f>IF(销售录入!A126="","",销售录入!O126)</f>
        <v/>
      </c>
    </row>
    <row r="137" spans="1:17">
      <c r="A137" t="str">
        <f>IF(销售录入!A127="","","销售")</f>
        <v/>
      </c>
      <c r="B137" t="str">
        <f>IF(销售录入!A127="","",销售录入!A127)</f>
        <v/>
      </c>
      <c r="C137" t="str">
        <f>IF(销售录入!A127="","",销售录入!C127)</f>
        <v/>
      </c>
      <c r="D137" t="str">
        <f>IF(销售录入!A127="","",销售录入!D127)</f>
        <v/>
      </c>
      <c r="E137" t="str">
        <f>IF(销售录入!A127="","",销售录入!I127)</f>
        <v/>
      </c>
      <c r="F137" t="str">
        <f>IF(销售录入!A127="","",销售录入!L127)</f>
        <v/>
      </c>
      <c r="G137" t="str">
        <f>IF(C137="","",SUMIFS(资金流水!$J$4:$J$203,资金流水!$F$4:$F$203,C137,资金流水!$D$4:$D$203,"客户回款",资金流水!$A$4:$A$203,"&lt;="&amp;应收跟进!$E$2))</f>
        <v/>
      </c>
      <c r="H137" t="str">
        <f>IF(C137="","",SUMIFS($E$4:E136,$C$4:C136,C137))</f>
        <v/>
      </c>
      <c r="J137" t="str">
        <f>IF(C137="","",MIN(MAX(0,E137-N(I137)),MAX(0,G137-SUMIFS($I$4:$I$213,$C$4:$C$213,C137)-(SUMIFS($E$4:E136,$C$4:C136,C137)-SUMIFS($I$4:I136,$C$4:C136,C137)))))</f>
        <v/>
      </c>
      <c r="M137" t="str">
        <f>IF(C137="","",IF(OR(L137&lt;=0,F137=""),0,MAX(0,应收跟进!$E$2-F137)))</f>
        <v/>
      </c>
      <c r="N137" t="str">
        <f>IF(C137="","",IF(L137&lt;=0,"已结清",IF(F137&gt;应收跟进!$E$2,"未到期",IF(M137&lt;=30,"逾期1-30天",IF(M137&lt;=60,"逾期31-60天",IF(M137&lt;=90,"逾期61-90天","逾期90天以上"))))))</f>
        <v/>
      </c>
      <c r="P137" t="str">
        <f>IF(销售录入!A127="","",销售录入!N127)</f>
        <v/>
      </c>
      <c r="Q137" t="str">
        <f>IF(销售录入!A127="","",销售录入!O127)</f>
        <v/>
      </c>
    </row>
    <row r="138" spans="1:17">
      <c r="A138" t="str">
        <f>IF(销售录入!A128="","","销售")</f>
        <v/>
      </c>
      <c r="B138" t="str">
        <f>IF(销售录入!A128="","",销售录入!A128)</f>
        <v/>
      </c>
      <c r="C138" t="str">
        <f>IF(销售录入!A128="","",销售录入!C128)</f>
        <v/>
      </c>
      <c r="D138" t="str">
        <f>IF(销售录入!A128="","",销售录入!D128)</f>
        <v/>
      </c>
      <c r="E138" t="str">
        <f>IF(销售录入!A128="","",销售录入!I128)</f>
        <v/>
      </c>
      <c r="F138" t="str">
        <f>IF(销售录入!A128="","",销售录入!L128)</f>
        <v/>
      </c>
      <c r="G138" t="str">
        <f>IF(C138="","",SUMIFS(资金流水!$J$4:$J$203,资金流水!$F$4:$F$203,C138,资金流水!$D$4:$D$203,"客户回款",资金流水!$A$4:$A$203,"&lt;="&amp;应收跟进!$E$2))</f>
        <v/>
      </c>
      <c r="H138" t="str">
        <f>IF(C138="","",SUMIFS($E$4:E137,$C$4:C137,C138))</f>
        <v/>
      </c>
      <c r="J138" t="str">
        <f>IF(C138="","",MIN(MAX(0,E138-N(I138)),MAX(0,G138-SUMIFS($I$4:$I$213,$C$4:$C$213,C138)-(SUMIFS($E$4:E137,$C$4:C137,C138)-SUMIFS($I$4:I137,$C$4:C137,C138)))))</f>
        <v/>
      </c>
      <c r="M138" t="str">
        <f>IF(C138="","",IF(OR(L138&lt;=0,F138=""),0,MAX(0,应收跟进!$E$2-F138)))</f>
        <v/>
      </c>
      <c r="N138" t="str">
        <f>IF(C138="","",IF(L138&lt;=0,"已结清",IF(F138&gt;应收跟进!$E$2,"未到期",IF(M138&lt;=30,"逾期1-30天",IF(M138&lt;=60,"逾期31-60天",IF(M138&lt;=90,"逾期61-90天","逾期90天以上"))))))</f>
        <v/>
      </c>
      <c r="P138" t="str">
        <f>IF(销售录入!A128="","",销售录入!N128)</f>
        <v/>
      </c>
      <c r="Q138" t="str">
        <f>IF(销售录入!A128="","",销售录入!O128)</f>
        <v/>
      </c>
    </row>
    <row r="139" spans="1:17">
      <c r="A139" t="str">
        <f>IF(销售录入!A129="","","销售")</f>
        <v/>
      </c>
      <c r="B139" t="str">
        <f>IF(销售录入!A129="","",销售录入!A129)</f>
        <v/>
      </c>
      <c r="C139" t="str">
        <f>IF(销售录入!A129="","",销售录入!C129)</f>
        <v/>
      </c>
      <c r="D139" t="str">
        <f>IF(销售录入!A129="","",销售录入!D129)</f>
        <v/>
      </c>
      <c r="E139" t="str">
        <f>IF(销售录入!A129="","",销售录入!I129)</f>
        <v/>
      </c>
      <c r="F139" t="str">
        <f>IF(销售录入!A129="","",销售录入!L129)</f>
        <v/>
      </c>
      <c r="G139" t="str">
        <f>IF(C139="","",SUMIFS(资金流水!$J$4:$J$203,资金流水!$F$4:$F$203,C139,资金流水!$D$4:$D$203,"客户回款",资金流水!$A$4:$A$203,"&lt;="&amp;应收跟进!$E$2))</f>
        <v/>
      </c>
      <c r="H139" t="str">
        <f>IF(C139="","",SUMIFS($E$4:E138,$C$4:C138,C139))</f>
        <v/>
      </c>
      <c r="J139" t="str">
        <f>IF(C139="","",MIN(MAX(0,E139-N(I139)),MAX(0,G139-SUMIFS($I$4:$I$213,$C$4:$C$213,C139)-(SUMIFS($E$4:E138,$C$4:C138,C139)-SUMIFS($I$4:I138,$C$4:C138,C139)))))</f>
        <v/>
      </c>
      <c r="M139" t="str">
        <f>IF(C139="","",IF(OR(L139&lt;=0,F139=""),0,MAX(0,应收跟进!$E$2-F139)))</f>
        <v/>
      </c>
      <c r="N139" t="str">
        <f>IF(C139="","",IF(L139&lt;=0,"已结清",IF(F139&gt;应收跟进!$E$2,"未到期",IF(M139&lt;=30,"逾期1-30天",IF(M139&lt;=60,"逾期31-60天",IF(M139&lt;=90,"逾期61-90天","逾期90天以上"))))))</f>
        <v/>
      </c>
      <c r="P139" t="str">
        <f>IF(销售录入!A129="","",销售录入!N129)</f>
        <v/>
      </c>
      <c r="Q139" t="str">
        <f>IF(销售录入!A129="","",销售录入!O129)</f>
        <v/>
      </c>
    </row>
    <row r="140" spans="1:17">
      <c r="A140" t="str">
        <f>IF(销售录入!A130="","","销售")</f>
        <v/>
      </c>
      <c r="B140" t="str">
        <f>IF(销售录入!A130="","",销售录入!A130)</f>
        <v/>
      </c>
      <c r="C140" t="str">
        <f>IF(销售录入!A130="","",销售录入!C130)</f>
        <v/>
      </c>
      <c r="D140" t="str">
        <f>IF(销售录入!A130="","",销售录入!D130)</f>
        <v/>
      </c>
      <c r="E140" t="str">
        <f>IF(销售录入!A130="","",销售录入!I130)</f>
        <v/>
      </c>
      <c r="F140" t="str">
        <f>IF(销售录入!A130="","",销售录入!L130)</f>
        <v/>
      </c>
      <c r="G140" t="str">
        <f>IF(C140="","",SUMIFS(资金流水!$J$4:$J$203,资金流水!$F$4:$F$203,C140,资金流水!$D$4:$D$203,"客户回款",资金流水!$A$4:$A$203,"&lt;="&amp;应收跟进!$E$2))</f>
        <v/>
      </c>
      <c r="H140" t="str">
        <f>IF(C140="","",SUMIFS($E$4:E139,$C$4:C139,C140))</f>
        <v/>
      </c>
      <c r="J140" t="str">
        <f>IF(C140="","",MIN(MAX(0,E140-N(I140)),MAX(0,G140-SUMIFS($I$4:$I$213,$C$4:$C$213,C140)-(SUMIFS($E$4:E139,$C$4:C139,C140)-SUMIFS($I$4:I139,$C$4:C139,C140)))))</f>
        <v/>
      </c>
      <c r="M140" t="str">
        <f>IF(C140="","",IF(OR(L140&lt;=0,F140=""),0,MAX(0,应收跟进!$E$2-F140)))</f>
        <v/>
      </c>
      <c r="N140" t="str">
        <f>IF(C140="","",IF(L140&lt;=0,"已结清",IF(F140&gt;应收跟进!$E$2,"未到期",IF(M140&lt;=30,"逾期1-30天",IF(M140&lt;=60,"逾期31-60天",IF(M140&lt;=90,"逾期61-90天","逾期90天以上"))))))</f>
        <v/>
      </c>
      <c r="P140" t="str">
        <f>IF(销售录入!A130="","",销售录入!N130)</f>
        <v/>
      </c>
      <c r="Q140" t="str">
        <f>IF(销售录入!A130="","",销售录入!O130)</f>
        <v/>
      </c>
    </row>
    <row r="141" spans="1:17">
      <c r="A141" t="str">
        <f>IF(销售录入!A131="","","销售")</f>
        <v/>
      </c>
      <c r="B141" t="str">
        <f>IF(销售录入!A131="","",销售录入!A131)</f>
        <v/>
      </c>
      <c r="C141" t="str">
        <f>IF(销售录入!A131="","",销售录入!C131)</f>
        <v/>
      </c>
      <c r="D141" t="str">
        <f>IF(销售录入!A131="","",销售录入!D131)</f>
        <v/>
      </c>
      <c r="E141" t="str">
        <f>IF(销售录入!A131="","",销售录入!I131)</f>
        <v/>
      </c>
      <c r="F141" t="str">
        <f>IF(销售录入!A131="","",销售录入!L131)</f>
        <v/>
      </c>
      <c r="G141" t="str">
        <f>IF(C141="","",SUMIFS(资金流水!$J$4:$J$203,资金流水!$F$4:$F$203,C141,资金流水!$D$4:$D$203,"客户回款",资金流水!$A$4:$A$203,"&lt;="&amp;应收跟进!$E$2))</f>
        <v/>
      </c>
      <c r="H141" t="str">
        <f>IF(C141="","",SUMIFS($E$4:E140,$C$4:C140,C141))</f>
        <v/>
      </c>
      <c r="J141" t="str">
        <f>IF(C141="","",MIN(MAX(0,E141-N(I141)),MAX(0,G141-SUMIFS($I$4:$I$213,$C$4:$C$213,C141)-(SUMIFS($E$4:E140,$C$4:C140,C141)-SUMIFS($I$4:I140,$C$4:C140,C141)))))</f>
        <v/>
      </c>
      <c r="M141" t="str">
        <f>IF(C141="","",IF(OR(L141&lt;=0,F141=""),0,MAX(0,应收跟进!$E$2-F141)))</f>
        <v/>
      </c>
      <c r="N141" t="str">
        <f>IF(C141="","",IF(L141&lt;=0,"已结清",IF(F141&gt;应收跟进!$E$2,"未到期",IF(M141&lt;=30,"逾期1-30天",IF(M141&lt;=60,"逾期31-60天",IF(M141&lt;=90,"逾期61-90天","逾期90天以上"))))))</f>
        <v/>
      </c>
      <c r="P141" t="str">
        <f>IF(销售录入!A131="","",销售录入!N131)</f>
        <v/>
      </c>
      <c r="Q141" t="str">
        <f>IF(销售录入!A131="","",销售录入!O131)</f>
        <v/>
      </c>
    </row>
    <row r="142" spans="1:17">
      <c r="A142" t="str">
        <f>IF(销售录入!A132="","","销售")</f>
        <v/>
      </c>
      <c r="B142" t="str">
        <f>IF(销售录入!A132="","",销售录入!A132)</f>
        <v/>
      </c>
      <c r="C142" t="str">
        <f>IF(销售录入!A132="","",销售录入!C132)</f>
        <v/>
      </c>
      <c r="D142" t="str">
        <f>IF(销售录入!A132="","",销售录入!D132)</f>
        <v/>
      </c>
      <c r="E142" t="str">
        <f>IF(销售录入!A132="","",销售录入!I132)</f>
        <v/>
      </c>
      <c r="F142" t="str">
        <f>IF(销售录入!A132="","",销售录入!L132)</f>
        <v/>
      </c>
      <c r="G142" t="str">
        <f>IF(C142="","",SUMIFS(资金流水!$J$4:$J$203,资金流水!$F$4:$F$203,C142,资金流水!$D$4:$D$203,"客户回款",资金流水!$A$4:$A$203,"&lt;="&amp;应收跟进!$E$2))</f>
        <v/>
      </c>
      <c r="H142" t="str">
        <f>IF(C142="","",SUMIFS($E$4:E141,$C$4:C141,C142))</f>
        <v/>
      </c>
      <c r="J142" t="str">
        <f>IF(C142="","",MIN(MAX(0,E142-N(I142)),MAX(0,G142-SUMIFS($I$4:$I$213,$C$4:$C$213,C142)-(SUMIFS($E$4:E141,$C$4:C141,C142)-SUMIFS($I$4:I141,$C$4:C141,C142)))))</f>
        <v/>
      </c>
      <c r="M142" t="str">
        <f>IF(C142="","",IF(OR(L142&lt;=0,F142=""),0,MAX(0,应收跟进!$E$2-F142)))</f>
        <v/>
      </c>
      <c r="N142" t="str">
        <f>IF(C142="","",IF(L142&lt;=0,"已结清",IF(F142&gt;应收跟进!$E$2,"未到期",IF(M142&lt;=30,"逾期1-30天",IF(M142&lt;=60,"逾期31-60天",IF(M142&lt;=90,"逾期61-90天","逾期90天以上"))))))</f>
        <v/>
      </c>
      <c r="P142" t="str">
        <f>IF(销售录入!A132="","",销售录入!N132)</f>
        <v/>
      </c>
      <c r="Q142" t="str">
        <f>IF(销售录入!A132="","",销售录入!O132)</f>
        <v/>
      </c>
    </row>
    <row r="143" spans="1:17">
      <c r="A143" t="str">
        <f>IF(销售录入!A133="","","销售")</f>
        <v/>
      </c>
      <c r="B143" t="str">
        <f>IF(销售录入!A133="","",销售录入!A133)</f>
        <v/>
      </c>
      <c r="C143" t="str">
        <f>IF(销售录入!A133="","",销售录入!C133)</f>
        <v/>
      </c>
      <c r="D143" t="str">
        <f>IF(销售录入!A133="","",销售录入!D133)</f>
        <v/>
      </c>
      <c r="E143" t="str">
        <f>IF(销售录入!A133="","",销售录入!I133)</f>
        <v/>
      </c>
      <c r="F143" t="str">
        <f>IF(销售录入!A133="","",销售录入!L133)</f>
        <v/>
      </c>
      <c r="G143" t="str">
        <f>IF(C143="","",SUMIFS(资金流水!$J$4:$J$203,资金流水!$F$4:$F$203,C143,资金流水!$D$4:$D$203,"客户回款",资金流水!$A$4:$A$203,"&lt;="&amp;应收跟进!$E$2))</f>
        <v/>
      </c>
      <c r="H143" t="str">
        <f>IF(C143="","",SUMIFS($E$4:E142,$C$4:C142,C143))</f>
        <v/>
      </c>
      <c r="J143" t="str">
        <f>IF(C143="","",MIN(MAX(0,E143-N(I143)),MAX(0,G143-SUMIFS($I$4:$I$213,$C$4:$C$213,C143)-(SUMIFS($E$4:E142,$C$4:C142,C143)-SUMIFS($I$4:I142,$C$4:C142,C143)))))</f>
        <v/>
      </c>
      <c r="M143" t="str">
        <f>IF(C143="","",IF(OR(L143&lt;=0,F143=""),0,MAX(0,应收跟进!$E$2-F143)))</f>
        <v/>
      </c>
      <c r="N143" t="str">
        <f>IF(C143="","",IF(L143&lt;=0,"已结清",IF(F143&gt;应收跟进!$E$2,"未到期",IF(M143&lt;=30,"逾期1-30天",IF(M143&lt;=60,"逾期31-60天",IF(M143&lt;=90,"逾期61-90天","逾期90天以上"))))))</f>
        <v/>
      </c>
      <c r="P143" t="str">
        <f>IF(销售录入!A133="","",销售录入!N133)</f>
        <v/>
      </c>
      <c r="Q143" t="str">
        <f>IF(销售录入!A133="","",销售录入!O133)</f>
        <v/>
      </c>
    </row>
    <row r="144" spans="1:17">
      <c r="A144" t="str">
        <f>IF(销售录入!A134="","","销售")</f>
        <v/>
      </c>
      <c r="B144" t="str">
        <f>IF(销售录入!A134="","",销售录入!A134)</f>
        <v/>
      </c>
      <c r="C144" t="str">
        <f>IF(销售录入!A134="","",销售录入!C134)</f>
        <v/>
      </c>
      <c r="D144" t="str">
        <f>IF(销售录入!A134="","",销售录入!D134)</f>
        <v/>
      </c>
      <c r="E144" t="str">
        <f>IF(销售录入!A134="","",销售录入!I134)</f>
        <v/>
      </c>
      <c r="F144" t="str">
        <f>IF(销售录入!A134="","",销售录入!L134)</f>
        <v/>
      </c>
      <c r="G144" t="str">
        <f>IF(C144="","",SUMIFS(资金流水!$J$4:$J$203,资金流水!$F$4:$F$203,C144,资金流水!$D$4:$D$203,"客户回款",资金流水!$A$4:$A$203,"&lt;="&amp;应收跟进!$E$2))</f>
        <v/>
      </c>
      <c r="H144" t="str">
        <f>IF(C144="","",SUMIFS($E$4:E143,$C$4:C143,C144))</f>
        <v/>
      </c>
      <c r="J144" t="str">
        <f>IF(C144="","",MIN(MAX(0,E144-N(I144)),MAX(0,G144-SUMIFS($I$4:$I$213,$C$4:$C$213,C144)-(SUMIFS($E$4:E143,$C$4:C143,C144)-SUMIFS($I$4:I143,$C$4:C143,C144)))))</f>
        <v/>
      </c>
      <c r="M144" t="str">
        <f>IF(C144="","",IF(OR(L144&lt;=0,F144=""),0,MAX(0,应收跟进!$E$2-F144)))</f>
        <v/>
      </c>
      <c r="N144" t="str">
        <f>IF(C144="","",IF(L144&lt;=0,"已结清",IF(F144&gt;应收跟进!$E$2,"未到期",IF(M144&lt;=30,"逾期1-30天",IF(M144&lt;=60,"逾期31-60天",IF(M144&lt;=90,"逾期61-90天","逾期90天以上"))))))</f>
        <v/>
      </c>
      <c r="P144" t="str">
        <f>IF(销售录入!A134="","",销售录入!N134)</f>
        <v/>
      </c>
      <c r="Q144" t="str">
        <f>IF(销售录入!A134="","",销售录入!O134)</f>
        <v/>
      </c>
    </row>
    <row r="145" spans="1:17">
      <c r="A145" t="str">
        <f>IF(销售录入!A135="","","销售")</f>
        <v/>
      </c>
      <c r="B145" t="str">
        <f>IF(销售录入!A135="","",销售录入!A135)</f>
        <v/>
      </c>
      <c r="C145" t="str">
        <f>IF(销售录入!A135="","",销售录入!C135)</f>
        <v/>
      </c>
      <c r="D145" t="str">
        <f>IF(销售录入!A135="","",销售录入!D135)</f>
        <v/>
      </c>
      <c r="E145" t="str">
        <f>IF(销售录入!A135="","",销售录入!I135)</f>
        <v/>
      </c>
      <c r="F145" t="str">
        <f>IF(销售录入!A135="","",销售录入!L135)</f>
        <v/>
      </c>
      <c r="G145" t="str">
        <f>IF(C145="","",SUMIFS(资金流水!$J$4:$J$203,资金流水!$F$4:$F$203,C145,资金流水!$D$4:$D$203,"客户回款",资金流水!$A$4:$A$203,"&lt;="&amp;应收跟进!$E$2))</f>
        <v/>
      </c>
      <c r="H145" t="str">
        <f>IF(C145="","",SUMIFS($E$4:E144,$C$4:C144,C145))</f>
        <v/>
      </c>
      <c r="J145" t="str">
        <f>IF(C145="","",MIN(MAX(0,E145-N(I145)),MAX(0,G145-SUMIFS($I$4:$I$213,$C$4:$C$213,C145)-(SUMIFS($E$4:E144,$C$4:C144,C145)-SUMIFS($I$4:I144,$C$4:C144,C145)))))</f>
        <v/>
      </c>
      <c r="M145" t="str">
        <f>IF(C145="","",IF(OR(L145&lt;=0,F145=""),0,MAX(0,应收跟进!$E$2-F145)))</f>
        <v/>
      </c>
      <c r="N145" t="str">
        <f>IF(C145="","",IF(L145&lt;=0,"已结清",IF(F145&gt;应收跟进!$E$2,"未到期",IF(M145&lt;=30,"逾期1-30天",IF(M145&lt;=60,"逾期31-60天",IF(M145&lt;=90,"逾期61-90天","逾期90天以上"))))))</f>
        <v/>
      </c>
      <c r="P145" t="str">
        <f>IF(销售录入!A135="","",销售录入!N135)</f>
        <v/>
      </c>
      <c r="Q145" t="str">
        <f>IF(销售录入!A135="","",销售录入!O135)</f>
        <v/>
      </c>
    </row>
    <row r="146" spans="1:17">
      <c r="A146" t="str">
        <f>IF(销售录入!A136="","","销售")</f>
        <v/>
      </c>
      <c r="B146" t="str">
        <f>IF(销售录入!A136="","",销售录入!A136)</f>
        <v/>
      </c>
      <c r="C146" t="str">
        <f>IF(销售录入!A136="","",销售录入!C136)</f>
        <v/>
      </c>
      <c r="D146" t="str">
        <f>IF(销售录入!A136="","",销售录入!D136)</f>
        <v/>
      </c>
      <c r="E146" t="str">
        <f>IF(销售录入!A136="","",销售录入!I136)</f>
        <v/>
      </c>
      <c r="F146" t="str">
        <f>IF(销售录入!A136="","",销售录入!L136)</f>
        <v/>
      </c>
      <c r="G146" t="str">
        <f>IF(C146="","",SUMIFS(资金流水!$J$4:$J$203,资金流水!$F$4:$F$203,C146,资金流水!$D$4:$D$203,"客户回款",资金流水!$A$4:$A$203,"&lt;="&amp;应收跟进!$E$2))</f>
        <v/>
      </c>
      <c r="H146" t="str">
        <f>IF(C146="","",SUMIFS($E$4:E145,$C$4:C145,C146))</f>
        <v/>
      </c>
      <c r="J146" t="str">
        <f>IF(C146="","",MIN(MAX(0,E146-N(I146)),MAX(0,G146-SUMIFS($I$4:$I$213,$C$4:$C$213,C146)-(SUMIFS($E$4:E145,$C$4:C145,C146)-SUMIFS($I$4:I145,$C$4:C145,C146)))))</f>
        <v/>
      </c>
      <c r="M146" t="str">
        <f>IF(C146="","",IF(OR(L146&lt;=0,F146=""),0,MAX(0,应收跟进!$E$2-F146)))</f>
        <v/>
      </c>
      <c r="N146" t="str">
        <f>IF(C146="","",IF(L146&lt;=0,"已结清",IF(F146&gt;应收跟进!$E$2,"未到期",IF(M146&lt;=30,"逾期1-30天",IF(M146&lt;=60,"逾期31-60天",IF(M146&lt;=90,"逾期61-90天","逾期90天以上"))))))</f>
        <v/>
      </c>
      <c r="P146" t="str">
        <f>IF(销售录入!A136="","",销售录入!N136)</f>
        <v/>
      </c>
      <c r="Q146" t="str">
        <f>IF(销售录入!A136="","",销售录入!O136)</f>
        <v/>
      </c>
    </row>
    <row r="147" spans="1:17">
      <c r="A147" t="str">
        <f>IF(销售录入!A137="","","销售")</f>
        <v/>
      </c>
      <c r="B147" t="str">
        <f>IF(销售录入!A137="","",销售录入!A137)</f>
        <v/>
      </c>
      <c r="C147" t="str">
        <f>IF(销售录入!A137="","",销售录入!C137)</f>
        <v/>
      </c>
      <c r="D147" t="str">
        <f>IF(销售录入!A137="","",销售录入!D137)</f>
        <v/>
      </c>
      <c r="E147" t="str">
        <f>IF(销售录入!A137="","",销售录入!I137)</f>
        <v/>
      </c>
      <c r="F147" t="str">
        <f>IF(销售录入!A137="","",销售录入!L137)</f>
        <v/>
      </c>
      <c r="G147" t="str">
        <f>IF(C147="","",SUMIFS(资金流水!$J$4:$J$203,资金流水!$F$4:$F$203,C147,资金流水!$D$4:$D$203,"客户回款",资金流水!$A$4:$A$203,"&lt;="&amp;应收跟进!$E$2))</f>
        <v/>
      </c>
      <c r="H147" t="str">
        <f>IF(C147="","",SUMIFS($E$4:E146,$C$4:C146,C147))</f>
        <v/>
      </c>
      <c r="J147" t="str">
        <f>IF(C147="","",MIN(MAX(0,E147-N(I147)),MAX(0,G147-SUMIFS($I$4:$I$213,$C$4:$C$213,C147)-(SUMIFS($E$4:E146,$C$4:C146,C147)-SUMIFS($I$4:I146,$C$4:C146,C147)))))</f>
        <v/>
      </c>
      <c r="M147" t="str">
        <f>IF(C147="","",IF(OR(L147&lt;=0,F147=""),0,MAX(0,应收跟进!$E$2-F147)))</f>
        <v/>
      </c>
      <c r="N147" t="str">
        <f>IF(C147="","",IF(L147&lt;=0,"已结清",IF(F147&gt;应收跟进!$E$2,"未到期",IF(M147&lt;=30,"逾期1-30天",IF(M147&lt;=60,"逾期31-60天",IF(M147&lt;=90,"逾期61-90天","逾期90天以上"))))))</f>
        <v/>
      </c>
      <c r="P147" t="str">
        <f>IF(销售录入!A137="","",销售录入!N137)</f>
        <v/>
      </c>
      <c r="Q147" t="str">
        <f>IF(销售录入!A137="","",销售录入!O137)</f>
        <v/>
      </c>
    </row>
    <row r="148" spans="1:17">
      <c r="A148" t="str">
        <f>IF(销售录入!A138="","","销售")</f>
        <v/>
      </c>
      <c r="B148" t="str">
        <f>IF(销售录入!A138="","",销售录入!A138)</f>
        <v/>
      </c>
      <c r="C148" t="str">
        <f>IF(销售录入!A138="","",销售录入!C138)</f>
        <v/>
      </c>
      <c r="D148" t="str">
        <f>IF(销售录入!A138="","",销售录入!D138)</f>
        <v/>
      </c>
      <c r="E148" t="str">
        <f>IF(销售录入!A138="","",销售录入!I138)</f>
        <v/>
      </c>
      <c r="F148" t="str">
        <f>IF(销售录入!A138="","",销售录入!L138)</f>
        <v/>
      </c>
      <c r="G148" t="str">
        <f>IF(C148="","",SUMIFS(资金流水!$J$4:$J$203,资金流水!$F$4:$F$203,C148,资金流水!$D$4:$D$203,"客户回款",资金流水!$A$4:$A$203,"&lt;="&amp;应收跟进!$E$2))</f>
        <v/>
      </c>
      <c r="H148" t="str">
        <f>IF(C148="","",SUMIFS($E$4:E147,$C$4:C147,C148))</f>
        <v/>
      </c>
      <c r="J148" t="str">
        <f>IF(C148="","",MIN(MAX(0,E148-N(I148)),MAX(0,G148-SUMIFS($I$4:$I$213,$C$4:$C$213,C148)-(SUMIFS($E$4:E147,$C$4:C147,C148)-SUMIFS($I$4:I147,$C$4:C147,C148)))))</f>
        <v/>
      </c>
      <c r="M148" t="str">
        <f>IF(C148="","",IF(OR(L148&lt;=0,F148=""),0,MAX(0,应收跟进!$E$2-F148)))</f>
        <v/>
      </c>
      <c r="N148" t="str">
        <f>IF(C148="","",IF(L148&lt;=0,"已结清",IF(F148&gt;应收跟进!$E$2,"未到期",IF(M148&lt;=30,"逾期1-30天",IF(M148&lt;=60,"逾期31-60天",IF(M148&lt;=90,"逾期61-90天","逾期90天以上"))))))</f>
        <v/>
      </c>
      <c r="P148" t="str">
        <f>IF(销售录入!A138="","",销售录入!N138)</f>
        <v/>
      </c>
      <c r="Q148" t="str">
        <f>IF(销售录入!A138="","",销售录入!O138)</f>
        <v/>
      </c>
    </row>
    <row r="149" spans="1:17">
      <c r="A149" t="str">
        <f>IF(销售录入!A139="","","销售")</f>
        <v/>
      </c>
      <c r="B149" t="str">
        <f>IF(销售录入!A139="","",销售录入!A139)</f>
        <v/>
      </c>
      <c r="C149" t="str">
        <f>IF(销售录入!A139="","",销售录入!C139)</f>
        <v/>
      </c>
      <c r="D149" t="str">
        <f>IF(销售录入!A139="","",销售录入!D139)</f>
        <v/>
      </c>
      <c r="E149" t="str">
        <f>IF(销售录入!A139="","",销售录入!I139)</f>
        <v/>
      </c>
      <c r="F149" t="str">
        <f>IF(销售录入!A139="","",销售录入!L139)</f>
        <v/>
      </c>
      <c r="G149" t="str">
        <f>IF(C149="","",SUMIFS(资金流水!$J$4:$J$203,资金流水!$F$4:$F$203,C149,资金流水!$D$4:$D$203,"客户回款",资金流水!$A$4:$A$203,"&lt;="&amp;应收跟进!$E$2))</f>
        <v/>
      </c>
      <c r="H149" t="str">
        <f>IF(C149="","",SUMIFS($E$4:E148,$C$4:C148,C149))</f>
        <v/>
      </c>
      <c r="J149" t="str">
        <f>IF(C149="","",MIN(MAX(0,E149-N(I149)),MAX(0,G149-SUMIFS($I$4:$I$213,$C$4:$C$213,C149)-(SUMIFS($E$4:E148,$C$4:C148,C149)-SUMIFS($I$4:I148,$C$4:C148,C149)))))</f>
        <v/>
      </c>
      <c r="M149" t="str">
        <f>IF(C149="","",IF(OR(L149&lt;=0,F149=""),0,MAX(0,应收跟进!$E$2-F149)))</f>
        <v/>
      </c>
      <c r="N149" t="str">
        <f>IF(C149="","",IF(L149&lt;=0,"已结清",IF(F149&gt;应收跟进!$E$2,"未到期",IF(M149&lt;=30,"逾期1-30天",IF(M149&lt;=60,"逾期31-60天",IF(M149&lt;=90,"逾期61-90天","逾期90天以上"))))))</f>
        <v/>
      </c>
      <c r="P149" t="str">
        <f>IF(销售录入!A139="","",销售录入!N139)</f>
        <v/>
      </c>
      <c r="Q149" t="str">
        <f>IF(销售录入!A139="","",销售录入!O139)</f>
        <v/>
      </c>
    </row>
    <row r="150" spans="1:17">
      <c r="A150" t="str">
        <f>IF(销售录入!A140="","","销售")</f>
        <v/>
      </c>
      <c r="B150" t="str">
        <f>IF(销售录入!A140="","",销售录入!A140)</f>
        <v/>
      </c>
      <c r="C150" t="str">
        <f>IF(销售录入!A140="","",销售录入!C140)</f>
        <v/>
      </c>
      <c r="D150" t="str">
        <f>IF(销售录入!A140="","",销售录入!D140)</f>
        <v/>
      </c>
      <c r="E150" t="str">
        <f>IF(销售录入!A140="","",销售录入!I140)</f>
        <v/>
      </c>
      <c r="F150" t="str">
        <f>IF(销售录入!A140="","",销售录入!L140)</f>
        <v/>
      </c>
      <c r="G150" t="str">
        <f>IF(C150="","",SUMIFS(资金流水!$J$4:$J$203,资金流水!$F$4:$F$203,C150,资金流水!$D$4:$D$203,"客户回款",资金流水!$A$4:$A$203,"&lt;="&amp;应收跟进!$E$2))</f>
        <v/>
      </c>
      <c r="H150" t="str">
        <f>IF(C150="","",SUMIFS($E$4:E149,$C$4:C149,C150))</f>
        <v/>
      </c>
      <c r="J150" t="str">
        <f>IF(C150="","",MIN(MAX(0,E150-N(I150)),MAX(0,G150-SUMIFS($I$4:$I$213,$C$4:$C$213,C150)-(SUMIFS($E$4:E149,$C$4:C149,C150)-SUMIFS($I$4:I149,$C$4:C149,C150)))))</f>
        <v/>
      </c>
      <c r="M150" t="str">
        <f>IF(C150="","",IF(OR(L150&lt;=0,F150=""),0,MAX(0,应收跟进!$E$2-F150)))</f>
        <v/>
      </c>
      <c r="N150" t="str">
        <f>IF(C150="","",IF(L150&lt;=0,"已结清",IF(F150&gt;应收跟进!$E$2,"未到期",IF(M150&lt;=30,"逾期1-30天",IF(M150&lt;=60,"逾期31-60天",IF(M150&lt;=90,"逾期61-90天","逾期90天以上"))))))</f>
        <v/>
      </c>
      <c r="P150" t="str">
        <f>IF(销售录入!A140="","",销售录入!N140)</f>
        <v/>
      </c>
      <c r="Q150" t="str">
        <f>IF(销售录入!A140="","",销售录入!O140)</f>
        <v/>
      </c>
    </row>
    <row r="151" spans="1:17">
      <c r="A151" t="str">
        <f>IF(销售录入!A141="","","销售")</f>
        <v/>
      </c>
      <c r="B151" t="str">
        <f>IF(销售录入!A141="","",销售录入!A141)</f>
        <v/>
      </c>
      <c r="C151" t="str">
        <f>IF(销售录入!A141="","",销售录入!C141)</f>
        <v/>
      </c>
      <c r="D151" t="str">
        <f>IF(销售录入!A141="","",销售录入!D141)</f>
        <v/>
      </c>
      <c r="E151" t="str">
        <f>IF(销售录入!A141="","",销售录入!I141)</f>
        <v/>
      </c>
      <c r="F151" t="str">
        <f>IF(销售录入!A141="","",销售录入!L141)</f>
        <v/>
      </c>
      <c r="G151" t="str">
        <f>IF(C151="","",SUMIFS(资金流水!$J$4:$J$203,资金流水!$F$4:$F$203,C151,资金流水!$D$4:$D$203,"客户回款",资金流水!$A$4:$A$203,"&lt;="&amp;应收跟进!$E$2))</f>
        <v/>
      </c>
      <c r="H151" t="str">
        <f>IF(C151="","",SUMIFS($E$4:E150,$C$4:C150,C151))</f>
        <v/>
      </c>
      <c r="J151" t="str">
        <f>IF(C151="","",MIN(MAX(0,E151-N(I151)),MAX(0,G151-SUMIFS($I$4:$I$213,$C$4:$C$213,C151)-(SUMIFS($E$4:E150,$C$4:C150,C151)-SUMIFS($I$4:I150,$C$4:C150,C151)))))</f>
        <v/>
      </c>
      <c r="M151" t="str">
        <f>IF(C151="","",IF(OR(L151&lt;=0,F151=""),0,MAX(0,应收跟进!$E$2-F151)))</f>
        <v/>
      </c>
      <c r="N151" t="str">
        <f>IF(C151="","",IF(L151&lt;=0,"已结清",IF(F151&gt;应收跟进!$E$2,"未到期",IF(M151&lt;=30,"逾期1-30天",IF(M151&lt;=60,"逾期31-60天",IF(M151&lt;=90,"逾期61-90天","逾期90天以上"))))))</f>
        <v/>
      </c>
      <c r="P151" t="str">
        <f>IF(销售录入!A141="","",销售录入!N141)</f>
        <v/>
      </c>
      <c r="Q151" t="str">
        <f>IF(销售录入!A141="","",销售录入!O141)</f>
        <v/>
      </c>
    </row>
    <row r="152" spans="1:17">
      <c r="A152" t="str">
        <f>IF(销售录入!A142="","","销售")</f>
        <v/>
      </c>
      <c r="B152" t="str">
        <f>IF(销售录入!A142="","",销售录入!A142)</f>
        <v/>
      </c>
      <c r="C152" t="str">
        <f>IF(销售录入!A142="","",销售录入!C142)</f>
        <v/>
      </c>
      <c r="D152" t="str">
        <f>IF(销售录入!A142="","",销售录入!D142)</f>
        <v/>
      </c>
      <c r="E152" t="str">
        <f>IF(销售录入!A142="","",销售录入!I142)</f>
        <v/>
      </c>
      <c r="F152" t="str">
        <f>IF(销售录入!A142="","",销售录入!L142)</f>
        <v/>
      </c>
      <c r="G152" t="str">
        <f>IF(C152="","",SUMIFS(资金流水!$J$4:$J$203,资金流水!$F$4:$F$203,C152,资金流水!$D$4:$D$203,"客户回款",资金流水!$A$4:$A$203,"&lt;="&amp;应收跟进!$E$2))</f>
        <v/>
      </c>
      <c r="H152" t="str">
        <f>IF(C152="","",SUMIFS($E$4:E151,$C$4:C151,C152))</f>
        <v/>
      </c>
      <c r="J152" t="str">
        <f>IF(C152="","",MIN(MAX(0,E152-N(I152)),MAX(0,G152-SUMIFS($I$4:$I$213,$C$4:$C$213,C152)-(SUMIFS($E$4:E151,$C$4:C151,C152)-SUMIFS($I$4:I151,$C$4:C151,C152)))))</f>
        <v/>
      </c>
      <c r="M152" t="str">
        <f>IF(C152="","",IF(OR(L152&lt;=0,F152=""),0,MAX(0,应收跟进!$E$2-F152)))</f>
        <v/>
      </c>
      <c r="N152" t="str">
        <f>IF(C152="","",IF(L152&lt;=0,"已结清",IF(F152&gt;应收跟进!$E$2,"未到期",IF(M152&lt;=30,"逾期1-30天",IF(M152&lt;=60,"逾期31-60天",IF(M152&lt;=90,"逾期61-90天","逾期90天以上"))))))</f>
        <v/>
      </c>
      <c r="P152" t="str">
        <f>IF(销售录入!A142="","",销售录入!N142)</f>
        <v/>
      </c>
      <c r="Q152" t="str">
        <f>IF(销售录入!A142="","",销售录入!O142)</f>
        <v/>
      </c>
    </row>
    <row r="153" spans="1:17">
      <c r="A153" t="str">
        <f>IF(销售录入!A143="","","销售")</f>
        <v/>
      </c>
      <c r="B153" t="str">
        <f>IF(销售录入!A143="","",销售录入!A143)</f>
        <v/>
      </c>
      <c r="C153" t="str">
        <f>IF(销售录入!A143="","",销售录入!C143)</f>
        <v/>
      </c>
      <c r="D153" t="str">
        <f>IF(销售录入!A143="","",销售录入!D143)</f>
        <v/>
      </c>
      <c r="E153" t="str">
        <f>IF(销售录入!A143="","",销售录入!I143)</f>
        <v/>
      </c>
      <c r="F153" t="str">
        <f>IF(销售录入!A143="","",销售录入!L143)</f>
        <v/>
      </c>
      <c r="G153" t="str">
        <f>IF(C153="","",SUMIFS(资金流水!$J$4:$J$203,资金流水!$F$4:$F$203,C153,资金流水!$D$4:$D$203,"客户回款",资金流水!$A$4:$A$203,"&lt;="&amp;应收跟进!$E$2))</f>
        <v/>
      </c>
      <c r="H153" t="str">
        <f>IF(C153="","",SUMIFS($E$4:E152,$C$4:C152,C153))</f>
        <v/>
      </c>
      <c r="J153" t="str">
        <f>IF(C153="","",MIN(MAX(0,E153-N(I153)),MAX(0,G153-SUMIFS($I$4:$I$213,$C$4:$C$213,C153)-(SUMIFS($E$4:E152,$C$4:C152,C153)-SUMIFS($I$4:I152,$C$4:C152,C153)))))</f>
        <v/>
      </c>
      <c r="M153" t="str">
        <f>IF(C153="","",IF(OR(L153&lt;=0,F153=""),0,MAX(0,应收跟进!$E$2-F153)))</f>
        <v/>
      </c>
      <c r="N153" t="str">
        <f>IF(C153="","",IF(L153&lt;=0,"已结清",IF(F153&gt;应收跟进!$E$2,"未到期",IF(M153&lt;=30,"逾期1-30天",IF(M153&lt;=60,"逾期31-60天",IF(M153&lt;=90,"逾期61-90天","逾期90天以上"))))))</f>
        <v/>
      </c>
      <c r="P153" t="str">
        <f>IF(销售录入!A143="","",销售录入!N143)</f>
        <v/>
      </c>
      <c r="Q153" t="str">
        <f>IF(销售录入!A143="","",销售录入!O143)</f>
        <v/>
      </c>
    </row>
    <row r="154" spans="1:17">
      <c r="A154" t="str">
        <f>IF(销售录入!A144="","","销售")</f>
        <v/>
      </c>
      <c r="B154" t="str">
        <f>IF(销售录入!A144="","",销售录入!A144)</f>
        <v/>
      </c>
      <c r="C154" t="str">
        <f>IF(销售录入!A144="","",销售录入!C144)</f>
        <v/>
      </c>
      <c r="D154" t="str">
        <f>IF(销售录入!A144="","",销售录入!D144)</f>
        <v/>
      </c>
      <c r="E154" t="str">
        <f>IF(销售录入!A144="","",销售录入!I144)</f>
        <v/>
      </c>
      <c r="F154" t="str">
        <f>IF(销售录入!A144="","",销售录入!L144)</f>
        <v/>
      </c>
      <c r="G154" t="str">
        <f>IF(C154="","",SUMIFS(资金流水!$J$4:$J$203,资金流水!$F$4:$F$203,C154,资金流水!$D$4:$D$203,"客户回款",资金流水!$A$4:$A$203,"&lt;="&amp;应收跟进!$E$2))</f>
        <v/>
      </c>
      <c r="H154" t="str">
        <f>IF(C154="","",SUMIFS($E$4:E153,$C$4:C153,C154))</f>
        <v/>
      </c>
      <c r="J154" t="str">
        <f>IF(C154="","",MIN(MAX(0,E154-N(I154)),MAX(0,G154-SUMIFS($I$4:$I$213,$C$4:$C$213,C154)-(SUMIFS($E$4:E153,$C$4:C153,C154)-SUMIFS($I$4:I153,$C$4:C153,C154)))))</f>
        <v/>
      </c>
      <c r="M154" t="str">
        <f>IF(C154="","",IF(OR(L154&lt;=0,F154=""),0,MAX(0,应收跟进!$E$2-F154)))</f>
        <v/>
      </c>
      <c r="N154" t="str">
        <f>IF(C154="","",IF(L154&lt;=0,"已结清",IF(F154&gt;应收跟进!$E$2,"未到期",IF(M154&lt;=30,"逾期1-30天",IF(M154&lt;=60,"逾期31-60天",IF(M154&lt;=90,"逾期61-90天","逾期90天以上"))))))</f>
        <v/>
      </c>
      <c r="P154" t="str">
        <f>IF(销售录入!A144="","",销售录入!N144)</f>
        <v/>
      </c>
      <c r="Q154" t="str">
        <f>IF(销售录入!A144="","",销售录入!O144)</f>
        <v/>
      </c>
    </row>
    <row r="155" spans="1:17">
      <c r="A155" t="str">
        <f>IF(销售录入!A145="","","销售")</f>
        <v/>
      </c>
      <c r="B155" t="str">
        <f>IF(销售录入!A145="","",销售录入!A145)</f>
        <v/>
      </c>
      <c r="C155" t="str">
        <f>IF(销售录入!A145="","",销售录入!C145)</f>
        <v/>
      </c>
      <c r="D155" t="str">
        <f>IF(销售录入!A145="","",销售录入!D145)</f>
        <v/>
      </c>
      <c r="E155" t="str">
        <f>IF(销售录入!A145="","",销售录入!I145)</f>
        <v/>
      </c>
      <c r="F155" t="str">
        <f>IF(销售录入!A145="","",销售录入!L145)</f>
        <v/>
      </c>
      <c r="G155" t="str">
        <f>IF(C155="","",SUMIFS(资金流水!$J$4:$J$203,资金流水!$F$4:$F$203,C155,资金流水!$D$4:$D$203,"客户回款",资金流水!$A$4:$A$203,"&lt;="&amp;应收跟进!$E$2))</f>
        <v/>
      </c>
      <c r="H155" t="str">
        <f>IF(C155="","",SUMIFS($E$4:E154,$C$4:C154,C155))</f>
        <v/>
      </c>
      <c r="J155" t="str">
        <f>IF(C155="","",MIN(MAX(0,E155-N(I155)),MAX(0,G155-SUMIFS($I$4:$I$213,$C$4:$C$213,C155)-(SUMIFS($E$4:E154,$C$4:C154,C155)-SUMIFS($I$4:I154,$C$4:C154,C155)))))</f>
        <v/>
      </c>
      <c r="M155" t="str">
        <f>IF(C155="","",IF(OR(L155&lt;=0,F155=""),0,MAX(0,应收跟进!$E$2-F155)))</f>
        <v/>
      </c>
      <c r="N155" t="str">
        <f>IF(C155="","",IF(L155&lt;=0,"已结清",IF(F155&gt;应收跟进!$E$2,"未到期",IF(M155&lt;=30,"逾期1-30天",IF(M155&lt;=60,"逾期31-60天",IF(M155&lt;=90,"逾期61-90天","逾期90天以上"))))))</f>
        <v/>
      </c>
      <c r="P155" t="str">
        <f>IF(销售录入!A145="","",销售录入!N145)</f>
        <v/>
      </c>
      <c r="Q155" t="str">
        <f>IF(销售录入!A145="","",销售录入!O145)</f>
        <v/>
      </c>
    </row>
    <row r="156" spans="1:17">
      <c r="A156" t="str">
        <f>IF(销售录入!A146="","","销售")</f>
        <v/>
      </c>
      <c r="B156" t="str">
        <f>IF(销售录入!A146="","",销售录入!A146)</f>
        <v/>
      </c>
      <c r="C156" t="str">
        <f>IF(销售录入!A146="","",销售录入!C146)</f>
        <v/>
      </c>
      <c r="D156" t="str">
        <f>IF(销售录入!A146="","",销售录入!D146)</f>
        <v/>
      </c>
      <c r="E156" t="str">
        <f>IF(销售录入!A146="","",销售录入!I146)</f>
        <v/>
      </c>
      <c r="F156" t="str">
        <f>IF(销售录入!A146="","",销售录入!L146)</f>
        <v/>
      </c>
      <c r="G156" t="str">
        <f>IF(C156="","",SUMIFS(资金流水!$J$4:$J$203,资金流水!$F$4:$F$203,C156,资金流水!$D$4:$D$203,"客户回款",资金流水!$A$4:$A$203,"&lt;="&amp;应收跟进!$E$2))</f>
        <v/>
      </c>
      <c r="H156" t="str">
        <f>IF(C156="","",SUMIFS($E$4:E155,$C$4:C155,C156))</f>
        <v/>
      </c>
      <c r="J156" t="str">
        <f>IF(C156="","",MIN(MAX(0,E156-N(I156)),MAX(0,G156-SUMIFS($I$4:$I$213,$C$4:$C$213,C156)-(SUMIFS($E$4:E155,$C$4:C155,C156)-SUMIFS($I$4:I155,$C$4:C155,C156)))))</f>
        <v/>
      </c>
      <c r="M156" t="str">
        <f>IF(C156="","",IF(OR(L156&lt;=0,F156=""),0,MAX(0,应收跟进!$E$2-F156)))</f>
        <v/>
      </c>
      <c r="N156" t="str">
        <f>IF(C156="","",IF(L156&lt;=0,"已结清",IF(F156&gt;应收跟进!$E$2,"未到期",IF(M156&lt;=30,"逾期1-30天",IF(M156&lt;=60,"逾期31-60天",IF(M156&lt;=90,"逾期61-90天","逾期90天以上"))))))</f>
        <v/>
      </c>
      <c r="P156" t="str">
        <f>IF(销售录入!A146="","",销售录入!N146)</f>
        <v/>
      </c>
      <c r="Q156" t="str">
        <f>IF(销售录入!A146="","",销售录入!O146)</f>
        <v/>
      </c>
    </row>
    <row r="157" spans="1:17">
      <c r="A157" t="str">
        <f>IF(销售录入!A147="","","销售")</f>
        <v/>
      </c>
      <c r="B157" t="str">
        <f>IF(销售录入!A147="","",销售录入!A147)</f>
        <v/>
      </c>
      <c r="C157" t="str">
        <f>IF(销售录入!A147="","",销售录入!C147)</f>
        <v/>
      </c>
      <c r="D157" t="str">
        <f>IF(销售录入!A147="","",销售录入!D147)</f>
        <v/>
      </c>
      <c r="E157" t="str">
        <f>IF(销售录入!A147="","",销售录入!I147)</f>
        <v/>
      </c>
      <c r="F157" t="str">
        <f>IF(销售录入!A147="","",销售录入!L147)</f>
        <v/>
      </c>
      <c r="G157" t="str">
        <f>IF(C157="","",SUMIFS(资金流水!$J$4:$J$203,资金流水!$F$4:$F$203,C157,资金流水!$D$4:$D$203,"客户回款",资金流水!$A$4:$A$203,"&lt;="&amp;应收跟进!$E$2))</f>
        <v/>
      </c>
      <c r="H157" t="str">
        <f>IF(C157="","",SUMIFS($E$4:E156,$C$4:C156,C157))</f>
        <v/>
      </c>
      <c r="J157" t="str">
        <f>IF(C157="","",MIN(MAX(0,E157-N(I157)),MAX(0,G157-SUMIFS($I$4:$I$213,$C$4:$C$213,C157)-(SUMIFS($E$4:E156,$C$4:C156,C157)-SUMIFS($I$4:I156,$C$4:C156,C157)))))</f>
        <v/>
      </c>
      <c r="M157" t="str">
        <f>IF(C157="","",IF(OR(L157&lt;=0,F157=""),0,MAX(0,应收跟进!$E$2-F157)))</f>
        <v/>
      </c>
      <c r="N157" t="str">
        <f>IF(C157="","",IF(L157&lt;=0,"已结清",IF(F157&gt;应收跟进!$E$2,"未到期",IF(M157&lt;=30,"逾期1-30天",IF(M157&lt;=60,"逾期31-60天",IF(M157&lt;=90,"逾期61-90天","逾期90天以上"))))))</f>
        <v/>
      </c>
      <c r="P157" t="str">
        <f>IF(销售录入!A147="","",销售录入!N147)</f>
        <v/>
      </c>
      <c r="Q157" t="str">
        <f>IF(销售录入!A147="","",销售录入!O147)</f>
        <v/>
      </c>
    </row>
    <row r="158" spans="1:17">
      <c r="A158" t="str">
        <f>IF(销售录入!A148="","","销售")</f>
        <v/>
      </c>
      <c r="B158" t="str">
        <f>IF(销售录入!A148="","",销售录入!A148)</f>
        <v/>
      </c>
      <c r="C158" t="str">
        <f>IF(销售录入!A148="","",销售录入!C148)</f>
        <v/>
      </c>
      <c r="D158" t="str">
        <f>IF(销售录入!A148="","",销售录入!D148)</f>
        <v/>
      </c>
      <c r="E158" t="str">
        <f>IF(销售录入!A148="","",销售录入!I148)</f>
        <v/>
      </c>
      <c r="F158" t="str">
        <f>IF(销售录入!A148="","",销售录入!L148)</f>
        <v/>
      </c>
      <c r="G158" t="str">
        <f>IF(C158="","",SUMIFS(资金流水!$J$4:$J$203,资金流水!$F$4:$F$203,C158,资金流水!$D$4:$D$203,"客户回款",资金流水!$A$4:$A$203,"&lt;="&amp;应收跟进!$E$2))</f>
        <v/>
      </c>
      <c r="H158" t="str">
        <f>IF(C158="","",SUMIFS($E$4:E157,$C$4:C157,C158))</f>
        <v/>
      </c>
      <c r="J158" t="str">
        <f>IF(C158="","",MIN(MAX(0,E158-N(I158)),MAX(0,G158-SUMIFS($I$4:$I$213,$C$4:$C$213,C158)-(SUMIFS($E$4:E157,$C$4:C157,C158)-SUMIFS($I$4:I157,$C$4:C157,C158)))))</f>
        <v/>
      </c>
      <c r="M158" t="str">
        <f>IF(C158="","",IF(OR(L158&lt;=0,F158=""),0,MAX(0,应收跟进!$E$2-F158)))</f>
        <v/>
      </c>
      <c r="N158" t="str">
        <f>IF(C158="","",IF(L158&lt;=0,"已结清",IF(F158&gt;应收跟进!$E$2,"未到期",IF(M158&lt;=30,"逾期1-30天",IF(M158&lt;=60,"逾期31-60天",IF(M158&lt;=90,"逾期61-90天","逾期90天以上"))))))</f>
        <v/>
      </c>
      <c r="P158" t="str">
        <f>IF(销售录入!A148="","",销售录入!N148)</f>
        <v/>
      </c>
      <c r="Q158" t="str">
        <f>IF(销售录入!A148="","",销售录入!O148)</f>
        <v/>
      </c>
    </row>
    <row r="159" spans="1:17">
      <c r="A159" t="str">
        <f>IF(销售录入!A149="","","销售")</f>
        <v/>
      </c>
      <c r="B159" t="str">
        <f>IF(销售录入!A149="","",销售录入!A149)</f>
        <v/>
      </c>
      <c r="C159" t="str">
        <f>IF(销售录入!A149="","",销售录入!C149)</f>
        <v/>
      </c>
      <c r="D159" t="str">
        <f>IF(销售录入!A149="","",销售录入!D149)</f>
        <v/>
      </c>
      <c r="E159" t="str">
        <f>IF(销售录入!A149="","",销售录入!I149)</f>
        <v/>
      </c>
      <c r="F159" t="str">
        <f>IF(销售录入!A149="","",销售录入!L149)</f>
        <v/>
      </c>
      <c r="G159" t="str">
        <f>IF(C159="","",SUMIFS(资金流水!$J$4:$J$203,资金流水!$F$4:$F$203,C159,资金流水!$D$4:$D$203,"客户回款",资金流水!$A$4:$A$203,"&lt;="&amp;应收跟进!$E$2))</f>
        <v/>
      </c>
      <c r="H159" t="str">
        <f>IF(C159="","",SUMIFS($E$4:E158,$C$4:C158,C159))</f>
        <v/>
      </c>
      <c r="J159" t="str">
        <f>IF(C159="","",MIN(MAX(0,E159-N(I159)),MAX(0,G159-SUMIFS($I$4:$I$213,$C$4:$C$213,C159)-(SUMIFS($E$4:E158,$C$4:C158,C159)-SUMIFS($I$4:I158,$C$4:C158,C159)))))</f>
        <v/>
      </c>
      <c r="M159" t="str">
        <f>IF(C159="","",IF(OR(L159&lt;=0,F159=""),0,MAX(0,应收跟进!$E$2-F159)))</f>
        <v/>
      </c>
      <c r="N159" t="str">
        <f>IF(C159="","",IF(L159&lt;=0,"已结清",IF(F159&gt;应收跟进!$E$2,"未到期",IF(M159&lt;=30,"逾期1-30天",IF(M159&lt;=60,"逾期31-60天",IF(M159&lt;=90,"逾期61-90天","逾期90天以上"))))))</f>
        <v/>
      </c>
      <c r="P159" t="str">
        <f>IF(销售录入!A149="","",销售录入!N149)</f>
        <v/>
      </c>
      <c r="Q159" t="str">
        <f>IF(销售录入!A149="","",销售录入!O149)</f>
        <v/>
      </c>
    </row>
    <row r="160" spans="1:17">
      <c r="A160" t="str">
        <f>IF(销售录入!A150="","","销售")</f>
        <v/>
      </c>
      <c r="B160" t="str">
        <f>IF(销售录入!A150="","",销售录入!A150)</f>
        <v/>
      </c>
      <c r="C160" t="str">
        <f>IF(销售录入!A150="","",销售录入!C150)</f>
        <v/>
      </c>
      <c r="D160" t="str">
        <f>IF(销售录入!A150="","",销售录入!D150)</f>
        <v/>
      </c>
      <c r="E160" t="str">
        <f>IF(销售录入!A150="","",销售录入!I150)</f>
        <v/>
      </c>
      <c r="F160" t="str">
        <f>IF(销售录入!A150="","",销售录入!L150)</f>
        <v/>
      </c>
      <c r="G160" t="str">
        <f>IF(C160="","",SUMIFS(资金流水!$J$4:$J$203,资金流水!$F$4:$F$203,C160,资金流水!$D$4:$D$203,"客户回款",资金流水!$A$4:$A$203,"&lt;="&amp;应收跟进!$E$2))</f>
        <v/>
      </c>
      <c r="H160" t="str">
        <f>IF(C160="","",SUMIFS($E$4:E159,$C$4:C159,C160))</f>
        <v/>
      </c>
      <c r="J160" t="str">
        <f>IF(C160="","",MIN(MAX(0,E160-N(I160)),MAX(0,G160-SUMIFS($I$4:$I$213,$C$4:$C$213,C160)-(SUMIFS($E$4:E159,$C$4:C159,C160)-SUMIFS($I$4:I159,$C$4:C159,C160)))))</f>
        <v/>
      </c>
      <c r="M160" t="str">
        <f>IF(C160="","",IF(OR(L160&lt;=0,F160=""),0,MAX(0,应收跟进!$E$2-F160)))</f>
        <v/>
      </c>
      <c r="N160" t="str">
        <f>IF(C160="","",IF(L160&lt;=0,"已结清",IF(F160&gt;应收跟进!$E$2,"未到期",IF(M160&lt;=30,"逾期1-30天",IF(M160&lt;=60,"逾期31-60天",IF(M160&lt;=90,"逾期61-90天","逾期90天以上"))))))</f>
        <v/>
      </c>
      <c r="P160" t="str">
        <f>IF(销售录入!A150="","",销售录入!N150)</f>
        <v/>
      </c>
      <c r="Q160" t="str">
        <f>IF(销售录入!A150="","",销售录入!O150)</f>
        <v/>
      </c>
    </row>
    <row r="161" spans="1:17">
      <c r="A161" t="str">
        <f>IF(销售录入!A151="","","销售")</f>
        <v/>
      </c>
      <c r="B161" t="str">
        <f>IF(销售录入!A151="","",销售录入!A151)</f>
        <v/>
      </c>
      <c r="C161" t="str">
        <f>IF(销售录入!A151="","",销售录入!C151)</f>
        <v/>
      </c>
      <c r="D161" t="str">
        <f>IF(销售录入!A151="","",销售录入!D151)</f>
        <v/>
      </c>
      <c r="E161" t="str">
        <f>IF(销售录入!A151="","",销售录入!I151)</f>
        <v/>
      </c>
      <c r="F161" t="str">
        <f>IF(销售录入!A151="","",销售录入!L151)</f>
        <v/>
      </c>
      <c r="G161" t="str">
        <f>IF(C161="","",SUMIFS(资金流水!$J$4:$J$203,资金流水!$F$4:$F$203,C161,资金流水!$D$4:$D$203,"客户回款",资金流水!$A$4:$A$203,"&lt;="&amp;应收跟进!$E$2))</f>
        <v/>
      </c>
      <c r="H161" t="str">
        <f>IF(C161="","",SUMIFS($E$4:E160,$C$4:C160,C161))</f>
        <v/>
      </c>
      <c r="J161" t="str">
        <f>IF(C161="","",MIN(MAX(0,E161-N(I161)),MAX(0,G161-SUMIFS($I$4:$I$213,$C$4:$C$213,C161)-(SUMIFS($E$4:E160,$C$4:C160,C161)-SUMIFS($I$4:I160,$C$4:C160,C161)))))</f>
        <v/>
      </c>
      <c r="M161" t="str">
        <f>IF(C161="","",IF(OR(L161&lt;=0,F161=""),0,MAX(0,应收跟进!$E$2-F161)))</f>
        <v/>
      </c>
      <c r="N161" t="str">
        <f>IF(C161="","",IF(L161&lt;=0,"已结清",IF(F161&gt;应收跟进!$E$2,"未到期",IF(M161&lt;=30,"逾期1-30天",IF(M161&lt;=60,"逾期31-60天",IF(M161&lt;=90,"逾期61-90天","逾期90天以上"))))))</f>
        <v/>
      </c>
      <c r="P161" t="str">
        <f>IF(销售录入!A151="","",销售录入!N151)</f>
        <v/>
      </c>
      <c r="Q161" t="str">
        <f>IF(销售录入!A151="","",销售录入!O151)</f>
        <v/>
      </c>
    </row>
    <row r="162" spans="1:17">
      <c r="A162" t="str">
        <f>IF(销售录入!A152="","","销售")</f>
        <v/>
      </c>
      <c r="B162" t="str">
        <f>IF(销售录入!A152="","",销售录入!A152)</f>
        <v/>
      </c>
      <c r="C162" t="str">
        <f>IF(销售录入!A152="","",销售录入!C152)</f>
        <v/>
      </c>
      <c r="D162" t="str">
        <f>IF(销售录入!A152="","",销售录入!D152)</f>
        <v/>
      </c>
      <c r="E162" t="str">
        <f>IF(销售录入!A152="","",销售录入!I152)</f>
        <v/>
      </c>
      <c r="F162" t="str">
        <f>IF(销售录入!A152="","",销售录入!L152)</f>
        <v/>
      </c>
      <c r="G162" t="str">
        <f>IF(C162="","",SUMIFS(资金流水!$J$4:$J$203,资金流水!$F$4:$F$203,C162,资金流水!$D$4:$D$203,"客户回款",资金流水!$A$4:$A$203,"&lt;="&amp;应收跟进!$E$2))</f>
        <v/>
      </c>
      <c r="H162" t="str">
        <f>IF(C162="","",SUMIFS($E$4:E161,$C$4:C161,C162))</f>
        <v/>
      </c>
      <c r="J162" t="str">
        <f>IF(C162="","",MIN(MAX(0,E162-N(I162)),MAX(0,G162-SUMIFS($I$4:$I$213,$C$4:$C$213,C162)-(SUMIFS($E$4:E161,$C$4:C161,C162)-SUMIFS($I$4:I161,$C$4:C161,C162)))))</f>
        <v/>
      </c>
      <c r="M162" t="str">
        <f>IF(C162="","",IF(OR(L162&lt;=0,F162=""),0,MAX(0,应收跟进!$E$2-F162)))</f>
        <v/>
      </c>
      <c r="N162" t="str">
        <f>IF(C162="","",IF(L162&lt;=0,"已结清",IF(F162&gt;应收跟进!$E$2,"未到期",IF(M162&lt;=30,"逾期1-30天",IF(M162&lt;=60,"逾期31-60天",IF(M162&lt;=90,"逾期61-90天","逾期90天以上"))))))</f>
        <v/>
      </c>
      <c r="P162" t="str">
        <f>IF(销售录入!A152="","",销售录入!N152)</f>
        <v/>
      </c>
      <c r="Q162" t="str">
        <f>IF(销售录入!A152="","",销售录入!O152)</f>
        <v/>
      </c>
    </row>
    <row r="163" spans="1:17">
      <c r="A163" t="str">
        <f>IF(销售录入!A153="","","销售")</f>
        <v/>
      </c>
      <c r="B163" t="str">
        <f>IF(销售录入!A153="","",销售录入!A153)</f>
        <v/>
      </c>
      <c r="C163" t="str">
        <f>IF(销售录入!A153="","",销售录入!C153)</f>
        <v/>
      </c>
      <c r="D163" t="str">
        <f>IF(销售录入!A153="","",销售录入!D153)</f>
        <v/>
      </c>
      <c r="E163" t="str">
        <f>IF(销售录入!A153="","",销售录入!I153)</f>
        <v/>
      </c>
      <c r="F163" t="str">
        <f>IF(销售录入!A153="","",销售录入!L153)</f>
        <v/>
      </c>
      <c r="G163" t="str">
        <f>IF(C163="","",SUMIFS(资金流水!$J$4:$J$203,资金流水!$F$4:$F$203,C163,资金流水!$D$4:$D$203,"客户回款",资金流水!$A$4:$A$203,"&lt;="&amp;应收跟进!$E$2))</f>
        <v/>
      </c>
      <c r="H163" t="str">
        <f>IF(C163="","",SUMIFS($E$4:E162,$C$4:C162,C163))</f>
        <v/>
      </c>
      <c r="J163" t="str">
        <f>IF(C163="","",MIN(MAX(0,E163-N(I163)),MAX(0,G163-SUMIFS($I$4:$I$213,$C$4:$C$213,C163)-(SUMIFS($E$4:E162,$C$4:C162,C163)-SUMIFS($I$4:I162,$C$4:C162,C163)))))</f>
        <v/>
      </c>
      <c r="M163" t="str">
        <f>IF(C163="","",IF(OR(L163&lt;=0,F163=""),0,MAX(0,应收跟进!$E$2-F163)))</f>
        <v/>
      </c>
      <c r="N163" t="str">
        <f>IF(C163="","",IF(L163&lt;=0,"已结清",IF(F163&gt;应收跟进!$E$2,"未到期",IF(M163&lt;=30,"逾期1-30天",IF(M163&lt;=60,"逾期31-60天",IF(M163&lt;=90,"逾期61-90天","逾期90天以上"))))))</f>
        <v/>
      </c>
      <c r="P163" t="str">
        <f>IF(销售录入!A153="","",销售录入!N153)</f>
        <v/>
      </c>
      <c r="Q163" t="str">
        <f>IF(销售录入!A153="","",销售录入!O153)</f>
        <v/>
      </c>
    </row>
    <row r="164" spans="1:17">
      <c r="A164" t="str">
        <f>IF(销售录入!A154="","","销售")</f>
        <v/>
      </c>
      <c r="B164" t="str">
        <f>IF(销售录入!A154="","",销售录入!A154)</f>
        <v/>
      </c>
      <c r="C164" t="str">
        <f>IF(销售录入!A154="","",销售录入!C154)</f>
        <v/>
      </c>
      <c r="D164" t="str">
        <f>IF(销售录入!A154="","",销售录入!D154)</f>
        <v/>
      </c>
      <c r="E164" t="str">
        <f>IF(销售录入!A154="","",销售录入!I154)</f>
        <v/>
      </c>
      <c r="F164" t="str">
        <f>IF(销售录入!A154="","",销售录入!L154)</f>
        <v/>
      </c>
      <c r="G164" t="str">
        <f>IF(C164="","",SUMIFS(资金流水!$J$4:$J$203,资金流水!$F$4:$F$203,C164,资金流水!$D$4:$D$203,"客户回款",资金流水!$A$4:$A$203,"&lt;="&amp;应收跟进!$E$2))</f>
        <v/>
      </c>
      <c r="H164" t="str">
        <f>IF(C164="","",SUMIFS($E$4:E163,$C$4:C163,C164))</f>
        <v/>
      </c>
      <c r="J164" t="str">
        <f>IF(C164="","",MIN(MAX(0,E164-N(I164)),MAX(0,G164-SUMIFS($I$4:$I$213,$C$4:$C$213,C164)-(SUMIFS($E$4:E163,$C$4:C163,C164)-SUMIFS($I$4:I163,$C$4:C163,C164)))))</f>
        <v/>
      </c>
      <c r="M164" t="str">
        <f>IF(C164="","",IF(OR(L164&lt;=0,F164=""),0,MAX(0,应收跟进!$E$2-F164)))</f>
        <v/>
      </c>
      <c r="N164" t="str">
        <f>IF(C164="","",IF(L164&lt;=0,"已结清",IF(F164&gt;应收跟进!$E$2,"未到期",IF(M164&lt;=30,"逾期1-30天",IF(M164&lt;=60,"逾期31-60天",IF(M164&lt;=90,"逾期61-90天","逾期90天以上"))))))</f>
        <v/>
      </c>
      <c r="P164" t="str">
        <f>IF(销售录入!A154="","",销售录入!N154)</f>
        <v/>
      </c>
      <c r="Q164" t="str">
        <f>IF(销售录入!A154="","",销售录入!O154)</f>
        <v/>
      </c>
    </row>
    <row r="165" spans="1:17">
      <c r="A165" t="str">
        <f>IF(销售录入!A155="","","销售")</f>
        <v/>
      </c>
      <c r="B165" t="str">
        <f>IF(销售录入!A155="","",销售录入!A155)</f>
        <v/>
      </c>
      <c r="C165" t="str">
        <f>IF(销售录入!A155="","",销售录入!C155)</f>
        <v/>
      </c>
      <c r="D165" t="str">
        <f>IF(销售录入!A155="","",销售录入!D155)</f>
        <v/>
      </c>
      <c r="E165" t="str">
        <f>IF(销售录入!A155="","",销售录入!I155)</f>
        <v/>
      </c>
      <c r="F165" t="str">
        <f>IF(销售录入!A155="","",销售录入!L155)</f>
        <v/>
      </c>
      <c r="G165" t="str">
        <f>IF(C165="","",SUMIFS(资金流水!$J$4:$J$203,资金流水!$F$4:$F$203,C165,资金流水!$D$4:$D$203,"客户回款",资金流水!$A$4:$A$203,"&lt;="&amp;应收跟进!$E$2))</f>
        <v/>
      </c>
      <c r="H165" t="str">
        <f>IF(C165="","",SUMIFS($E$4:E164,$C$4:C164,C165))</f>
        <v/>
      </c>
      <c r="J165" t="str">
        <f>IF(C165="","",MIN(MAX(0,E165-N(I165)),MAX(0,G165-SUMIFS($I$4:$I$213,$C$4:$C$213,C165)-(SUMIFS($E$4:E164,$C$4:C164,C165)-SUMIFS($I$4:I164,$C$4:C164,C165)))))</f>
        <v/>
      </c>
      <c r="M165" t="str">
        <f>IF(C165="","",IF(OR(L165&lt;=0,F165=""),0,MAX(0,应收跟进!$E$2-F165)))</f>
        <v/>
      </c>
      <c r="N165" t="str">
        <f>IF(C165="","",IF(L165&lt;=0,"已结清",IF(F165&gt;应收跟进!$E$2,"未到期",IF(M165&lt;=30,"逾期1-30天",IF(M165&lt;=60,"逾期31-60天",IF(M165&lt;=90,"逾期61-90天","逾期90天以上"))))))</f>
        <v/>
      </c>
      <c r="P165" t="str">
        <f>IF(销售录入!A155="","",销售录入!N155)</f>
        <v/>
      </c>
      <c r="Q165" t="str">
        <f>IF(销售录入!A155="","",销售录入!O155)</f>
        <v/>
      </c>
    </row>
    <row r="166" spans="1:17">
      <c r="A166" t="str">
        <f>IF(销售录入!A156="","","销售")</f>
        <v/>
      </c>
      <c r="B166" t="str">
        <f>IF(销售录入!A156="","",销售录入!A156)</f>
        <v/>
      </c>
      <c r="C166" t="str">
        <f>IF(销售录入!A156="","",销售录入!C156)</f>
        <v/>
      </c>
      <c r="D166" t="str">
        <f>IF(销售录入!A156="","",销售录入!D156)</f>
        <v/>
      </c>
      <c r="E166" t="str">
        <f>IF(销售录入!A156="","",销售录入!I156)</f>
        <v/>
      </c>
      <c r="F166" t="str">
        <f>IF(销售录入!A156="","",销售录入!L156)</f>
        <v/>
      </c>
      <c r="G166" t="str">
        <f>IF(C166="","",SUMIFS(资金流水!$J$4:$J$203,资金流水!$F$4:$F$203,C166,资金流水!$D$4:$D$203,"客户回款",资金流水!$A$4:$A$203,"&lt;="&amp;应收跟进!$E$2))</f>
        <v/>
      </c>
      <c r="H166" t="str">
        <f>IF(C166="","",SUMIFS($E$4:E165,$C$4:C165,C166))</f>
        <v/>
      </c>
      <c r="J166" t="str">
        <f>IF(C166="","",MIN(MAX(0,E166-N(I166)),MAX(0,G166-SUMIFS($I$4:$I$213,$C$4:$C$213,C166)-(SUMIFS($E$4:E165,$C$4:C165,C166)-SUMIFS($I$4:I165,$C$4:C165,C166)))))</f>
        <v/>
      </c>
      <c r="M166" t="str">
        <f>IF(C166="","",IF(OR(L166&lt;=0,F166=""),0,MAX(0,应收跟进!$E$2-F166)))</f>
        <v/>
      </c>
      <c r="N166" t="str">
        <f>IF(C166="","",IF(L166&lt;=0,"已结清",IF(F166&gt;应收跟进!$E$2,"未到期",IF(M166&lt;=30,"逾期1-30天",IF(M166&lt;=60,"逾期31-60天",IF(M166&lt;=90,"逾期61-90天","逾期90天以上"))))))</f>
        <v/>
      </c>
      <c r="P166" t="str">
        <f>IF(销售录入!A156="","",销售录入!N156)</f>
        <v/>
      </c>
      <c r="Q166" t="str">
        <f>IF(销售录入!A156="","",销售录入!O156)</f>
        <v/>
      </c>
    </row>
    <row r="167" spans="1:17">
      <c r="A167" t="str">
        <f>IF(销售录入!A157="","","销售")</f>
        <v/>
      </c>
      <c r="B167" t="str">
        <f>IF(销售录入!A157="","",销售录入!A157)</f>
        <v/>
      </c>
      <c r="C167" t="str">
        <f>IF(销售录入!A157="","",销售录入!C157)</f>
        <v/>
      </c>
      <c r="D167" t="str">
        <f>IF(销售录入!A157="","",销售录入!D157)</f>
        <v/>
      </c>
      <c r="E167" t="str">
        <f>IF(销售录入!A157="","",销售录入!I157)</f>
        <v/>
      </c>
      <c r="F167" t="str">
        <f>IF(销售录入!A157="","",销售录入!L157)</f>
        <v/>
      </c>
      <c r="G167" t="str">
        <f>IF(C167="","",SUMIFS(资金流水!$J$4:$J$203,资金流水!$F$4:$F$203,C167,资金流水!$D$4:$D$203,"客户回款",资金流水!$A$4:$A$203,"&lt;="&amp;应收跟进!$E$2))</f>
        <v/>
      </c>
      <c r="H167" t="str">
        <f>IF(C167="","",SUMIFS($E$4:E166,$C$4:C166,C167))</f>
        <v/>
      </c>
      <c r="J167" t="str">
        <f>IF(C167="","",MIN(MAX(0,E167-N(I167)),MAX(0,G167-SUMIFS($I$4:$I$213,$C$4:$C$213,C167)-(SUMIFS($E$4:E166,$C$4:C166,C167)-SUMIFS($I$4:I166,$C$4:C166,C167)))))</f>
        <v/>
      </c>
      <c r="M167" t="str">
        <f>IF(C167="","",IF(OR(L167&lt;=0,F167=""),0,MAX(0,应收跟进!$E$2-F167)))</f>
        <v/>
      </c>
      <c r="N167" t="str">
        <f>IF(C167="","",IF(L167&lt;=0,"已结清",IF(F167&gt;应收跟进!$E$2,"未到期",IF(M167&lt;=30,"逾期1-30天",IF(M167&lt;=60,"逾期31-60天",IF(M167&lt;=90,"逾期61-90天","逾期90天以上"))))))</f>
        <v/>
      </c>
      <c r="P167" t="str">
        <f>IF(销售录入!A157="","",销售录入!N157)</f>
        <v/>
      </c>
      <c r="Q167" t="str">
        <f>IF(销售录入!A157="","",销售录入!O157)</f>
        <v/>
      </c>
    </row>
    <row r="168" spans="1:17">
      <c r="A168" t="str">
        <f>IF(销售录入!A158="","","销售")</f>
        <v/>
      </c>
      <c r="B168" t="str">
        <f>IF(销售录入!A158="","",销售录入!A158)</f>
        <v/>
      </c>
      <c r="C168" t="str">
        <f>IF(销售录入!A158="","",销售录入!C158)</f>
        <v/>
      </c>
      <c r="D168" t="str">
        <f>IF(销售录入!A158="","",销售录入!D158)</f>
        <v/>
      </c>
      <c r="E168" t="str">
        <f>IF(销售录入!A158="","",销售录入!I158)</f>
        <v/>
      </c>
      <c r="F168" t="str">
        <f>IF(销售录入!A158="","",销售录入!L158)</f>
        <v/>
      </c>
      <c r="G168" t="str">
        <f>IF(C168="","",SUMIFS(资金流水!$J$4:$J$203,资金流水!$F$4:$F$203,C168,资金流水!$D$4:$D$203,"客户回款",资金流水!$A$4:$A$203,"&lt;="&amp;应收跟进!$E$2))</f>
        <v/>
      </c>
      <c r="H168" t="str">
        <f>IF(C168="","",SUMIFS($E$4:E167,$C$4:C167,C168))</f>
        <v/>
      </c>
      <c r="J168" t="str">
        <f>IF(C168="","",MIN(MAX(0,E168-N(I168)),MAX(0,G168-SUMIFS($I$4:$I$213,$C$4:$C$213,C168)-(SUMIFS($E$4:E167,$C$4:C167,C168)-SUMIFS($I$4:I167,$C$4:C167,C168)))))</f>
        <v/>
      </c>
      <c r="M168" t="str">
        <f>IF(C168="","",IF(OR(L168&lt;=0,F168=""),0,MAX(0,应收跟进!$E$2-F168)))</f>
        <v/>
      </c>
      <c r="N168" t="str">
        <f>IF(C168="","",IF(L168&lt;=0,"已结清",IF(F168&gt;应收跟进!$E$2,"未到期",IF(M168&lt;=30,"逾期1-30天",IF(M168&lt;=60,"逾期31-60天",IF(M168&lt;=90,"逾期61-90天","逾期90天以上"))))))</f>
        <v/>
      </c>
      <c r="P168" t="str">
        <f>IF(销售录入!A158="","",销售录入!N158)</f>
        <v/>
      </c>
      <c r="Q168" t="str">
        <f>IF(销售录入!A158="","",销售录入!O158)</f>
        <v/>
      </c>
    </row>
    <row r="169" spans="1:17">
      <c r="A169" t="str">
        <f>IF(销售录入!A159="","","销售")</f>
        <v/>
      </c>
      <c r="B169" t="str">
        <f>IF(销售录入!A159="","",销售录入!A159)</f>
        <v/>
      </c>
      <c r="C169" t="str">
        <f>IF(销售录入!A159="","",销售录入!C159)</f>
        <v/>
      </c>
      <c r="D169" t="str">
        <f>IF(销售录入!A159="","",销售录入!D159)</f>
        <v/>
      </c>
      <c r="E169" t="str">
        <f>IF(销售录入!A159="","",销售录入!I159)</f>
        <v/>
      </c>
      <c r="F169" t="str">
        <f>IF(销售录入!A159="","",销售录入!L159)</f>
        <v/>
      </c>
      <c r="G169" t="str">
        <f>IF(C169="","",SUMIFS(资金流水!$J$4:$J$203,资金流水!$F$4:$F$203,C169,资金流水!$D$4:$D$203,"客户回款",资金流水!$A$4:$A$203,"&lt;="&amp;应收跟进!$E$2))</f>
        <v/>
      </c>
      <c r="H169" t="str">
        <f>IF(C169="","",SUMIFS($E$4:E168,$C$4:C168,C169))</f>
        <v/>
      </c>
      <c r="J169" t="str">
        <f>IF(C169="","",MIN(MAX(0,E169-N(I169)),MAX(0,G169-SUMIFS($I$4:$I$213,$C$4:$C$213,C169)-(SUMIFS($E$4:E168,$C$4:C168,C169)-SUMIFS($I$4:I168,$C$4:C168,C169)))))</f>
        <v/>
      </c>
      <c r="M169" t="str">
        <f>IF(C169="","",IF(OR(L169&lt;=0,F169=""),0,MAX(0,应收跟进!$E$2-F169)))</f>
        <v/>
      </c>
      <c r="N169" t="str">
        <f>IF(C169="","",IF(L169&lt;=0,"已结清",IF(F169&gt;应收跟进!$E$2,"未到期",IF(M169&lt;=30,"逾期1-30天",IF(M169&lt;=60,"逾期31-60天",IF(M169&lt;=90,"逾期61-90天","逾期90天以上"))))))</f>
        <v/>
      </c>
      <c r="P169" t="str">
        <f>IF(销售录入!A159="","",销售录入!N159)</f>
        <v/>
      </c>
      <c r="Q169" t="str">
        <f>IF(销售录入!A159="","",销售录入!O159)</f>
        <v/>
      </c>
    </row>
    <row r="170" spans="1:17">
      <c r="A170" t="str">
        <f>IF(销售录入!A160="","","销售")</f>
        <v/>
      </c>
      <c r="B170" t="str">
        <f>IF(销售录入!A160="","",销售录入!A160)</f>
        <v/>
      </c>
      <c r="C170" t="str">
        <f>IF(销售录入!A160="","",销售录入!C160)</f>
        <v/>
      </c>
      <c r="D170" t="str">
        <f>IF(销售录入!A160="","",销售录入!D160)</f>
        <v/>
      </c>
      <c r="E170" t="str">
        <f>IF(销售录入!A160="","",销售录入!I160)</f>
        <v/>
      </c>
      <c r="F170" t="str">
        <f>IF(销售录入!A160="","",销售录入!L160)</f>
        <v/>
      </c>
      <c r="G170" t="str">
        <f>IF(C170="","",SUMIFS(资金流水!$J$4:$J$203,资金流水!$F$4:$F$203,C170,资金流水!$D$4:$D$203,"客户回款",资金流水!$A$4:$A$203,"&lt;="&amp;应收跟进!$E$2))</f>
        <v/>
      </c>
      <c r="H170" t="str">
        <f>IF(C170="","",SUMIFS($E$4:E169,$C$4:C169,C170))</f>
        <v/>
      </c>
      <c r="J170" t="str">
        <f>IF(C170="","",MIN(MAX(0,E170-N(I170)),MAX(0,G170-SUMIFS($I$4:$I$213,$C$4:$C$213,C170)-(SUMIFS($E$4:E169,$C$4:C169,C170)-SUMIFS($I$4:I169,$C$4:C169,C170)))))</f>
        <v/>
      </c>
      <c r="M170" t="str">
        <f>IF(C170="","",IF(OR(L170&lt;=0,F170=""),0,MAX(0,应收跟进!$E$2-F170)))</f>
        <v/>
      </c>
      <c r="N170" t="str">
        <f>IF(C170="","",IF(L170&lt;=0,"已结清",IF(F170&gt;应收跟进!$E$2,"未到期",IF(M170&lt;=30,"逾期1-30天",IF(M170&lt;=60,"逾期31-60天",IF(M170&lt;=90,"逾期61-90天","逾期90天以上"))))))</f>
        <v/>
      </c>
      <c r="P170" t="str">
        <f>IF(销售录入!A160="","",销售录入!N160)</f>
        <v/>
      </c>
      <c r="Q170" t="str">
        <f>IF(销售录入!A160="","",销售录入!O160)</f>
        <v/>
      </c>
    </row>
    <row r="171" spans="1:17">
      <c r="A171" t="str">
        <f>IF(销售录入!A161="","","销售")</f>
        <v/>
      </c>
      <c r="B171" t="str">
        <f>IF(销售录入!A161="","",销售录入!A161)</f>
        <v/>
      </c>
      <c r="C171" t="str">
        <f>IF(销售录入!A161="","",销售录入!C161)</f>
        <v/>
      </c>
      <c r="D171" t="str">
        <f>IF(销售录入!A161="","",销售录入!D161)</f>
        <v/>
      </c>
      <c r="E171" t="str">
        <f>IF(销售录入!A161="","",销售录入!I161)</f>
        <v/>
      </c>
      <c r="F171" t="str">
        <f>IF(销售录入!A161="","",销售录入!L161)</f>
        <v/>
      </c>
      <c r="G171" t="str">
        <f>IF(C171="","",SUMIFS(资金流水!$J$4:$J$203,资金流水!$F$4:$F$203,C171,资金流水!$D$4:$D$203,"客户回款",资金流水!$A$4:$A$203,"&lt;="&amp;应收跟进!$E$2))</f>
        <v/>
      </c>
      <c r="H171" t="str">
        <f>IF(C171="","",SUMIFS($E$4:E170,$C$4:C170,C171))</f>
        <v/>
      </c>
      <c r="J171" t="str">
        <f>IF(C171="","",MIN(MAX(0,E171-N(I171)),MAX(0,G171-SUMIFS($I$4:$I$213,$C$4:$C$213,C171)-(SUMIFS($E$4:E170,$C$4:C170,C171)-SUMIFS($I$4:I170,$C$4:C170,C171)))))</f>
        <v/>
      </c>
      <c r="M171" t="str">
        <f>IF(C171="","",IF(OR(L171&lt;=0,F171=""),0,MAX(0,应收跟进!$E$2-F171)))</f>
        <v/>
      </c>
      <c r="N171" t="str">
        <f>IF(C171="","",IF(L171&lt;=0,"已结清",IF(F171&gt;应收跟进!$E$2,"未到期",IF(M171&lt;=30,"逾期1-30天",IF(M171&lt;=60,"逾期31-60天",IF(M171&lt;=90,"逾期61-90天","逾期90天以上"))))))</f>
        <v/>
      </c>
      <c r="P171" t="str">
        <f>IF(销售录入!A161="","",销售录入!N161)</f>
        <v/>
      </c>
      <c r="Q171" t="str">
        <f>IF(销售录入!A161="","",销售录入!O161)</f>
        <v/>
      </c>
    </row>
    <row r="172" spans="1:17">
      <c r="A172" t="str">
        <f>IF(销售录入!A162="","","销售")</f>
        <v/>
      </c>
      <c r="B172" t="str">
        <f>IF(销售录入!A162="","",销售录入!A162)</f>
        <v/>
      </c>
      <c r="C172" t="str">
        <f>IF(销售录入!A162="","",销售录入!C162)</f>
        <v/>
      </c>
      <c r="D172" t="str">
        <f>IF(销售录入!A162="","",销售录入!D162)</f>
        <v/>
      </c>
      <c r="E172" t="str">
        <f>IF(销售录入!A162="","",销售录入!I162)</f>
        <v/>
      </c>
      <c r="F172" t="str">
        <f>IF(销售录入!A162="","",销售录入!L162)</f>
        <v/>
      </c>
      <c r="G172" t="str">
        <f>IF(C172="","",SUMIFS(资金流水!$J$4:$J$203,资金流水!$F$4:$F$203,C172,资金流水!$D$4:$D$203,"客户回款",资金流水!$A$4:$A$203,"&lt;="&amp;应收跟进!$E$2))</f>
        <v/>
      </c>
      <c r="H172" t="str">
        <f>IF(C172="","",SUMIFS($E$4:E171,$C$4:C171,C172))</f>
        <v/>
      </c>
      <c r="J172" t="str">
        <f>IF(C172="","",MIN(MAX(0,E172-N(I172)),MAX(0,G172-SUMIFS($I$4:$I$213,$C$4:$C$213,C172)-(SUMIFS($E$4:E171,$C$4:C171,C172)-SUMIFS($I$4:I171,$C$4:C171,C172)))))</f>
        <v/>
      </c>
      <c r="M172" t="str">
        <f>IF(C172="","",IF(OR(L172&lt;=0,F172=""),0,MAX(0,应收跟进!$E$2-F172)))</f>
        <v/>
      </c>
      <c r="N172" t="str">
        <f>IF(C172="","",IF(L172&lt;=0,"已结清",IF(F172&gt;应收跟进!$E$2,"未到期",IF(M172&lt;=30,"逾期1-30天",IF(M172&lt;=60,"逾期31-60天",IF(M172&lt;=90,"逾期61-90天","逾期90天以上"))))))</f>
        <v/>
      </c>
      <c r="P172" t="str">
        <f>IF(销售录入!A162="","",销售录入!N162)</f>
        <v/>
      </c>
      <c r="Q172" t="str">
        <f>IF(销售录入!A162="","",销售录入!O162)</f>
        <v/>
      </c>
    </row>
    <row r="173" spans="1:17">
      <c r="A173" t="str">
        <f>IF(销售录入!A163="","","销售")</f>
        <v/>
      </c>
      <c r="B173" t="str">
        <f>IF(销售录入!A163="","",销售录入!A163)</f>
        <v/>
      </c>
      <c r="C173" t="str">
        <f>IF(销售录入!A163="","",销售录入!C163)</f>
        <v/>
      </c>
      <c r="D173" t="str">
        <f>IF(销售录入!A163="","",销售录入!D163)</f>
        <v/>
      </c>
      <c r="E173" t="str">
        <f>IF(销售录入!A163="","",销售录入!I163)</f>
        <v/>
      </c>
      <c r="F173" t="str">
        <f>IF(销售录入!A163="","",销售录入!L163)</f>
        <v/>
      </c>
      <c r="G173" t="str">
        <f>IF(C173="","",SUMIFS(资金流水!$J$4:$J$203,资金流水!$F$4:$F$203,C173,资金流水!$D$4:$D$203,"客户回款",资金流水!$A$4:$A$203,"&lt;="&amp;应收跟进!$E$2))</f>
        <v/>
      </c>
      <c r="H173" t="str">
        <f>IF(C173="","",SUMIFS($E$4:E172,$C$4:C172,C173))</f>
        <v/>
      </c>
      <c r="J173" t="str">
        <f>IF(C173="","",MIN(MAX(0,E173-N(I173)),MAX(0,G173-SUMIFS($I$4:$I$213,$C$4:$C$213,C173)-(SUMIFS($E$4:E172,$C$4:C172,C173)-SUMIFS($I$4:I172,$C$4:C172,C173)))))</f>
        <v/>
      </c>
      <c r="M173" t="str">
        <f>IF(C173="","",IF(OR(L173&lt;=0,F173=""),0,MAX(0,应收跟进!$E$2-F173)))</f>
        <v/>
      </c>
      <c r="N173" t="str">
        <f>IF(C173="","",IF(L173&lt;=0,"已结清",IF(F173&gt;应收跟进!$E$2,"未到期",IF(M173&lt;=30,"逾期1-30天",IF(M173&lt;=60,"逾期31-60天",IF(M173&lt;=90,"逾期61-90天","逾期90天以上"))))))</f>
        <v/>
      </c>
      <c r="P173" t="str">
        <f>IF(销售录入!A163="","",销售录入!N163)</f>
        <v/>
      </c>
      <c r="Q173" t="str">
        <f>IF(销售录入!A163="","",销售录入!O163)</f>
        <v/>
      </c>
    </row>
    <row r="174" spans="1:17">
      <c r="A174" t="str">
        <f>IF(销售录入!A164="","","销售")</f>
        <v/>
      </c>
      <c r="B174" t="str">
        <f>IF(销售录入!A164="","",销售录入!A164)</f>
        <v/>
      </c>
      <c r="C174" t="str">
        <f>IF(销售录入!A164="","",销售录入!C164)</f>
        <v/>
      </c>
      <c r="D174" t="str">
        <f>IF(销售录入!A164="","",销售录入!D164)</f>
        <v/>
      </c>
      <c r="E174" t="str">
        <f>IF(销售录入!A164="","",销售录入!I164)</f>
        <v/>
      </c>
      <c r="F174" t="str">
        <f>IF(销售录入!A164="","",销售录入!L164)</f>
        <v/>
      </c>
      <c r="G174" t="str">
        <f>IF(C174="","",SUMIFS(资金流水!$J$4:$J$203,资金流水!$F$4:$F$203,C174,资金流水!$D$4:$D$203,"客户回款",资金流水!$A$4:$A$203,"&lt;="&amp;应收跟进!$E$2))</f>
        <v/>
      </c>
      <c r="H174" t="str">
        <f>IF(C174="","",SUMIFS($E$4:E173,$C$4:C173,C174))</f>
        <v/>
      </c>
      <c r="J174" t="str">
        <f>IF(C174="","",MIN(MAX(0,E174-N(I174)),MAX(0,G174-SUMIFS($I$4:$I$213,$C$4:$C$213,C174)-(SUMIFS($E$4:E173,$C$4:C173,C174)-SUMIFS($I$4:I173,$C$4:C173,C174)))))</f>
        <v/>
      </c>
      <c r="M174" t="str">
        <f>IF(C174="","",IF(OR(L174&lt;=0,F174=""),0,MAX(0,应收跟进!$E$2-F174)))</f>
        <v/>
      </c>
      <c r="N174" t="str">
        <f>IF(C174="","",IF(L174&lt;=0,"已结清",IF(F174&gt;应收跟进!$E$2,"未到期",IF(M174&lt;=30,"逾期1-30天",IF(M174&lt;=60,"逾期31-60天",IF(M174&lt;=90,"逾期61-90天","逾期90天以上"))))))</f>
        <v/>
      </c>
      <c r="P174" t="str">
        <f>IF(销售录入!A164="","",销售录入!N164)</f>
        <v/>
      </c>
      <c r="Q174" t="str">
        <f>IF(销售录入!A164="","",销售录入!O164)</f>
        <v/>
      </c>
    </row>
    <row r="175" spans="1:17">
      <c r="A175" t="str">
        <f>IF(销售录入!A165="","","销售")</f>
        <v/>
      </c>
      <c r="B175" t="str">
        <f>IF(销售录入!A165="","",销售录入!A165)</f>
        <v/>
      </c>
      <c r="C175" t="str">
        <f>IF(销售录入!A165="","",销售录入!C165)</f>
        <v/>
      </c>
      <c r="D175" t="str">
        <f>IF(销售录入!A165="","",销售录入!D165)</f>
        <v/>
      </c>
      <c r="E175" t="str">
        <f>IF(销售录入!A165="","",销售录入!I165)</f>
        <v/>
      </c>
      <c r="F175" t="str">
        <f>IF(销售录入!A165="","",销售录入!L165)</f>
        <v/>
      </c>
      <c r="G175" t="str">
        <f>IF(C175="","",SUMIFS(资金流水!$J$4:$J$203,资金流水!$F$4:$F$203,C175,资金流水!$D$4:$D$203,"客户回款",资金流水!$A$4:$A$203,"&lt;="&amp;应收跟进!$E$2))</f>
        <v/>
      </c>
      <c r="H175" t="str">
        <f>IF(C175="","",SUMIFS($E$4:E174,$C$4:C174,C175))</f>
        <v/>
      </c>
      <c r="J175" t="str">
        <f>IF(C175="","",MIN(MAX(0,E175-N(I175)),MAX(0,G175-SUMIFS($I$4:$I$213,$C$4:$C$213,C175)-(SUMIFS($E$4:E174,$C$4:C174,C175)-SUMIFS($I$4:I174,$C$4:C174,C175)))))</f>
        <v/>
      </c>
      <c r="M175" t="str">
        <f>IF(C175="","",IF(OR(L175&lt;=0,F175=""),0,MAX(0,应收跟进!$E$2-F175)))</f>
        <v/>
      </c>
      <c r="N175" t="str">
        <f>IF(C175="","",IF(L175&lt;=0,"已结清",IF(F175&gt;应收跟进!$E$2,"未到期",IF(M175&lt;=30,"逾期1-30天",IF(M175&lt;=60,"逾期31-60天",IF(M175&lt;=90,"逾期61-90天","逾期90天以上"))))))</f>
        <v/>
      </c>
      <c r="P175" t="str">
        <f>IF(销售录入!A165="","",销售录入!N165)</f>
        <v/>
      </c>
      <c r="Q175" t="str">
        <f>IF(销售录入!A165="","",销售录入!O165)</f>
        <v/>
      </c>
    </row>
    <row r="176" spans="1:17">
      <c r="A176" t="str">
        <f>IF(销售录入!A166="","","销售")</f>
        <v/>
      </c>
      <c r="B176" t="str">
        <f>IF(销售录入!A166="","",销售录入!A166)</f>
        <v/>
      </c>
      <c r="C176" t="str">
        <f>IF(销售录入!A166="","",销售录入!C166)</f>
        <v/>
      </c>
      <c r="D176" t="str">
        <f>IF(销售录入!A166="","",销售录入!D166)</f>
        <v/>
      </c>
      <c r="E176" t="str">
        <f>IF(销售录入!A166="","",销售录入!I166)</f>
        <v/>
      </c>
      <c r="F176" t="str">
        <f>IF(销售录入!A166="","",销售录入!L166)</f>
        <v/>
      </c>
      <c r="G176" t="str">
        <f>IF(C176="","",SUMIFS(资金流水!$J$4:$J$203,资金流水!$F$4:$F$203,C176,资金流水!$D$4:$D$203,"客户回款",资金流水!$A$4:$A$203,"&lt;="&amp;应收跟进!$E$2))</f>
        <v/>
      </c>
      <c r="H176" t="str">
        <f>IF(C176="","",SUMIFS($E$4:E175,$C$4:C175,C176))</f>
        <v/>
      </c>
      <c r="J176" t="str">
        <f>IF(C176="","",MIN(MAX(0,E176-N(I176)),MAX(0,G176-SUMIFS($I$4:$I$213,$C$4:$C$213,C176)-(SUMIFS($E$4:E175,$C$4:C175,C176)-SUMIFS($I$4:I175,$C$4:C175,C176)))))</f>
        <v/>
      </c>
      <c r="M176" t="str">
        <f>IF(C176="","",IF(OR(L176&lt;=0,F176=""),0,MAX(0,应收跟进!$E$2-F176)))</f>
        <v/>
      </c>
      <c r="N176" t="str">
        <f>IF(C176="","",IF(L176&lt;=0,"已结清",IF(F176&gt;应收跟进!$E$2,"未到期",IF(M176&lt;=30,"逾期1-30天",IF(M176&lt;=60,"逾期31-60天",IF(M176&lt;=90,"逾期61-90天","逾期90天以上"))))))</f>
        <v/>
      </c>
      <c r="P176" t="str">
        <f>IF(销售录入!A166="","",销售录入!N166)</f>
        <v/>
      </c>
      <c r="Q176" t="str">
        <f>IF(销售录入!A166="","",销售录入!O166)</f>
        <v/>
      </c>
    </row>
    <row r="177" spans="1:17">
      <c r="A177" t="str">
        <f>IF(销售录入!A167="","","销售")</f>
        <v/>
      </c>
      <c r="B177" t="str">
        <f>IF(销售录入!A167="","",销售录入!A167)</f>
        <v/>
      </c>
      <c r="C177" t="str">
        <f>IF(销售录入!A167="","",销售录入!C167)</f>
        <v/>
      </c>
      <c r="D177" t="str">
        <f>IF(销售录入!A167="","",销售录入!D167)</f>
        <v/>
      </c>
      <c r="E177" t="str">
        <f>IF(销售录入!A167="","",销售录入!I167)</f>
        <v/>
      </c>
      <c r="F177" t="str">
        <f>IF(销售录入!A167="","",销售录入!L167)</f>
        <v/>
      </c>
      <c r="G177" t="str">
        <f>IF(C177="","",SUMIFS(资金流水!$J$4:$J$203,资金流水!$F$4:$F$203,C177,资金流水!$D$4:$D$203,"客户回款",资金流水!$A$4:$A$203,"&lt;="&amp;应收跟进!$E$2))</f>
        <v/>
      </c>
      <c r="H177" t="str">
        <f>IF(C177="","",SUMIFS($E$4:E176,$C$4:C176,C177))</f>
        <v/>
      </c>
      <c r="J177" t="str">
        <f>IF(C177="","",MIN(MAX(0,E177-N(I177)),MAX(0,G177-SUMIFS($I$4:$I$213,$C$4:$C$213,C177)-(SUMIFS($E$4:E176,$C$4:C176,C177)-SUMIFS($I$4:I176,$C$4:C176,C177)))))</f>
        <v/>
      </c>
      <c r="M177" t="str">
        <f>IF(C177="","",IF(OR(L177&lt;=0,F177=""),0,MAX(0,应收跟进!$E$2-F177)))</f>
        <v/>
      </c>
      <c r="N177" t="str">
        <f>IF(C177="","",IF(L177&lt;=0,"已结清",IF(F177&gt;应收跟进!$E$2,"未到期",IF(M177&lt;=30,"逾期1-30天",IF(M177&lt;=60,"逾期31-60天",IF(M177&lt;=90,"逾期61-90天","逾期90天以上"))))))</f>
        <v/>
      </c>
      <c r="P177" t="str">
        <f>IF(销售录入!A167="","",销售录入!N167)</f>
        <v/>
      </c>
      <c r="Q177" t="str">
        <f>IF(销售录入!A167="","",销售录入!O167)</f>
        <v/>
      </c>
    </row>
    <row r="178" spans="1:17">
      <c r="A178" t="str">
        <f>IF(销售录入!A168="","","销售")</f>
        <v/>
      </c>
      <c r="B178" t="str">
        <f>IF(销售录入!A168="","",销售录入!A168)</f>
        <v/>
      </c>
      <c r="C178" t="str">
        <f>IF(销售录入!A168="","",销售录入!C168)</f>
        <v/>
      </c>
      <c r="D178" t="str">
        <f>IF(销售录入!A168="","",销售录入!D168)</f>
        <v/>
      </c>
      <c r="E178" t="str">
        <f>IF(销售录入!A168="","",销售录入!I168)</f>
        <v/>
      </c>
      <c r="F178" t="str">
        <f>IF(销售录入!A168="","",销售录入!L168)</f>
        <v/>
      </c>
      <c r="G178" t="str">
        <f>IF(C178="","",SUMIFS(资金流水!$J$4:$J$203,资金流水!$F$4:$F$203,C178,资金流水!$D$4:$D$203,"客户回款",资金流水!$A$4:$A$203,"&lt;="&amp;应收跟进!$E$2))</f>
        <v/>
      </c>
      <c r="H178" t="str">
        <f>IF(C178="","",SUMIFS($E$4:E177,$C$4:C177,C178))</f>
        <v/>
      </c>
      <c r="J178" t="str">
        <f>IF(C178="","",MIN(MAX(0,E178-N(I178)),MAX(0,G178-SUMIFS($I$4:$I$213,$C$4:$C$213,C178)-(SUMIFS($E$4:E177,$C$4:C177,C178)-SUMIFS($I$4:I177,$C$4:C177,C178)))))</f>
        <v/>
      </c>
      <c r="M178" t="str">
        <f>IF(C178="","",IF(OR(L178&lt;=0,F178=""),0,MAX(0,应收跟进!$E$2-F178)))</f>
        <v/>
      </c>
      <c r="N178" t="str">
        <f>IF(C178="","",IF(L178&lt;=0,"已结清",IF(F178&gt;应收跟进!$E$2,"未到期",IF(M178&lt;=30,"逾期1-30天",IF(M178&lt;=60,"逾期31-60天",IF(M178&lt;=90,"逾期61-90天","逾期90天以上"))))))</f>
        <v/>
      </c>
      <c r="P178" t="str">
        <f>IF(销售录入!A168="","",销售录入!N168)</f>
        <v/>
      </c>
      <c r="Q178" t="str">
        <f>IF(销售录入!A168="","",销售录入!O168)</f>
        <v/>
      </c>
    </row>
    <row r="179" spans="1:17">
      <c r="A179" t="str">
        <f>IF(销售录入!A169="","","销售")</f>
        <v/>
      </c>
      <c r="B179" t="str">
        <f>IF(销售录入!A169="","",销售录入!A169)</f>
        <v/>
      </c>
      <c r="C179" t="str">
        <f>IF(销售录入!A169="","",销售录入!C169)</f>
        <v/>
      </c>
      <c r="D179" t="str">
        <f>IF(销售录入!A169="","",销售录入!D169)</f>
        <v/>
      </c>
      <c r="E179" t="str">
        <f>IF(销售录入!A169="","",销售录入!I169)</f>
        <v/>
      </c>
      <c r="F179" t="str">
        <f>IF(销售录入!A169="","",销售录入!L169)</f>
        <v/>
      </c>
      <c r="G179" t="str">
        <f>IF(C179="","",SUMIFS(资金流水!$J$4:$J$203,资金流水!$F$4:$F$203,C179,资金流水!$D$4:$D$203,"客户回款",资金流水!$A$4:$A$203,"&lt;="&amp;应收跟进!$E$2))</f>
        <v/>
      </c>
      <c r="H179" t="str">
        <f>IF(C179="","",SUMIFS($E$4:E178,$C$4:C178,C179))</f>
        <v/>
      </c>
      <c r="J179" t="str">
        <f>IF(C179="","",MIN(MAX(0,E179-N(I179)),MAX(0,G179-SUMIFS($I$4:$I$213,$C$4:$C$213,C179)-(SUMIFS($E$4:E178,$C$4:C178,C179)-SUMIFS($I$4:I178,$C$4:C178,C179)))))</f>
        <v/>
      </c>
      <c r="M179" t="str">
        <f>IF(C179="","",IF(OR(L179&lt;=0,F179=""),0,MAX(0,应收跟进!$E$2-F179)))</f>
        <v/>
      </c>
      <c r="N179" t="str">
        <f>IF(C179="","",IF(L179&lt;=0,"已结清",IF(F179&gt;应收跟进!$E$2,"未到期",IF(M179&lt;=30,"逾期1-30天",IF(M179&lt;=60,"逾期31-60天",IF(M179&lt;=90,"逾期61-90天","逾期90天以上"))))))</f>
        <v/>
      </c>
      <c r="P179" t="str">
        <f>IF(销售录入!A169="","",销售录入!N169)</f>
        <v/>
      </c>
      <c r="Q179" t="str">
        <f>IF(销售录入!A169="","",销售录入!O169)</f>
        <v/>
      </c>
    </row>
    <row r="180" spans="1:17">
      <c r="A180" t="str">
        <f>IF(销售录入!A170="","","销售")</f>
        <v/>
      </c>
      <c r="B180" t="str">
        <f>IF(销售录入!A170="","",销售录入!A170)</f>
        <v/>
      </c>
      <c r="C180" t="str">
        <f>IF(销售录入!A170="","",销售录入!C170)</f>
        <v/>
      </c>
      <c r="D180" t="str">
        <f>IF(销售录入!A170="","",销售录入!D170)</f>
        <v/>
      </c>
      <c r="E180" t="str">
        <f>IF(销售录入!A170="","",销售录入!I170)</f>
        <v/>
      </c>
      <c r="F180" t="str">
        <f>IF(销售录入!A170="","",销售录入!L170)</f>
        <v/>
      </c>
      <c r="G180" t="str">
        <f>IF(C180="","",SUMIFS(资金流水!$J$4:$J$203,资金流水!$F$4:$F$203,C180,资金流水!$D$4:$D$203,"客户回款",资金流水!$A$4:$A$203,"&lt;="&amp;应收跟进!$E$2))</f>
        <v/>
      </c>
      <c r="H180" t="str">
        <f>IF(C180="","",SUMIFS($E$4:E179,$C$4:C179,C180))</f>
        <v/>
      </c>
      <c r="J180" t="str">
        <f>IF(C180="","",MIN(MAX(0,E180-N(I180)),MAX(0,G180-SUMIFS($I$4:$I$213,$C$4:$C$213,C180)-(SUMIFS($E$4:E179,$C$4:C179,C180)-SUMIFS($I$4:I179,$C$4:C179,C180)))))</f>
        <v/>
      </c>
      <c r="M180" t="str">
        <f>IF(C180="","",IF(OR(L180&lt;=0,F180=""),0,MAX(0,应收跟进!$E$2-F180)))</f>
        <v/>
      </c>
      <c r="N180" t="str">
        <f>IF(C180="","",IF(L180&lt;=0,"已结清",IF(F180&gt;应收跟进!$E$2,"未到期",IF(M180&lt;=30,"逾期1-30天",IF(M180&lt;=60,"逾期31-60天",IF(M180&lt;=90,"逾期61-90天","逾期90天以上"))))))</f>
        <v/>
      </c>
      <c r="P180" t="str">
        <f>IF(销售录入!A170="","",销售录入!N170)</f>
        <v/>
      </c>
      <c r="Q180" t="str">
        <f>IF(销售录入!A170="","",销售录入!O170)</f>
        <v/>
      </c>
    </row>
    <row r="181" spans="1:17">
      <c r="A181" t="str">
        <f>IF(销售录入!A171="","","销售")</f>
        <v/>
      </c>
      <c r="B181" t="str">
        <f>IF(销售录入!A171="","",销售录入!A171)</f>
        <v/>
      </c>
      <c r="C181" t="str">
        <f>IF(销售录入!A171="","",销售录入!C171)</f>
        <v/>
      </c>
      <c r="D181" t="str">
        <f>IF(销售录入!A171="","",销售录入!D171)</f>
        <v/>
      </c>
      <c r="E181" t="str">
        <f>IF(销售录入!A171="","",销售录入!I171)</f>
        <v/>
      </c>
      <c r="F181" t="str">
        <f>IF(销售录入!A171="","",销售录入!L171)</f>
        <v/>
      </c>
      <c r="G181" t="str">
        <f>IF(C181="","",SUMIFS(资金流水!$J$4:$J$203,资金流水!$F$4:$F$203,C181,资金流水!$D$4:$D$203,"客户回款",资金流水!$A$4:$A$203,"&lt;="&amp;应收跟进!$E$2))</f>
        <v/>
      </c>
      <c r="H181" t="str">
        <f>IF(C181="","",SUMIFS($E$4:E180,$C$4:C180,C181))</f>
        <v/>
      </c>
      <c r="J181" t="str">
        <f>IF(C181="","",MIN(MAX(0,E181-N(I181)),MAX(0,G181-SUMIFS($I$4:$I$213,$C$4:$C$213,C181)-(SUMIFS($E$4:E180,$C$4:C180,C181)-SUMIFS($I$4:I180,$C$4:C180,C181)))))</f>
        <v/>
      </c>
      <c r="M181" t="str">
        <f>IF(C181="","",IF(OR(L181&lt;=0,F181=""),0,MAX(0,应收跟进!$E$2-F181)))</f>
        <v/>
      </c>
      <c r="N181" t="str">
        <f>IF(C181="","",IF(L181&lt;=0,"已结清",IF(F181&gt;应收跟进!$E$2,"未到期",IF(M181&lt;=30,"逾期1-30天",IF(M181&lt;=60,"逾期31-60天",IF(M181&lt;=90,"逾期61-90天","逾期90天以上"))))))</f>
        <v/>
      </c>
      <c r="P181" t="str">
        <f>IF(销售录入!A171="","",销售录入!N171)</f>
        <v/>
      </c>
      <c r="Q181" t="str">
        <f>IF(销售录入!A171="","",销售录入!O171)</f>
        <v/>
      </c>
    </row>
    <row r="182" spans="1:17">
      <c r="A182" t="str">
        <f>IF(销售录入!A172="","","销售")</f>
        <v/>
      </c>
      <c r="B182" t="str">
        <f>IF(销售录入!A172="","",销售录入!A172)</f>
        <v/>
      </c>
      <c r="C182" t="str">
        <f>IF(销售录入!A172="","",销售录入!C172)</f>
        <v/>
      </c>
      <c r="D182" t="str">
        <f>IF(销售录入!A172="","",销售录入!D172)</f>
        <v/>
      </c>
      <c r="E182" t="str">
        <f>IF(销售录入!A172="","",销售录入!I172)</f>
        <v/>
      </c>
      <c r="F182" t="str">
        <f>IF(销售录入!A172="","",销售录入!L172)</f>
        <v/>
      </c>
      <c r="G182" t="str">
        <f>IF(C182="","",SUMIFS(资金流水!$J$4:$J$203,资金流水!$F$4:$F$203,C182,资金流水!$D$4:$D$203,"客户回款",资金流水!$A$4:$A$203,"&lt;="&amp;应收跟进!$E$2))</f>
        <v/>
      </c>
      <c r="H182" t="str">
        <f>IF(C182="","",SUMIFS($E$4:E181,$C$4:C181,C182))</f>
        <v/>
      </c>
      <c r="J182" t="str">
        <f>IF(C182="","",MIN(MAX(0,E182-N(I182)),MAX(0,G182-SUMIFS($I$4:$I$213,$C$4:$C$213,C182)-(SUMIFS($E$4:E181,$C$4:C181,C182)-SUMIFS($I$4:I181,$C$4:C181,C182)))))</f>
        <v/>
      </c>
      <c r="M182" t="str">
        <f>IF(C182="","",IF(OR(L182&lt;=0,F182=""),0,MAX(0,应收跟进!$E$2-F182)))</f>
        <v/>
      </c>
      <c r="N182" t="str">
        <f>IF(C182="","",IF(L182&lt;=0,"已结清",IF(F182&gt;应收跟进!$E$2,"未到期",IF(M182&lt;=30,"逾期1-30天",IF(M182&lt;=60,"逾期31-60天",IF(M182&lt;=90,"逾期61-90天","逾期90天以上"))))))</f>
        <v/>
      </c>
      <c r="P182" t="str">
        <f>IF(销售录入!A172="","",销售录入!N172)</f>
        <v/>
      </c>
      <c r="Q182" t="str">
        <f>IF(销售录入!A172="","",销售录入!O172)</f>
        <v/>
      </c>
    </row>
    <row r="183" spans="1:17">
      <c r="A183" t="str">
        <f>IF(销售录入!A173="","","销售")</f>
        <v/>
      </c>
      <c r="B183" t="str">
        <f>IF(销售录入!A173="","",销售录入!A173)</f>
        <v/>
      </c>
      <c r="C183" t="str">
        <f>IF(销售录入!A173="","",销售录入!C173)</f>
        <v/>
      </c>
      <c r="D183" t="str">
        <f>IF(销售录入!A173="","",销售录入!D173)</f>
        <v/>
      </c>
      <c r="E183" t="str">
        <f>IF(销售录入!A173="","",销售录入!I173)</f>
        <v/>
      </c>
      <c r="F183" t="str">
        <f>IF(销售录入!A173="","",销售录入!L173)</f>
        <v/>
      </c>
      <c r="G183" t="str">
        <f>IF(C183="","",SUMIFS(资金流水!$J$4:$J$203,资金流水!$F$4:$F$203,C183,资金流水!$D$4:$D$203,"客户回款",资金流水!$A$4:$A$203,"&lt;="&amp;应收跟进!$E$2))</f>
        <v/>
      </c>
      <c r="H183" t="str">
        <f>IF(C183="","",SUMIFS($E$4:E182,$C$4:C182,C183))</f>
        <v/>
      </c>
      <c r="J183" t="str">
        <f>IF(C183="","",MIN(MAX(0,E183-N(I183)),MAX(0,G183-SUMIFS($I$4:$I$213,$C$4:$C$213,C183)-(SUMIFS($E$4:E182,$C$4:C182,C183)-SUMIFS($I$4:I182,$C$4:C182,C183)))))</f>
        <v/>
      </c>
      <c r="M183" t="str">
        <f>IF(C183="","",IF(OR(L183&lt;=0,F183=""),0,MAX(0,应收跟进!$E$2-F183)))</f>
        <v/>
      </c>
      <c r="N183" t="str">
        <f>IF(C183="","",IF(L183&lt;=0,"已结清",IF(F183&gt;应收跟进!$E$2,"未到期",IF(M183&lt;=30,"逾期1-30天",IF(M183&lt;=60,"逾期31-60天",IF(M183&lt;=90,"逾期61-90天","逾期90天以上"))))))</f>
        <v/>
      </c>
      <c r="P183" t="str">
        <f>IF(销售录入!A173="","",销售录入!N173)</f>
        <v/>
      </c>
      <c r="Q183" t="str">
        <f>IF(销售录入!A173="","",销售录入!O173)</f>
        <v/>
      </c>
    </row>
    <row r="184" spans="1:17">
      <c r="A184" t="str">
        <f>IF(销售录入!A174="","","销售")</f>
        <v/>
      </c>
      <c r="B184" t="str">
        <f>IF(销售录入!A174="","",销售录入!A174)</f>
        <v/>
      </c>
      <c r="C184" t="str">
        <f>IF(销售录入!A174="","",销售录入!C174)</f>
        <v/>
      </c>
      <c r="D184" t="str">
        <f>IF(销售录入!A174="","",销售录入!D174)</f>
        <v/>
      </c>
      <c r="E184" t="str">
        <f>IF(销售录入!A174="","",销售录入!I174)</f>
        <v/>
      </c>
      <c r="F184" t="str">
        <f>IF(销售录入!A174="","",销售录入!L174)</f>
        <v/>
      </c>
      <c r="G184" t="str">
        <f>IF(C184="","",SUMIFS(资金流水!$J$4:$J$203,资金流水!$F$4:$F$203,C184,资金流水!$D$4:$D$203,"客户回款",资金流水!$A$4:$A$203,"&lt;="&amp;应收跟进!$E$2))</f>
        <v/>
      </c>
      <c r="H184" t="str">
        <f>IF(C184="","",SUMIFS($E$4:E183,$C$4:C183,C184))</f>
        <v/>
      </c>
      <c r="J184" t="str">
        <f>IF(C184="","",MIN(MAX(0,E184-N(I184)),MAX(0,G184-SUMIFS($I$4:$I$213,$C$4:$C$213,C184)-(SUMIFS($E$4:E183,$C$4:C183,C184)-SUMIFS($I$4:I183,$C$4:C183,C184)))))</f>
        <v/>
      </c>
      <c r="M184" t="str">
        <f>IF(C184="","",IF(OR(L184&lt;=0,F184=""),0,MAX(0,应收跟进!$E$2-F184)))</f>
        <v/>
      </c>
      <c r="N184" t="str">
        <f>IF(C184="","",IF(L184&lt;=0,"已结清",IF(F184&gt;应收跟进!$E$2,"未到期",IF(M184&lt;=30,"逾期1-30天",IF(M184&lt;=60,"逾期31-60天",IF(M184&lt;=90,"逾期61-90天","逾期90天以上"))))))</f>
        <v/>
      </c>
      <c r="P184" t="str">
        <f>IF(销售录入!A174="","",销售录入!N174)</f>
        <v/>
      </c>
      <c r="Q184" t="str">
        <f>IF(销售录入!A174="","",销售录入!O174)</f>
        <v/>
      </c>
    </row>
    <row r="185" spans="1:17">
      <c r="A185" t="str">
        <f>IF(销售录入!A175="","","销售")</f>
        <v/>
      </c>
      <c r="B185" t="str">
        <f>IF(销售录入!A175="","",销售录入!A175)</f>
        <v/>
      </c>
      <c r="C185" t="str">
        <f>IF(销售录入!A175="","",销售录入!C175)</f>
        <v/>
      </c>
      <c r="D185" t="str">
        <f>IF(销售录入!A175="","",销售录入!D175)</f>
        <v/>
      </c>
      <c r="E185" t="str">
        <f>IF(销售录入!A175="","",销售录入!I175)</f>
        <v/>
      </c>
      <c r="F185" t="str">
        <f>IF(销售录入!A175="","",销售录入!L175)</f>
        <v/>
      </c>
      <c r="G185" t="str">
        <f>IF(C185="","",SUMIFS(资金流水!$J$4:$J$203,资金流水!$F$4:$F$203,C185,资金流水!$D$4:$D$203,"客户回款",资金流水!$A$4:$A$203,"&lt;="&amp;应收跟进!$E$2))</f>
        <v/>
      </c>
      <c r="H185" t="str">
        <f>IF(C185="","",SUMIFS($E$4:E184,$C$4:C184,C185))</f>
        <v/>
      </c>
      <c r="J185" t="str">
        <f>IF(C185="","",MIN(MAX(0,E185-N(I185)),MAX(0,G185-SUMIFS($I$4:$I$213,$C$4:$C$213,C185)-(SUMIFS($E$4:E184,$C$4:C184,C185)-SUMIFS($I$4:I184,$C$4:C184,C185)))))</f>
        <v/>
      </c>
      <c r="M185" t="str">
        <f>IF(C185="","",IF(OR(L185&lt;=0,F185=""),0,MAX(0,应收跟进!$E$2-F185)))</f>
        <v/>
      </c>
      <c r="N185" t="str">
        <f>IF(C185="","",IF(L185&lt;=0,"已结清",IF(F185&gt;应收跟进!$E$2,"未到期",IF(M185&lt;=30,"逾期1-30天",IF(M185&lt;=60,"逾期31-60天",IF(M185&lt;=90,"逾期61-90天","逾期90天以上"))))))</f>
        <v/>
      </c>
      <c r="P185" t="str">
        <f>IF(销售录入!A175="","",销售录入!N175)</f>
        <v/>
      </c>
      <c r="Q185" t="str">
        <f>IF(销售录入!A175="","",销售录入!O175)</f>
        <v/>
      </c>
    </row>
    <row r="186" spans="1:17">
      <c r="A186" t="str">
        <f>IF(销售录入!A176="","","销售")</f>
        <v/>
      </c>
      <c r="B186" t="str">
        <f>IF(销售录入!A176="","",销售录入!A176)</f>
        <v/>
      </c>
      <c r="C186" t="str">
        <f>IF(销售录入!A176="","",销售录入!C176)</f>
        <v/>
      </c>
      <c r="D186" t="str">
        <f>IF(销售录入!A176="","",销售录入!D176)</f>
        <v/>
      </c>
      <c r="E186" t="str">
        <f>IF(销售录入!A176="","",销售录入!I176)</f>
        <v/>
      </c>
      <c r="F186" t="str">
        <f>IF(销售录入!A176="","",销售录入!L176)</f>
        <v/>
      </c>
      <c r="G186" t="str">
        <f>IF(C186="","",SUMIFS(资金流水!$J$4:$J$203,资金流水!$F$4:$F$203,C186,资金流水!$D$4:$D$203,"客户回款",资金流水!$A$4:$A$203,"&lt;="&amp;应收跟进!$E$2))</f>
        <v/>
      </c>
      <c r="H186" t="str">
        <f>IF(C186="","",SUMIFS($E$4:E185,$C$4:C185,C186))</f>
        <v/>
      </c>
      <c r="J186" t="str">
        <f>IF(C186="","",MIN(MAX(0,E186-N(I186)),MAX(0,G186-SUMIFS($I$4:$I$213,$C$4:$C$213,C186)-(SUMIFS($E$4:E185,$C$4:C185,C186)-SUMIFS($I$4:I185,$C$4:C185,C186)))))</f>
        <v/>
      </c>
      <c r="M186" t="str">
        <f>IF(C186="","",IF(OR(L186&lt;=0,F186=""),0,MAX(0,应收跟进!$E$2-F186)))</f>
        <v/>
      </c>
      <c r="N186" t="str">
        <f>IF(C186="","",IF(L186&lt;=0,"已结清",IF(F186&gt;应收跟进!$E$2,"未到期",IF(M186&lt;=30,"逾期1-30天",IF(M186&lt;=60,"逾期31-60天",IF(M186&lt;=90,"逾期61-90天","逾期90天以上"))))))</f>
        <v/>
      </c>
      <c r="P186" t="str">
        <f>IF(销售录入!A176="","",销售录入!N176)</f>
        <v/>
      </c>
      <c r="Q186" t="str">
        <f>IF(销售录入!A176="","",销售录入!O176)</f>
        <v/>
      </c>
    </row>
    <row r="187" spans="1:17">
      <c r="A187" t="str">
        <f>IF(销售录入!A177="","","销售")</f>
        <v/>
      </c>
      <c r="B187" t="str">
        <f>IF(销售录入!A177="","",销售录入!A177)</f>
        <v/>
      </c>
      <c r="C187" t="str">
        <f>IF(销售录入!A177="","",销售录入!C177)</f>
        <v/>
      </c>
      <c r="D187" t="str">
        <f>IF(销售录入!A177="","",销售录入!D177)</f>
        <v/>
      </c>
      <c r="E187" t="str">
        <f>IF(销售录入!A177="","",销售录入!I177)</f>
        <v/>
      </c>
      <c r="F187" t="str">
        <f>IF(销售录入!A177="","",销售录入!L177)</f>
        <v/>
      </c>
      <c r="G187" t="str">
        <f>IF(C187="","",SUMIFS(资金流水!$J$4:$J$203,资金流水!$F$4:$F$203,C187,资金流水!$D$4:$D$203,"客户回款",资金流水!$A$4:$A$203,"&lt;="&amp;应收跟进!$E$2))</f>
        <v/>
      </c>
      <c r="H187" t="str">
        <f>IF(C187="","",SUMIFS($E$4:E186,$C$4:C186,C187))</f>
        <v/>
      </c>
      <c r="J187" t="str">
        <f>IF(C187="","",MIN(MAX(0,E187-N(I187)),MAX(0,G187-SUMIFS($I$4:$I$213,$C$4:$C$213,C187)-(SUMIFS($E$4:E186,$C$4:C186,C187)-SUMIFS($I$4:I186,$C$4:C186,C187)))))</f>
        <v/>
      </c>
      <c r="M187" t="str">
        <f>IF(C187="","",IF(OR(L187&lt;=0,F187=""),0,MAX(0,应收跟进!$E$2-F187)))</f>
        <v/>
      </c>
      <c r="N187" t="str">
        <f>IF(C187="","",IF(L187&lt;=0,"已结清",IF(F187&gt;应收跟进!$E$2,"未到期",IF(M187&lt;=30,"逾期1-30天",IF(M187&lt;=60,"逾期31-60天",IF(M187&lt;=90,"逾期61-90天","逾期90天以上"))))))</f>
        <v/>
      </c>
      <c r="P187" t="str">
        <f>IF(销售录入!A177="","",销售录入!N177)</f>
        <v/>
      </c>
      <c r="Q187" t="str">
        <f>IF(销售录入!A177="","",销售录入!O177)</f>
        <v/>
      </c>
    </row>
    <row r="188" spans="1:17">
      <c r="A188" t="str">
        <f>IF(销售录入!A178="","","销售")</f>
        <v/>
      </c>
      <c r="B188" t="str">
        <f>IF(销售录入!A178="","",销售录入!A178)</f>
        <v/>
      </c>
      <c r="C188" t="str">
        <f>IF(销售录入!A178="","",销售录入!C178)</f>
        <v/>
      </c>
      <c r="D188" t="str">
        <f>IF(销售录入!A178="","",销售录入!D178)</f>
        <v/>
      </c>
      <c r="E188" t="str">
        <f>IF(销售录入!A178="","",销售录入!I178)</f>
        <v/>
      </c>
      <c r="F188" t="str">
        <f>IF(销售录入!A178="","",销售录入!L178)</f>
        <v/>
      </c>
      <c r="G188" t="str">
        <f>IF(C188="","",SUMIFS(资金流水!$J$4:$J$203,资金流水!$F$4:$F$203,C188,资金流水!$D$4:$D$203,"客户回款",资金流水!$A$4:$A$203,"&lt;="&amp;应收跟进!$E$2))</f>
        <v/>
      </c>
      <c r="H188" t="str">
        <f>IF(C188="","",SUMIFS($E$4:E187,$C$4:C187,C188))</f>
        <v/>
      </c>
      <c r="J188" t="str">
        <f>IF(C188="","",MIN(MAX(0,E188-N(I188)),MAX(0,G188-SUMIFS($I$4:$I$213,$C$4:$C$213,C188)-(SUMIFS($E$4:E187,$C$4:C187,C188)-SUMIFS($I$4:I187,$C$4:C187,C188)))))</f>
        <v/>
      </c>
      <c r="M188" t="str">
        <f>IF(C188="","",IF(OR(L188&lt;=0,F188=""),0,MAX(0,应收跟进!$E$2-F188)))</f>
        <v/>
      </c>
      <c r="N188" t="str">
        <f>IF(C188="","",IF(L188&lt;=0,"已结清",IF(F188&gt;应收跟进!$E$2,"未到期",IF(M188&lt;=30,"逾期1-30天",IF(M188&lt;=60,"逾期31-60天",IF(M188&lt;=90,"逾期61-90天","逾期90天以上"))))))</f>
        <v/>
      </c>
      <c r="P188" t="str">
        <f>IF(销售录入!A178="","",销售录入!N178)</f>
        <v/>
      </c>
      <c r="Q188" t="str">
        <f>IF(销售录入!A178="","",销售录入!O178)</f>
        <v/>
      </c>
    </row>
    <row r="189" spans="1:17">
      <c r="A189" t="str">
        <f>IF(销售录入!A179="","","销售")</f>
        <v/>
      </c>
      <c r="B189" t="str">
        <f>IF(销售录入!A179="","",销售录入!A179)</f>
        <v/>
      </c>
      <c r="C189" t="str">
        <f>IF(销售录入!A179="","",销售录入!C179)</f>
        <v/>
      </c>
      <c r="D189" t="str">
        <f>IF(销售录入!A179="","",销售录入!D179)</f>
        <v/>
      </c>
      <c r="E189" t="str">
        <f>IF(销售录入!A179="","",销售录入!I179)</f>
        <v/>
      </c>
      <c r="F189" t="str">
        <f>IF(销售录入!A179="","",销售录入!L179)</f>
        <v/>
      </c>
      <c r="G189" t="str">
        <f>IF(C189="","",SUMIFS(资金流水!$J$4:$J$203,资金流水!$F$4:$F$203,C189,资金流水!$D$4:$D$203,"客户回款",资金流水!$A$4:$A$203,"&lt;="&amp;应收跟进!$E$2))</f>
        <v/>
      </c>
      <c r="H189" t="str">
        <f>IF(C189="","",SUMIFS($E$4:E188,$C$4:C188,C189))</f>
        <v/>
      </c>
      <c r="J189" t="str">
        <f>IF(C189="","",MIN(MAX(0,E189-N(I189)),MAX(0,G189-SUMIFS($I$4:$I$213,$C$4:$C$213,C189)-(SUMIFS($E$4:E188,$C$4:C188,C189)-SUMIFS($I$4:I188,$C$4:C188,C189)))))</f>
        <v/>
      </c>
      <c r="M189" t="str">
        <f>IF(C189="","",IF(OR(L189&lt;=0,F189=""),0,MAX(0,应收跟进!$E$2-F189)))</f>
        <v/>
      </c>
      <c r="N189" t="str">
        <f>IF(C189="","",IF(L189&lt;=0,"已结清",IF(F189&gt;应收跟进!$E$2,"未到期",IF(M189&lt;=30,"逾期1-30天",IF(M189&lt;=60,"逾期31-60天",IF(M189&lt;=90,"逾期61-90天","逾期90天以上"))))))</f>
        <v/>
      </c>
      <c r="P189" t="str">
        <f>IF(销售录入!A179="","",销售录入!N179)</f>
        <v/>
      </c>
      <c r="Q189" t="str">
        <f>IF(销售录入!A179="","",销售录入!O179)</f>
        <v/>
      </c>
    </row>
    <row r="190" spans="1:17">
      <c r="A190" t="str">
        <f>IF(销售录入!A180="","","销售")</f>
        <v/>
      </c>
      <c r="B190" t="str">
        <f>IF(销售录入!A180="","",销售录入!A180)</f>
        <v/>
      </c>
      <c r="C190" t="str">
        <f>IF(销售录入!A180="","",销售录入!C180)</f>
        <v/>
      </c>
      <c r="D190" t="str">
        <f>IF(销售录入!A180="","",销售录入!D180)</f>
        <v/>
      </c>
      <c r="E190" t="str">
        <f>IF(销售录入!A180="","",销售录入!I180)</f>
        <v/>
      </c>
      <c r="F190" t="str">
        <f>IF(销售录入!A180="","",销售录入!L180)</f>
        <v/>
      </c>
      <c r="G190" t="str">
        <f>IF(C190="","",SUMIFS(资金流水!$J$4:$J$203,资金流水!$F$4:$F$203,C190,资金流水!$D$4:$D$203,"客户回款",资金流水!$A$4:$A$203,"&lt;="&amp;应收跟进!$E$2))</f>
        <v/>
      </c>
      <c r="H190" t="str">
        <f>IF(C190="","",SUMIFS($E$4:E189,$C$4:C189,C190))</f>
        <v/>
      </c>
      <c r="J190" t="str">
        <f>IF(C190="","",MIN(MAX(0,E190-N(I190)),MAX(0,G190-SUMIFS($I$4:$I$213,$C$4:$C$213,C190)-(SUMIFS($E$4:E189,$C$4:C189,C190)-SUMIFS($I$4:I189,$C$4:C189,C190)))))</f>
        <v/>
      </c>
      <c r="M190" t="str">
        <f>IF(C190="","",IF(OR(L190&lt;=0,F190=""),0,MAX(0,应收跟进!$E$2-F190)))</f>
        <v/>
      </c>
      <c r="N190" t="str">
        <f>IF(C190="","",IF(L190&lt;=0,"已结清",IF(F190&gt;应收跟进!$E$2,"未到期",IF(M190&lt;=30,"逾期1-30天",IF(M190&lt;=60,"逾期31-60天",IF(M190&lt;=90,"逾期61-90天","逾期90天以上"))))))</f>
        <v/>
      </c>
      <c r="P190" t="str">
        <f>IF(销售录入!A180="","",销售录入!N180)</f>
        <v/>
      </c>
      <c r="Q190" t="str">
        <f>IF(销售录入!A180="","",销售录入!O180)</f>
        <v/>
      </c>
    </row>
    <row r="191" spans="1:17">
      <c r="A191" t="str">
        <f>IF(销售录入!A181="","","销售")</f>
        <v/>
      </c>
      <c r="B191" t="str">
        <f>IF(销售录入!A181="","",销售录入!A181)</f>
        <v/>
      </c>
      <c r="C191" t="str">
        <f>IF(销售录入!A181="","",销售录入!C181)</f>
        <v/>
      </c>
      <c r="D191" t="str">
        <f>IF(销售录入!A181="","",销售录入!D181)</f>
        <v/>
      </c>
      <c r="E191" t="str">
        <f>IF(销售录入!A181="","",销售录入!I181)</f>
        <v/>
      </c>
      <c r="F191" t="str">
        <f>IF(销售录入!A181="","",销售录入!L181)</f>
        <v/>
      </c>
      <c r="G191" t="str">
        <f>IF(C191="","",SUMIFS(资金流水!$J$4:$J$203,资金流水!$F$4:$F$203,C191,资金流水!$D$4:$D$203,"客户回款",资金流水!$A$4:$A$203,"&lt;="&amp;应收跟进!$E$2))</f>
        <v/>
      </c>
      <c r="H191" t="str">
        <f>IF(C191="","",SUMIFS($E$4:E190,$C$4:C190,C191))</f>
        <v/>
      </c>
      <c r="J191" t="str">
        <f>IF(C191="","",MIN(MAX(0,E191-N(I191)),MAX(0,G191-SUMIFS($I$4:$I$213,$C$4:$C$213,C191)-(SUMIFS($E$4:E190,$C$4:C190,C191)-SUMIFS($I$4:I190,$C$4:C190,C191)))))</f>
        <v/>
      </c>
      <c r="M191" t="str">
        <f>IF(C191="","",IF(OR(L191&lt;=0,F191=""),0,MAX(0,应收跟进!$E$2-F191)))</f>
        <v/>
      </c>
      <c r="N191" t="str">
        <f>IF(C191="","",IF(L191&lt;=0,"已结清",IF(F191&gt;应收跟进!$E$2,"未到期",IF(M191&lt;=30,"逾期1-30天",IF(M191&lt;=60,"逾期31-60天",IF(M191&lt;=90,"逾期61-90天","逾期90天以上"))))))</f>
        <v/>
      </c>
      <c r="P191" t="str">
        <f>IF(销售录入!A181="","",销售录入!N181)</f>
        <v/>
      </c>
      <c r="Q191" t="str">
        <f>IF(销售录入!A181="","",销售录入!O181)</f>
        <v/>
      </c>
    </row>
    <row r="192" spans="1:17">
      <c r="A192" t="str">
        <f>IF(销售录入!A182="","","销售")</f>
        <v/>
      </c>
      <c r="B192" t="str">
        <f>IF(销售录入!A182="","",销售录入!A182)</f>
        <v/>
      </c>
      <c r="C192" t="str">
        <f>IF(销售录入!A182="","",销售录入!C182)</f>
        <v/>
      </c>
      <c r="D192" t="str">
        <f>IF(销售录入!A182="","",销售录入!D182)</f>
        <v/>
      </c>
      <c r="E192" t="str">
        <f>IF(销售录入!A182="","",销售录入!I182)</f>
        <v/>
      </c>
      <c r="F192" t="str">
        <f>IF(销售录入!A182="","",销售录入!L182)</f>
        <v/>
      </c>
      <c r="G192" t="str">
        <f>IF(C192="","",SUMIFS(资金流水!$J$4:$J$203,资金流水!$F$4:$F$203,C192,资金流水!$D$4:$D$203,"客户回款",资金流水!$A$4:$A$203,"&lt;="&amp;应收跟进!$E$2))</f>
        <v/>
      </c>
      <c r="H192" t="str">
        <f>IF(C192="","",SUMIFS($E$4:E191,$C$4:C191,C192))</f>
        <v/>
      </c>
      <c r="J192" t="str">
        <f>IF(C192="","",MIN(MAX(0,E192-N(I192)),MAX(0,G192-SUMIFS($I$4:$I$213,$C$4:$C$213,C192)-(SUMIFS($E$4:E191,$C$4:C191,C192)-SUMIFS($I$4:I191,$C$4:C191,C192)))))</f>
        <v/>
      </c>
      <c r="M192" t="str">
        <f>IF(C192="","",IF(OR(L192&lt;=0,F192=""),0,MAX(0,应收跟进!$E$2-F192)))</f>
        <v/>
      </c>
      <c r="N192" t="str">
        <f>IF(C192="","",IF(L192&lt;=0,"已结清",IF(F192&gt;应收跟进!$E$2,"未到期",IF(M192&lt;=30,"逾期1-30天",IF(M192&lt;=60,"逾期31-60天",IF(M192&lt;=90,"逾期61-90天","逾期90天以上"))))))</f>
        <v/>
      </c>
      <c r="P192" t="str">
        <f>IF(销售录入!A182="","",销售录入!N182)</f>
        <v/>
      </c>
      <c r="Q192" t="str">
        <f>IF(销售录入!A182="","",销售录入!O182)</f>
        <v/>
      </c>
    </row>
    <row r="193" spans="1:17">
      <c r="A193" t="str">
        <f>IF(销售录入!A183="","","销售")</f>
        <v/>
      </c>
      <c r="B193" t="str">
        <f>IF(销售录入!A183="","",销售录入!A183)</f>
        <v/>
      </c>
      <c r="C193" t="str">
        <f>IF(销售录入!A183="","",销售录入!C183)</f>
        <v/>
      </c>
      <c r="D193" t="str">
        <f>IF(销售录入!A183="","",销售录入!D183)</f>
        <v/>
      </c>
      <c r="E193" t="str">
        <f>IF(销售录入!A183="","",销售录入!I183)</f>
        <v/>
      </c>
      <c r="F193" t="str">
        <f>IF(销售录入!A183="","",销售录入!L183)</f>
        <v/>
      </c>
      <c r="G193" t="str">
        <f>IF(C193="","",SUMIFS(资金流水!$J$4:$J$203,资金流水!$F$4:$F$203,C193,资金流水!$D$4:$D$203,"客户回款",资金流水!$A$4:$A$203,"&lt;="&amp;应收跟进!$E$2))</f>
        <v/>
      </c>
      <c r="H193" t="str">
        <f>IF(C193="","",SUMIFS($E$4:E192,$C$4:C192,C193))</f>
        <v/>
      </c>
      <c r="J193" t="str">
        <f>IF(C193="","",MIN(MAX(0,E193-N(I193)),MAX(0,G193-SUMIFS($I$4:$I$213,$C$4:$C$213,C193)-(SUMIFS($E$4:E192,$C$4:C192,C193)-SUMIFS($I$4:I192,$C$4:C192,C193)))))</f>
        <v/>
      </c>
      <c r="M193" t="str">
        <f>IF(C193="","",IF(OR(L193&lt;=0,F193=""),0,MAX(0,应收跟进!$E$2-F193)))</f>
        <v/>
      </c>
      <c r="N193" t="str">
        <f>IF(C193="","",IF(L193&lt;=0,"已结清",IF(F193&gt;应收跟进!$E$2,"未到期",IF(M193&lt;=30,"逾期1-30天",IF(M193&lt;=60,"逾期31-60天",IF(M193&lt;=90,"逾期61-90天","逾期90天以上"))))))</f>
        <v/>
      </c>
      <c r="P193" t="str">
        <f>IF(销售录入!A183="","",销售录入!N183)</f>
        <v/>
      </c>
      <c r="Q193" t="str">
        <f>IF(销售录入!A183="","",销售录入!O183)</f>
        <v/>
      </c>
    </row>
    <row r="194" spans="1:17">
      <c r="A194" t="str">
        <f>IF(销售录入!A184="","","销售")</f>
        <v/>
      </c>
      <c r="B194" t="str">
        <f>IF(销售录入!A184="","",销售录入!A184)</f>
        <v/>
      </c>
      <c r="C194" t="str">
        <f>IF(销售录入!A184="","",销售录入!C184)</f>
        <v/>
      </c>
      <c r="D194" t="str">
        <f>IF(销售录入!A184="","",销售录入!D184)</f>
        <v/>
      </c>
      <c r="E194" t="str">
        <f>IF(销售录入!A184="","",销售录入!I184)</f>
        <v/>
      </c>
      <c r="F194" t="str">
        <f>IF(销售录入!A184="","",销售录入!L184)</f>
        <v/>
      </c>
      <c r="G194" t="str">
        <f>IF(C194="","",SUMIFS(资金流水!$J$4:$J$203,资金流水!$F$4:$F$203,C194,资金流水!$D$4:$D$203,"客户回款",资金流水!$A$4:$A$203,"&lt;="&amp;应收跟进!$E$2))</f>
        <v/>
      </c>
      <c r="H194" t="str">
        <f>IF(C194="","",SUMIFS($E$4:E193,$C$4:C193,C194))</f>
        <v/>
      </c>
      <c r="J194" t="str">
        <f>IF(C194="","",MIN(MAX(0,E194-N(I194)),MAX(0,G194-SUMIFS($I$4:$I$213,$C$4:$C$213,C194)-(SUMIFS($E$4:E193,$C$4:C193,C194)-SUMIFS($I$4:I193,$C$4:C193,C194)))))</f>
        <v/>
      </c>
      <c r="M194" t="str">
        <f>IF(C194="","",IF(OR(L194&lt;=0,F194=""),0,MAX(0,应收跟进!$E$2-F194)))</f>
        <v/>
      </c>
      <c r="N194" t="str">
        <f>IF(C194="","",IF(L194&lt;=0,"已结清",IF(F194&gt;应收跟进!$E$2,"未到期",IF(M194&lt;=30,"逾期1-30天",IF(M194&lt;=60,"逾期31-60天",IF(M194&lt;=90,"逾期61-90天","逾期90天以上"))))))</f>
        <v/>
      </c>
      <c r="P194" t="str">
        <f>IF(销售录入!A184="","",销售录入!N184)</f>
        <v/>
      </c>
      <c r="Q194" t="str">
        <f>IF(销售录入!A184="","",销售录入!O184)</f>
        <v/>
      </c>
    </row>
    <row r="195" spans="1:17">
      <c r="A195" t="str">
        <f>IF(销售录入!A185="","","销售")</f>
        <v/>
      </c>
      <c r="B195" t="str">
        <f>IF(销售录入!A185="","",销售录入!A185)</f>
        <v/>
      </c>
      <c r="C195" t="str">
        <f>IF(销售录入!A185="","",销售录入!C185)</f>
        <v/>
      </c>
      <c r="D195" t="str">
        <f>IF(销售录入!A185="","",销售录入!D185)</f>
        <v/>
      </c>
      <c r="E195" t="str">
        <f>IF(销售录入!A185="","",销售录入!I185)</f>
        <v/>
      </c>
      <c r="F195" t="str">
        <f>IF(销售录入!A185="","",销售录入!L185)</f>
        <v/>
      </c>
      <c r="G195" t="str">
        <f>IF(C195="","",SUMIFS(资金流水!$J$4:$J$203,资金流水!$F$4:$F$203,C195,资金流水!$D$4:$D$203,"客户回款",资金流水!$A$4:$A$203,"&lt;="&amp;应收跟进!$E$2))</f>
        <v/>
      </c>
      <c r="H195" t="str">
        <f>IF(C195="","",SUMIFS($E$4:E194,$C$4:C194,C195))</f>
        <v/>
      </c>
      <c r="J195" t="str">
        <f>IF(C195="","",MIN(MAX(0,E195-N(I195)),MAX(0,G195-SUMIFS($I$4:$I$213,$C$4:$C$213,C195)-(SUMIFS($E$4:E194,$C$4:C194,C195)-SUMIFS($I$4:I194,$C$4:C194,C195)))))</f>
        <v/>
      </c>
      <c r="M195" t="str">
        <f>IF(C195="","",IF(OR(L195&lt;=0,F195=""),0,MAX(0,应收跟进!$E$2-F195)))</f>
        <v/>
      </c>
      <c r="N195" t="str">
        <f>IF(C195="","",IF(L195&lt;=0,"已结清",IF(F195&gt;应收跟进!$E$2,"未到期",IF(M195&lt;=30,"逾期1-30天",IF(M195&lt;=60,"逾期31-60天",IF(M195&lt;=90,"逾期61-90天","逾期90天以上"))))))</f>
        <v/>
      </c>
      <c r="P195" t="str">
        <f>IF(销售录入!A185="","",销售录入!N185)</f>
        <v/>
      </c>
      <c r="Q195" t="str">
        <f>IF(销售录入!A185="","",销售录入!O185)</f>
        <v/>
      </c>
    </row>
    <row r="196" spans="1:17">
      <c r="A196" t="str">
        <f>IF(销售录入!A186="","","销售")</f>
        <v/>
      </c>
      <c r="B196" t="str">
        <f>IF(销售录入!A186="","",销售录入!A186)</f>
        <v/>
      </c>
      <c r="C196" t="str">
        <f>IF(销售录入!A186="","",销售录入!C186)</f>
        <v/>
      </c>
      <c r="D196" t="str">
        <f>IF(销售录入!A186="","",销售录入!D186)</f>
        <v/>
      </c>
      <c r="E196" t="str">
        <f>IF(销售录入!A186="","",销售录入!I186)</f>
        <v/>
      </c>
      <c r="F196" t="str">
        <f>IF(销售录入!A186="","",销售录入!L186)</f>
        <v/>
      </c>
      <c r="G196" t="str">
        <f>IF(C196="","",SUMIFS(资金流水!$J$4:$J$203,资金流水!$F$4:$F$203,C196,资金流水!$D$4:$D$203,"客户回款",资金流水!$A$4:$A$203,"&lt;="&amp;应收跟进!$E$2))</f>
        <v/>
      </c>
      <c r="H196" t="str">
        <f>IF(C196="","",SUMIFS($E$4:E195,$C$4:C195,C196))</f>
        <v/>
      </c>
      <c r="J196" t="str">
        <f>IF(C196="","",MIN(MAX(0,E196-N(I196)),MAX(0,G196-SUMIFS($I$4:$I$213,$C$4:$C$213,C196)-(SUMIFS($E$4:E195,$C$4:C195,C196)-SUMIFS($I$4:I195,$C$4:C195,C196)))))</f>
        <v/>
      </c>
      <c r="M196" t="str">
        <f>IF(C196="","",IF(OR(L196&lt;=0,F196=""),0,MAX(0,应收跟进!$E$2-F196)))</f>
        <v/>
      </c>
      <c r="N196" t="str">
        <f>IF(C196="","",IF(L196&lt;=0,"已结清",IF(F196&gt;应收跟进!$E$2,"未到期",IF(M196&lt;=30,"逾期1-30天",IF(M196&lt;=60,"逾期31-60天",IF(M196&lt;=90,"逾期61-90天","逾期90天以上"))))))</f>
        <v/>
      </c>
      <c r="P196" t="str">
        <f>IF(销售录入!A186="","",销售录入!N186)</f>
        <v/>
      </c>
      <c r="Q196" t="str">
        <f>IF(销售录入!A186="","",销售录入!O186)</f>
        <v/>
      </c>
    </row>
    <row r="197" spans="1:17">
      <c r="A197" t="str">
        <f>IF(销售录入!A187="","","销售")</f>
        <v/>
      </c>
      <c r="B197" t="str">
        <f>IF(销售录入!A187="","",销售录入!A187)</f>
        <v/>
      </c>
      <c r="C197" t="str">
        <f>IF(销售录入!A187="","",销售录入!C187)</f>
        <v/>
      </c>
      <c r="D197" t="str">
        <f>IF(销售录入!A187="","",销售录入!D187)</f>
        <v/>
      </c>
      <c r="E197" t="str">
        <f>IF(销售录入!A187="","",销售录入!I187)</f>
        <v/>
      </c>
      <c r="F197" t="str">
        <f>IF(销售录入!A187="","",销售录入!L187)</f>
        <v/>
      </c>
      <c r="G197" t="str">
        <f>IF(C197="","",SUMIFS(资金流水!$J$4:$J$203,资金流水!$F$4:$F$203,C197,资金流水!$D$4:$D$203,"客户回款",资金流水!$A$4:$A$203,"&lt;="&amp;应收跟进!$E$2))</f>
        <v/>
      </c>
      <c r="H197" t="str">
        <f>IF(C197="","",SUMIFS($E$4:E196,$C$4:C196,C197))</f>
        <v/>
      </c>
      <c r="J197" t="str">
        <f>IF(C197="","",MIN(MAX(0,E197-N(I197)),MAX(0,G197-SUMIFS($I$4:$I$213,$C$4:$C$213,C197)-(SUMIFS($E$4:E196,$C$4:C196,C197)-SUMIFS($I$4:I196,$C$4:C196,C197)))))</f>
        <v/>
      </c>
      <c r="M197" t="str">
        <f>IF(C197="","",IF(OR(L197&lt;=0,F197=""),0,MAX(0,应收跟进!$E$2-F197)))</f>
        <v/>
      </c>
      <c r="N197" t="str">
        <f>IF(C197="","",IF(L197&lt;=0,"已结清",IF(F197&gt;应收跟进!$E$2,"未到期",IF(M197&lt;=30,"逾期1-30天",IF(M197&lt;=60,"逾期31-60天",IF(M197&lt;=90,"逾期61-90天","逾期90天以上"))))))</f>
        <v/>
      </c>
      <c r="P197" t="str">
        <f>IF(销售录入!A187="","",销售录入!N187)</f>
        <v/>
      </c>
      <c r="Q197" t="str">
        <f>IF(销售录入!A187="","",销售录入!O187)</f>
        <v/>
      </c>
    </row>
    <row r="198" spans="1:17">
      <c r="A198" t="str">
        <f>IF(销售录入!A188="","","销售")</f>
        <v/>
      </c>
      <c r="B198" t="str">
        <f>IF(销售录入!A188="","",销售录入!A188)</f>
        <v/>
      </c>
      <c r="C198" t="str">
        <f>IF(销售录入!A188="","",销售录入!C188)</f>
        <v/>
      </c>
      <c r="D198" t="str">
        <f>IF(销售录入!A188="","",销售录入!D188)</f>
        <v/>
      </c>
      <c r="E198" t="str">
        <f>IF(销售录入!A188="","",销售录入!I188)</f>
        <v/>
      </c>
      <c r="F198" t="str">
        <f>IF(销售录入!A188="","",销售录入!L188)</f>
        <v/>
      </c>
      <c r="G198" t="str">
        <f>IF(C198="","",SUMIFS(资金流水!$J$4:$J$203,资金流水!$F$4:$F$203,C198,资金流水!$D$4:$D$203,"客户回款",资金流水!$A$4:$A$203,"&lt;="&amp;应收跟进!$E$2))</f>
        <v/>
      </c>
      <c r="H198" t="str">
        <f>IF(C198="","",SUMIFS($E$4:E197,$C$4:C197,C198))</f>
        <v/>
      </c>
      <c r="J198" t="str">
        <f>IF(C198="","",MIN(MAX(0,E198-N(I198)),MAX(0,G198-SUMIFS($I$4:$I$213,$C$4:$C$213,C198)-(SUMIFS($E$4:E197,$C$4:C197,C198)-SUMIFS($I$4:I197,$C$4:C197,C198)))))</f>
        <v/>
      </c>
      <c r="M198" t="str">
        <f>IF(C198="","",IF(OR(L198&lt;=0,F198=""),0,MAX(0,应收跟进!$E$2-F198)))</f>
        <v/>
      </c>
      <c r="N198" t="str">
        <f>IF(C198="","",IF(L198&lt;=0,"已结清",IF(F198&gt;应收跟进!$E$2,"未到期",IF(M198&lt;=30,"逾期1-30天",IF(M198&lt;=60,"逾期31-60天",IF(M198&lt;=90,"逾期61-90天","逾期90天以上"))))))</f>
        <v/>
      </c>
      <c r="P198" t="str">
        <f>IF(销售录入!A188="","",销售录入!N188)</f>
        <v/>
      </c>
      <c r="Q198" t="str">
        <f>IF(销售录入!A188="","",销售录入!O188)</f>
        <v/>
      </c>
    </row>
    <row r="199" spans="1:17">
      <c r="A199" t="str">
        <f>IF(销售录入!A189="","","销售")</f>
        <v/>
      </c>
      <c r="B199" t="str">
        <f>IF(销售录入!A189="","",销售录入!A189)</f>
        <v/>
      </c>
      <c r="C199" t="str">
        <f>IF(销售录入!A189="","",销售录入!C189)</f>
        <v/>
      </c>
      <c r="D199" t="str">
        <f>IF(销售录入!A189="","",销售录入!D189)</f>
        <v/>
      </c>
      <c r="E199" t="str">
        <f>IF(销售录入!A189="","",销售录入!I189)</f>
        <v/>
      </c>
      <c r="F199" t="str">
        <f>IF(销售录入!A189="","",销售录入!L189)</f>
        <v/>
      </c>
      <c r="G199" t="str">
        <f>IF(C199="","",SUMIFS(资金流水!$J$4:$J$203,资金流水!$F$4:$F$203,C199,资金流水!$D$4:$D$203,"客户回款",资金流水!$A$4:$A$203,"&lt;="&amp;应收跟进!$E$2))</f>
        <v/>
      </c>
      <c r="H199" t="str">
        <f>IF(C199="","",SUMIFS($E$4:E198,$C$4:C198,C199))</f>
        <v/>
      </c>
      <c r="J199" t="str">
        <f>IF(C199="","",MIN(MAX(0,E199-N(I199)),MAX(0,G199-SUMIFS($I$4:$I$213,$C$4:$C$213,C199)-(SUMIFS($E$4:E198,$C$4:C198,C199)-SUMIFS($I$4:I198,$C$4:C198,C199)))))</f>
        <v/>
      </c>
      <c r="M199" t="str">
        <f>IF(C199="","",IF(OR(L199&lt;=0,F199=""),0,MAX(0,应收跟进!$E$2-F199)))</f>
        <v/>
      </c>
      <c r="N199" t="str">
        <f>IF(C199="","",IF(L199&lt;=0,"已结清",IF(F199&gt;应收跟进!$E$2,"未到期",IF(M199&lt;=30,"逾期1-30天",IF(M199&lt;=60,"逾期31-60天",IF(M199&lt;=90,"逾期61-90天","逾期90天以上"))))))</f>
        <v/>
      </c>
      <c r="P199" t="str">
        <f>IF(销售录入!A189="","",销售录入!N189)</f>
        <v/>
      </c>
      <c r="Q199" t="str">
        <f>IF(销售录入!A189="","",销售录入!O189)</f>
        <v/>
      </c>
    </row>
    <row r="200" spans="1:17">
      <c r="A200" t="str">
        <f>IF(销售录入!A190="","","销售")</f>
        <v/>
      </c>
      <c r="B200" t="str">
        <f>IF(销售录入!A190="","",销售录入!A190)</f>
        <v/>
      </c>
      <c r="C200" t="str">
        <f>IF(销售录入!A190="","",销售录入!C190)</f>
        <v/>
      </c>
      <c r="D200" t="str">
        <f>IF(销售录入!A190="","",销售录入!D190)</f>
        <v/>
      </c>
      <c r="E200" t="str">
        <f>IF(销售录入!A190="","",销售录入!I190)</f>
        <v/>
      </c>
      <c r="F200" t="str">
        <f>IF(销售录入!A190="","",销售录入!L190)</f>
        <v/>
      </c>
      <c r="G200" t="str">
        <f>IF(C200="","",SUMIFS(资金流水!$J$4:$J$203,资金流水!$F$4:$F$203,C200,资金流水!$D$4:$D$203,"客户回款",资金流水!$A$4:$A$203,"&lt;="&amp;应收跟进!$E$2))</f>
        <v/>
      </c>
      <c r="H200" t="str">
        <f>IF(C200="","",SUMIFS($E$4:E199,$C$4:C199,C200))</f>
        <v/>
      </c>
      <c r="J200" t="str">
        <f>IF(C200="","",MIN(MAX(0,E200-N(I200)),MAX(0,G200-SUMIFS($I$4:$I$213,$C$4:$C$213,C200)-(SUMIFS($E$4:E199,$C$4:C199,C200)-SUMIFS($I$4:I199,$C$4:C199,C200)))))</f>
        <v/>
      </c>
      <c r="M200" t="str">
        <f>IF(C200="","",IF(OR(L200&lt;=0,F200=""),0,MAX(0,应收跟进!$E$2-F200)))</f>
        <v/>
      </c>
      <c r="N200" t="str">
        <f>IF(C200="","",IF(L200&lt;=0,"已结清",IF(F200&gt;应收跟进!$E$2,"未到期",IF(M200&lt;=30,"逾期1-30天",IF(M200&lt;=60,"逾期31-60天",IF(M200&lt;=90,"逾期61-90天","逾期90天以上"))))))</f>
        <v/>
      </c>
      <c r="P200" t="str">
        <f>IF(销售录入!A190="","",销售录入!N190)</f>
        <v/>
      </c>
      <c r="Q200" t="str">
        <f>IF(销售录入!A190="","",销售录入!O190)</f>
        <v/>
      </c>
    </row>
    <row r="201" spans="1:17">
      <c r="A201" t="str">
        <f>IF(销售录入!A191="","","销售")</f>
        <v/>
      </c>
      <c r="B201" t="str">
        <f>IF(销售录入!A191="","",销售录入!A191)</f>
        <v/>
      </c>
      <c r="C201" t="str">
        <f>IF(销售录入!A191="","",销售录入!C191)</f>
        <v/>
      </c>
      <c r="D201" t="str">
        <f>IF(销售录入!A191="","",销售录入!D191)</f>
        <v/>
      </c>
      <c r="E201" t="str">
        <f>IF(销售录入!A191="","",销售录入!I191)</f>
        <v/>
      </c>
      <c r="F201" t="str">
        <f>IF(销售录入!A191="","",销售录入!L191)</f>
        <v/>
      </c>
      <c r="G201" t="str">
        <f>IF(C201="","",SUMIFS(资金流水!$J$4:$J$203,资金流水!$F$4:$F$203,C201,资金流水!$D$4:$D$203,"客户回款",资金流水!$A$4:$A$203,"&lt;="&amp;应收跟进!$E$2))</f>
        <v/>
      </c>
      <c r="H201" t="str">
        <f>IF(C201="","",SUMIFS($E$4:E200,$C$4:C200,C201))</f>
        <v/>
      </c>
      <c r="J201" t="str">
        <f>IF(C201="","",MIN(MAX(0,E201-N(I201)),MAX(0,G201-SUMIFS($I$4:$I$213,$C$4:$C$213,C201)-(SUMIFS($E$4:E200,$C$4:C200,C201)-SUMIFS($I$4:I200,$C$4:C200,C201)))))</f>
        <v/>
      </c>
      <c r="M201" t="str">
        <f>IF(C201="","",IF(OR(L201&lt;=0,F201=""),0,MAX(0,应收跟进!$E$2-F201)))</f>
        <v/>
      </c>
      <c r="N201" t="str">
        <f>IF(C201="","",IF(L201&lt;=0,"已结清",IF(F201&gt;应收跟进!$E$2,"未到期",IF(M201&lt;=30,"逾期1-30天",IF(M201&lt;=60,"逾期31-60天",IF(M201&lt;=90,"逾期61-90天","逾期90天以上"))))))</f>
        <v/>
      </c>
      <c r="P201" t="str">
        <f>IF(销售录入!A191="","",销售录入!N191)</f>
        <v/>
      </c>
      <c r="Q201" t="str">
        <f>IF(销售录入!A191="","",销售录入!O191)</f>
        <v/>
      </c>
    </row>
    <row r="202" spans="1:17">
      <c r="A202" t="str">
        <f>IF(销售录入!A192="","","销售")</f>
        <v/>
      </c>
      <c r="B202" t="str">
        <f>IF(销售录入!A192="","",销售录入!A192)</f>
        <v/>
      </c>
      <c r="C202" t="str">
        <f>IF(销售录入!A192="","",销售录入!C192)</f>
        <v/>
      </c>
      <c r="D202" t="str">
        <f>IF(销售录入!A192="","",销售录入!D192)</f>
        <v/>
      </c>
      <c r="E202" t="str">
        <f>IF(销售录入!A192="","",销售录入!I192)</f>
        <v/>
      </c>
      <c r="F202" t="str">
        <f>IF(销售录入!A192="","",销售录入!L192)</f>
        <v/>
      </c>
      <c r="G202" t="str">
        <f>IF(C202="","",SUMIFS(资金流水!$J$4:$J$203,资金流水!$F$4:$F$203,C202,资金流水!$D$4:$D$203,"客户回款",资金流水!$A$4:$A$203,"&lt;="&amp;应收跟进!$E$2))</f>
        <v/>
      </c>
      <c r="H202" t="str">
        <f>IF(C202="","",SUMIFS($E$4:E201,$C$4:C201,C202))</f>
        <v/>
      </c>
      <c r="J202" t="str">
        <f>IF(C202="","",MIN(MAX(0,E202-N(I202)),MAX(0,G202-SUMIFS($I$4:$I$213,$C$4:$C$213,C202)-(SUMIFS($E$4:E201,$C$4:C201,C202)-SUMIFS($I$4:I201,$C$4:C201,C202)))))</f>
        <v/>
      </c>
      <c r="M202" t="str">
        <f>IF(C202="","",IF(OR(L202&lt;=0,F202=""),0,MAX(0,应收跟进!$E$2-F202)))</f>
        <v/>
      </c>
      <c r="N202" t="str">
        <f>IF(C202="","",IF(L202&lt;=0,"已结清",IF(F202&gt;应收跟进!$E$2,"未到期",IF(M202&lt;=30,"逾期1-30天",IF(M202&lt;=60,"逾期31-60天",IF(M202&lt;=90,"逾期61-90天","逾期90天以上"))))))</f>
        <v/>
      </c>
      <c r="P202" t="str">
        <f>IF(销售录入!A192="","",销售录入!N192)</f>
        <v/>
      </c>
      <c r="Q202" t="str">
        <f>IF(销售录入!A192="","",销售录入!O192)</f>
        <v/>
      </c>
    </row>
    <row r="203" spans="1:17">
      <c r="A203" t="str">
        <f>IF(销售录入!A193="","","销售")</f>
        <v/>
      </c>
      <c r="B203" t="str">
        <f>IF(销售录入!A193="","",销售录入!A193)</f>
        <v/>
      </c>
      <c r="C203" t="str">
        <f>IF(销售录入!A193="","",销售录入!C193)</f>
        <v/>
      </c>
      <c r="D203" t="str">
        <f>IF(销售录入!A193="","",销售录入!D193)</f>
        <v/>
      </c>
      <c r="E203" t="str">
        <f>IF(销售录入!A193="","",销售录入!I193)</f>
        <v/>
      </c>
      <c r="F203" t="str">
        <f>IF(销售录入!A193="","",销售录入!L193)</f>
        <v/>
      </c>
      <c r="G203" t="str">
        <f>IF(C203="","",SUMIFS(资金流水!$J$4:$J$203,资金流水!$F$4:$F$203,C203,资金流水!$D$4:$D$203,"客户回款",资金流水!$A$4:$A$203,"&lt;="&amp;应收跟进!$E$2))</f>
        <v/>
      </c>
      <c r="H203" t="str">
        <f>IF(C203="","",SUMIFS($E$4:E202,$C$4:C202,C203))</f>
        <v/>
      </c>
      <c r="J203" t="str">
        <f>IF(C203="","",MIN(MAX(0,E203-N(I203)),MAX(0,G203-SUMIFS($I$4:$I$213,$C$4:$C$213,C203)-(SUMIFS($E$4:E202,$C$4:C202,C203)-SUMIFS($I$4:I202,$C$4:C202,C203)))))</f>
        <v/>
      </c>
      <c r="M203" t="str">
        <f>IF(C203="","",IF(OR(L203&lt;=0,F203=""),0,MAX(0,应收跟进!$E$2-F203)))</f>
        <v/>
      </c>
      <c r="N203" t="str">
        <f>IF(C203="","",IF(L203&lt;=0,"已结清",IF(F203&gt;应收跟进!$E$2,"未到期",IF(M203&lt;=30,"逾期1-30天",IF(M203&lt;=60,"逾期31-60天",IF(M203&lt;=90,"逾期61-90天","逾期90天以上"))))))</f>
        <v/>
      </c>
      <c r="P203" t="str">
        <f>IF(销售录入!A193="","",销售录入!N193)</f>
        <v/>
      </c>
      <c r="Q203" t="str">
        <f>IF(销售录入!A193="","",销售录入!O193)</f>
        <v/>
      </c>
    </row>
    <row r="204" spans="1:17">
      <c r="A204" t="str">
        <f>IF(销售录入!A194="","","销售")</f>
        <v/>
      </c>
      <c r="B204" t="str">
        <f>IF(销售录入!A194="","",销售录入!A194)</f>
        <v/>
      </c>
      <c r="C204" t="str">
        <f>IF(销售录入!A194="","",销售录入!C194)</f>
        <v/>
      </c>
      <c r="D204" t="str">
        <f>IF(销售录入!A194="","",销售录入!D194)</f>
        <v/>
      </c>
      <c r="E204" t="str">
        <f>IF(销售录入!A194="","",销售录入!I194)</f>
        <v/>
      </c>
      <c r="F204" t="str">
        <f>IF(销售录入!A194="","",销售录入!L194)</f>
        <v/>
      </c>
      <c r="G204" t="str">
        <f>IF(C204="","",SUMIFS(资金流水!$J$4:$J$203,资金流水!$F$4:$F$203,C204,资金流水!$D$4:$D$203,"客户回款",资金流水!$A$4:$A$203,"&lt;="&amp;应收跟进!$E$2))</f>
        <v/>
      </c>
      <c r="H204" t="str">
        <f>IF(C204="","",SUMIFS($E$4:E203,$C$4:C203,C204))</f>
        <v/>
      </c>
      <c r="J204" t="str">
        <f>IF(C204="","",MIN(MAX(0,E204-N(I204)),MAX(0,G204-SUMIFS($I$4:$I$213,$C$4:$C$213,C204)-(SUMIFS($E$4:E203,$C$4:C203,C204)-SUMIFS($I$4:I203,$C$4:C203,C204)))))</f>
        <v/>
      </c>
      <c r="M204" t="str">
        <f>IF(C204="","",IF(OR(L204&lt;=0,F204=""),0,MAX(0,应收跟进!$E$2-F204)))</f>
        <v/>
      </c>
      <c r="N204" t="str">
        <f>IF(C204="","",IF(L204&lt;=0,"已结清",IF(F204&gt;应收跟进!$E$2,"未到期",IF(M204&lt;=30,"逾期1-30天",IF(M204&lt;=60,"逾期31-60天",IF(M204&lt;=90,"逾期61-90天","逾期90天以上"))))))</f>
        <v/>
      </c>
      <c r="P204" t="str">
        <f>IF(销售录入!A194="","",销售录入!N194)</f>
        <v/>
      </c>
      <c r="Q204" t="str">
        <f>IF(销售录入!A194="","",销售录入!O194)</f>
        <v/>
      </c>
    </row>
    <row r="205" spans="1:17">
      <c r="A205" t="str">
        <f>IF(销售录入!A195="","","销售")</f>
        <v/>
      </c>
      <c r="B205" t="str">
        <f>IF(销售录入!A195="","",销售录入!A195)</f>
        <v/>
      </c>
      <c r="C205" t="str">
        <f>IF(销售录入!A195="","",销售录入!C195)</f>
        <v/>
      </c>
      <c r="D205" t="str">
        <f>IF(销售录入!A195="","",销售录入!D195)</f>
        <v/>
      </c>
      <c r="E205" t="str">
        <f>IF(销售录入!A195="","",销售录入!I195)</f>
        <v/>
      </c>
      <c r="F205" t="str">
        <f>IF(销售录入!A195="","",销售录入!L195)</f>
        <v/>
      </c>
      <c r="G205" t="str">
        <f>IF(C205="","",SUMIFS(资金流水!$J$4:$J$203,资金流水!$F$4:$F$203,C205,资金流水!$D$4:$D$203,"客户回款",资金流水!$A$4:$A$203,"&lt;="&amp;应收跟进!$E$2))</f>
        <v/>
      </c>
      <c r="H205" t="str">
        <f>IF(C205="","",SUMIFS($E$4:E204,$C$4:C204,C205))</f>
        <v/>
      </c>
      <c r="J205" t="str">
        <f>IF(C205="","",MIN(MAX(0,E205-N(I205)),MAX(0,G205-SUMIFS($I$4:$I$213,$C$4:$C$213,C205)-(SUMIFS($E$4:E204,$C$4:C204,C205)-SUMIFS($I$4:I204,$C$4:C204,C205)))))</f>
        <v/>
      </c>
      <c r="M205" t="str">
        <f>IF(C205="","",IF(OR(L205&lt;=0,F205=""),0,MAX(0,应收跟进!$E$2-F205)))</f>
        <v/>
      </c>
      <c r="N205" t="str">
        <f>IF(C205="","",IF(L205&lt;=0,"已结清",IF(F205&gt;应收跟进!$E$2,"未到期",IF(M205&lt;=30,"逾期1-30天",IF(M205&lt;=60,"逾期31-60天",IF(M205&lt;=90,"逾期61-90天","逾期90天以上"))))))</f>
        <v/>
      </c>
      <c r="P205" t="str">
        <f>IF(销售录入!A195="","",销售录入!N195)</f>
        <v/>
      </c>
      <c r="Q205" t="str">
        <f>IF(销售录入!A195="","",销售录入!O195)</f>
        <v/>
      </c>
    </row>
    <row r="206" spans="1:17">
      <c r="A206" t="str">
        <f>IF(销售录入!A196="","","销售")</f>
        <v/>
      </c>
      <c r="B206" t="str">
        <f>IF(销售录入!A196="","",销售录入!A196)</f>
        <v/>
      </c>
      <c r="C206" t="str">
        <f>IF(销售录入!A196="","",销售录入!C196)</f>
        <v/>
      </c>
      <c r="D206" t="str">
        <f>IF(销售录入!A196="","",销售录入!D196)</f>
        <v/>
      </c>
      <c r="E206" t="str">
        <f>IF(销售录入!A196="","",销售录入!I196)</f>
        <v/>
      </c>
      <c r="F206" t="str">
        <f>IF(销售录入!A196="","",销售录入!L196)</f>
        <v/>
      </c>
      <c r="G206" t="str">
        <f>IF(C206="","",SUMIFS(资金流水!$J$4:$J$203,资金流水!$F$4:$F$203,C206,资金流水!$D$4:$D$203,"客户回款",资金流水!$A$4:$A$203,"&lt;="&amp;应收跟进!$E$2))</f>
        <v/>
      </c>
      <c r="H206" t="str">
        <f>IF(C206="","",SUMIFS($E$4:E205,$C$4:C205,C206))</f>
        <v/>
      </c>
      <c r="J206" t="str">
        <f>IF(C206="","",MIN(MAX(0,E206-N(I206)),MAX(0,G206-SUMIFS($I$4:$I$213,$C$4:$C$213,C206)-(SUMIFS($E$4:E205,$C$4:C205,C206)-SUMIFS($I$4:I205,$C$4:C205,C206)))))</f>
        <v/>
      </c>
      <c r="M206" t="str">
        <f>IF(C206="","",IF(OR(L206&lt;=0,F206=""),0,MAX(0,应收跟进!$E$2-F206)))</f>
        <v/>
      </c>
      <c r="N206" t="str">
        <f>IF(C206="","",IF(L206&lt;=0,"已结清",IF(F206&gt;应收跟进!$E$2,"未到期",IF(M206&lt;=30,"逾期1-30天",IF(M206&lt;=60,"逾期31-60天",IF(M206&lt;=90,"逾期61-90天","逾期90天以上"))))))</f>
        <v/>
      </c>
      <c r="P206" t="str">
        <f>IF(销售录入!A196="","",销售录入!N196)</f>
        <v/>
      </c>
      <c r="Q206" t="str">
        <f>IF(销售录入!A196="","",销售录入!O196)</f>
        <v/>
      </c>
    </row>
    <row r="207" spans="1:17">
      <c r="A207" t="str">
        <f>IF(销售录入!A197="","","销售")</f>
        <v/>
      </c>
      <c r="B207" t="str">
        <f>IF(销售录入!A197="","",销售录入!A197)</f>
        <v/>
      </c>
      <c r="C207" t="str">
        <f>IF(销售录入!A197="","",销售录入!C197)</f>
        <v/>
      </c>
      <c r="D207" t="str">
        <f>IF(销售录入!A197="","",销售录入!D197)</f>
        <v/>
      </c>
      <c r="E207" t="str">
        <f>IF(销售录入!A197="","",销售录入!I197)</f>
        <v/>
      </c>
      <c r="F207" t="str">
        <f>IF(销售录入!A197="","",销售录入!L197)</f>
        <v/>
      </c>
      <c r="G207" t="str">
        <f>IF(C207="","",SUMIFS(资金流水!$J$4:$J$203,资金流水!$F$4:$F$203,C207,资金流水!$D$4:$D$203,"客户回款",资金流水!$A$4:$A$203,"&lt;="&amp;应收跟进!$E$2))</f>
        <v/>
      </c>
      <c r="H207" t="str">
        <f>IF(C207="","",SUMIFS($E$4:E206,$C$4:C206,C207))</f>
        <v/>
      </c>
      <c r="J207" t="str">
        <f>IF(C207="","",MIN(MAX(0,E207-N(I207)),MAX(0,G207-SUMIFS($I$4:$I$213,$C$4:$C$213,C207)-(SUMIFS($E$4:E206,$C$4:C206,C207)-SUMIFS($I$4:I206,$C$4:C206,C207)))))</f>
        <v/>
      </c>
      <c r="M207" t="str">
        <f>IF(C207="","",IF(OR(L207&lt;=0,F207=""),0,MAX(0,应收跟进!$E$2-F207)))</f>
        <v/>
      </c>
      <c r="N207" t="str">
        <f>IF(C207="","",IF(L207&lt;=0,"已结清",IF(F207&gt;应收跟进!$E$2,"未到期",IF(M207&lt;=30,"逾期1-30天",IF(M207&lt;=60,"逾期31-60天",IF(M207&lt;=90,"逾期61-90天","逾期90天以上"))))))</f>
        <v/>
      </c>
      <c r="P207" t="str">
        <f>IF(销售录入!A197="","",销售录入!N197)</f>
        <v/>
      </c>
      <c r="Q207" t="str">
        <f>IF(销售录入!A197="","",销售录入!O197)</f>
        <v/>
      </c>
    </row>
    <row r="208" spans="1:17">
      <c r="A208" t="str">
        <f>IF(销售录入!A198="","","销售")</f>
        <v/>
      </c>
      <c r="B208" t="str">
        <f>IF(销售录入!A198="","",销售录入!A198)</f>
        <v/>
      </c>
      <c r="C208" t="str">
        <f>IF(销售录入!A198="","",销售录入!C198)</f>
        <v/>
      </c>
      <c r="D208" t="str">
        <f>IF(销售录入!A198="","",销售录入!D198)</f>
        <v/>
      </c>
      <c r="E208" t="str">
        <f>IF(销售录入!A198="","",销售录入!I198)</f>
        <v/>
      </c>
      <c r="F208" t="str">
        <f>IF(销售录入!A198="","",销售录入!L198)</f>
        <v/>
      </c>
      <c r="G208" t="str">
        <f>IF(C208="","",SUMIFS(资金流水!$J$4:$J$203,资金流水!$F$4:$F$203,C208,资金流水!$D$4:$D$203,"客户回款",资金流水!$A$4:$A$203,"&lt;="&amp;应收跟进!$E$2))</f>
        <v/>
      </c>
      <c r="H208" t="str">
        <f>IF(C208="","",SUMIFS($E$4:E207,$C$4:C207,C208))</f>
        <v/>
      </c>
      <c r="J208" t="str">
        <f>IF(C208="","",MIN(MAX(0,E208-N(I208)),MAX(0,G208-SUMIFS($I$4:$I$213,$C$4:$C$213,C208)-(SUMIFS($E$4:E207,$C$4:C207,C208)-SUMIFS($I$4:I207,$C$4:C207,C208)))))</f>
        <v/>
      </c>
      <c r="M208" t="str">
        <f>IF(C208="","",IF(OR(L208&lt;=0,F208=""),0,MAX(0,应收跟进!$E$2-F208)))</f>
        <v/>
      </c>
      <c r="N208" t="str">
        <f>IF(C208="","",IF(L208&lt;=0,"已结清",IF(F208&gt;应收跟进!$E$2,"未到期",IF(M208&lt;=30,"逾期1-30天",IF(M208&lt;=60,"逾期31-60天",IF(M208&lt;=90,"逾期61-90天","逾期90天以上"))))))</f>
        <v/>
      </c>
      <c r="P208" t="str">
        <f>IF(销售录入!A198="","",销售录入!N198)</f>
        <v/>
      </c>
      <c r="Q208" t="str">
        <f>IF(销售录入!A198="","",销售录入!O198)</f>
        <v/>
      </c>
    </row>
    <row r="209" spans="1:17">
      <c r="A209" t="str">
        <f>IF(销售录入!A199="","","销售")</f>
        <v/>
      </c>
      <c r="B209" t="str">
        <f>IF(销售录入!A199="","",销售录入!A199)</f>
        <v/>
      </c>
      <c r="C209" t="str">
        <f>IF(销售录入!A199="","",销售录入!C199)</f>
        <v/>
      </c>
      <c r="D209" t="str">
        <f>IF(销售录入!A199="","",销售录入!D199)</f>
        <v/>
      </c>
      <c r="E209" t="str">
        <f>IF(销售录入!A199="","",销售录入!I199)</f>
        <v/>
      </c>
      <c r="F209" t="str">
        <f>IF(销售录入!A199="","",销售录入!L199)</f>
        <v/>
      </c>
      <c r="G209" t="str">
        <f>IF(C209="","",SUMIFS(资金流水!$J$4:$J$203,资金流水!$F$4:$F$203,C209,资金流水!$D$4:$D$203,"客户回款",资金流水!$A$4:$A$203,"&lt;="&amp;应收跟进!$E$2))</f>
        <v/>
      </c>
      <c r="H209" t="str">
        <f>IF(C209="","",SUMIFS($E$4:E208,$C$4:C208,C209))</f>
        <v/>
      </c>
      <c r="J209" t="str">
        <f>IF(C209="","",MIN(MAX(0,E209-N(I209)),MAX(0,G209-SUMIFS($I$4:$I$213,$C$4:$C$213,C209)-(SUMIFS($E$4:E208,$C$4:C208,C209)-SUMIFS($I$4:I208,$C$4:C208,C209)))))</f>
        <v/>
      </c>
      <c r="M209" t="str">
        <f>IF(C209="","",IF(OR(L209&lt;=0,F209=""),0,MAX(0,应收跟进!$E$2-F209)))</f>
        <v/>
      </c>
      <c r="N209" t="str">
        <f>IF(C209="","",IF(L209&lt;=0,"已结清",IF(F209&gt;应收跟进!$E$2,"未到期",IF(M209&lt;=30,"逾期1-30天",IF(M209&lt;=60,"逾期31-60天",IF(M209&lt;=90,"逾期61-90天","逾期90天以上"))))))</f>
        <v/>
      </c>
      <c r="P209" t="str">
        <f>IF(销售录入!A199="","",销售录入!N199)</f>
        <v/>
      </c>
      <c r="Q209" t="str">
        <f>IF(销售录入!A199="","",销售录入!O199)</f>
        <v/>
      </c>
    </row>
    <row r="210" spans="1:17">
      <c r="A210" t="str">
        <f>IF(销售录入!A200="","","销售")</f>
        <v/>
      </c>
      <c r="B210" t="str">
        <f>IF(销售录入!A200="","",销售录入!A200)</f>
        <v/>
      </c>
      <c r="C210" t="str">
        <f>IF(销售录入!A200="","",销售录入!C200)</f>
        <v/>
      </c>
      <c r="D210" t="str">
        <f>IF(销售录入!A200="","",销售录入!D200)</f>
        <v/>
      </c>
      <c r="E210" t="str">
        <f>IF(销售录入!A200="","",销售录入!I200)</f>
        <v/>
      </c>
      <c r="F210" t="str">
        <f>IF(销售录入!A200="","",销售录入!L200)</f>
        <v/>
      </c>
      <c r="G210" t="str">
        <f>IF(C210="","",SUMIFS(资金流水!$J$4:$J$203,资金流水!$F$4:$F$203,C210,资金流水!$D$4:$D$203,"客户回款",资金流水!$A$4:$A$203,"&lt;="&amp;应收跟进!$E$2))</f>
        <v/>
      </c>
      <c r="H210" t="str">
        <f>IF(C210="","",SUMIFS($E$4:E209,$C$4:C209,C210))</f>
        <v/>
      </c>
      <c r="J210" t="str">
        <f>IF(C210="","",MIN(MAX(0,E210-N(I210)),MAX(0,G210-SUMIFS($I$4:$I$213,$C$4:$C$213,C210)-(SUMIFS($E$4:E209,$C$4:C209,C210)-SUMIFS($I$4:I209,$C$4:C209,C210)))))</f>
        <v/>
      </c>
      <c r="M210" t="str">
        <f>IF(C210="","",IF(OR(L210&lt;=0,F210=""),0,MAX(0,应收跟进!$E$2-F210)))</f>
        <v/>
      </c>
      <c r="N210" t="str">
        <f>IF(C210="","",IF(L210&lt;=0,"已结清",IF(F210&gt;应收跟进!$E$2,"未到期",IF(M210&lt;=30,"逾期1-30天",IF(M210&lt;=60,"逾期31-60天",IF(M210&lt;=90,"逾期61-90天","逾期90天以上"))))))</f>
        <v/>
      </c>
      <c r="P210" t="str">
        <f>IF(销售录入!A200="","",销售录入!N200)</f>
        <v/>
      </c>
      <c r="Q210" t="str">
        <f>IF(销售录入!A200="","",销售录入!O200)</f>
        <v/>
      </c>
    </row>
    <row r="211" spans="1:17">
      <c r="A211" t="str">
        <f>IF(销售录入!A201="","","销售")</f>
        <v/>
      </c>
      <c r="B211" t="str">
        <f>IF(销售录入!A201="","",销售录入!A201)</f>
        <v/>
      </c>
      <c r="C211" t="str">
        <f>IF(销售录入!A201="","",销售录入!C201)</f>
        <v/>
      </c>
      <c r="D211" t="str">
        <f>IF(销售录入!A201="","",销售录入!D201)</f>
        <v/>
      </c>
      <c r="E211" t="str">
        <f>IF(销售录入!A201="","",销售录入!I201)</f>
        <v/>
      </c>
      <c r="F211" t="str">
        <f>IF(销售录入!A201="","",销售录入!L201)</f>
        <v/>
      </c>
      <c r="G211" t="str">
        <f>IF(C211="","",SUMIFS(资金流水!$J$4:$J$203,资金流水!$F$4:$F$203,C211,资金流水!$D$4:$D$203,"客户回款",资金流水!$A$4:$A$203,"&lt;="&amp;应收跟进!$E$2))</f>
        <v/>
      </c>
      <c r="H211" t="str">
        <f>IF(C211="","",SUMIFS($E$4:E210,$C$4:C210,C211))</f>
        <v/>
      </c>
      <c r="J211" t="str">
        <f>IF(C211="","",MIN(MAX(0,E211-N(I211)),MAX(0,G211-SUMIFS($I$4:$I$213,$C$4:$C$213,C211)-(SUMIFS($E$4:E210,$C$4:C210,C211)-SUMIFS($I$4:I210,$C$4:C210,C211)))))</f>
        <v/>
      </c>
      <c r="M211" t="str">
        <f>IF(C211="","",IF(OR(L211&lt;=0,F211=""),0,MAX(0,应收跟进!$E$2-F211)))</f>
        <v/>
      </c>
      <c r="N211" t="str">
        <f>IF(C211="","",IF(L211&lt;=0,"已结清",IF(F211&gt;应收跟进!$E$2,"未到期",IF(M211&lt;=30,"逾期1-30天",IF(M211&lt;=60,"逾期31-60天",IF(M211&lt;=90,"逾期61-90天","逾期90天以上"))))))</f>
        <v/>
      </c>
      <c r="P211" t="str">
        <f>IF(销售录入!A201="","",销售录入!N201)</f>
        <v/>
      </c>
      <c r="Q211" t="str">
        <f>IF(销售录入!A201="","",销售录入!O201)</f>
        <v/>
      </c>
    </row>
    <row r="212" spans="1:17">
      <c r="A212" t="str">
        <f>IF(销售录入!A202="","","销售")</f>
        <v/>
      </c>
      <c r="B212" t="str">
        <f>IF(销售录入!A202="","",销售录入!A202)</f>
        <v/>
      </c>
      <c r="C212" t="str">
        <f>IF(销售录入!A202="","",销售录入!C202)</f>
        <v/>
      </c>
      <c r="D212" t="str">
        <f>IF(销售录入!A202="","",销售录入!D202)</f>
        <v/>
      </c>
      <c r="E212" t="str">
        <f>IF(销售录入!A202="","",销售录入!I202)</f>
        <v/>
      </c>
      <c r="F212" t="str">
        <f>IF(销售录入!A202="","",销售录入!L202)</f>
        <v/>
      </c>
      <c r="G212" t="str">
        <f>IF(C212="","",SUMIFS(资金流水!$J$4:$J$203,资金流水!$F$4:$F$203,C212,资金流水!$D$4:$D$203,"客户回款",资金流水!$A$4:$A$203,"&lt;="&amp;应收跟进!$E$2))</f>
        <v/>
      </c>
      <c r="H212" t="str">
        <f>IF(C212="","",SUMIFS($E$4:E211,$C$4:C211,C212))</f>
        <v/>
      </c>
      <c r="J212" t="str">
        <f>IF(C212="","",MIN(MAX(0,E212-N(I212)),MAX(0,G212-SUMIFS($I$4:$I$213,$C$4:$C$213,C212)-(SUMIFS($E$4:E211,$C$4:C211,C212)-SUMIFS($I$4:I211,$C$4:C211,C212)))))</f>
        <v/>
      </c>
      <c r="M212" t="str">
        <f>IF(C212="","",IF(OR(L212&lt;=0,F212=""),0,MAX(0,应收跟进!$E$2-F212)))</f>
        <v/>
      </c>
      <c r="N212" t="str">
        <f>IF(C212="","",IF(L212&lt;=0,"已结清",IF(F212&gt;应收跟进!$E$2,"未到期",IF(M212&lt;=30,"逾期1-30天",IF(M212&lt;=60,"逾期31-60天",IF(M212&lt;=90,"逾期61-90天","逾期90天以上"))))))</f>
        <v/>
      </c>
      <c r="P212" t="str">
        <f>IF(销售录入!A202="","",销售录入!N202)</f>
        <v/>
      </c>
      <c r="Q212" t="str">
        <f>IF(销售录入!A202="","",销售录入!O202)</f>
        <v/>
      </c>
    </row>
    <row r="213" spans="1:17">
      <c r="A213" t="str">
        <f>IF(销售录入!A203="","","销售")</f>
        <v/>
      </c>
      <c r="B213" t="str">
        <f>IF(销售录入!A203="","",销售录入!A203)</f>
        <v/>
      </c>
      <c r="C213" t="str">
        <f>IF(销售录入!A203="","",销售录入!C203)</f>
        <v/>
      </c>
      <c r="D213" t="str">
        <f>IF(销售录入!A203="","",销售录入!D203)</f>
        <v/>
      </c>
      <c r="E213" t="str">
        <f>IF(销售录入!A203="","",销售录入!I203)</f>
        <v/>
      </c>
      <c r="F213" t="str">
        <f>IF(销售录入!A203="","",销售录入!L203)</f>
        <v/>
      </c>
      <c r="G213" t="str">
        <f>IF(C213="","",SUMIFS(资金流水!$J$4:$J$203,资金流水!$F$4:$F$203,C213,资金流水!$D$4:$D$203,"客户回款",资金流水!$A$4:$A$203,"&lt;="&amp;应收跟进!$E$2))</f>
        <v/>
      </c>
      <c r="H213" t="str">
        <f>IF(C213="","",SUMIFS($E$4:E212,$C$4:C212,C213))</f>
        <v/>
      </c>
      <c r="J213" t="str">
        <f>IF(C213="","",MIN(MAX(0,E213-N(I213)),MAX(0,G213-SUMIFS($I$4:$I$213,$C$4:$C$213,C213)-(SUMIFS($E$4:E212,$C$4:C212,C213)-SUMIFS($I$4:I212,$C$4:C212,C213)))))</f>
        <v/>
      </c>
      <c r="M213" t="str">
        <f>IF(C213="","",IF(OR(L213&lt;=0,F213=""),0,MAX(0,应收跟进!$E$2-F213)))</f>
        <v/>
      </c>
      <c r="N213" t="str">
        <f>IF(C213="","",IF(L213&lt;=0,"已结清",IF(F213&gt;应收跟进!$E$2,"未到期",IF(M213&lt;=30,"逾期1-30天",IF(M213&lt;=60,"逾期31-60天",IF(M213&lt;=90,"逾期61-90天","逾期90天以上"))))))</f>
        <v/>
      </c>
      <c r="P213" t="str">
        <f>IF(销售录入!A203="","",销售录入!N203)</f>
        <v/>
      </c>
      <c r="Q213" t="str">
        <f>IF(销售录入!A203="","",销售录入!O203)</f>
        <v/>
      </c>
    </row>
  </sheetData>
  <mergeCells count="2">
    <mergeCell ref="A1:Q1"/>
    <mergeCell ref="A2:Q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selection activeCell="A1" sqref="A1:N1"/>
    </sheetView>
  </sheetViews>
  <sheetFormatPr defaultColWidth="9" defaultRowHeight="14.25"/>
  <cols>
    <col min="1" max="1" width="14" customWidth="1"/>
    <col min="2" max="2" width="9" customWidth="1"/>
    <col min="3" max="12" width="14" customWidth="1"/>
    <col min="13" max="14" width="10" customWidth="1"/>
  </cols>
  <sheetData>
    <row r="1" ht="20.25" spans="1:14">
      <c r="A1" s="45" t="s">
        <v>503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>
      <c r="A2" t="s">
        <v>2</v>
      </c>
      <c r="B2" s="53">
        <f>首页!$B$4</f>
        <v>46174</v>
      </c>
    </row>
    <row r="3" spans="1:14">
      <c r="A3" t="s">
        <v>446</v>
      </c>
      <c r="C3" s="17">
        <f t="shared" ref="C3:L3" si="0">SUM(C5:C54)</f>
        <v>210000</v>
      </c>
      <c r="D3" s="17">
        <f t="shared" si="0"/>
        <v>20300</v>
      </c>
      <c r="E3" s="17">
        <f t="shared" si="0"/>
        <v>10000</v>
      </c>
      <c r="F3" s="17">
        <f t="shared" si="0"/>
        <v>220300</v>
      </c>
      <c r="G3" s="17">
        <f t="shared" si="0"/>
        <v>16500</v>
      </c>
      <c r="H3" s="17">
        <f t="shared" si="0"/>
        <v>0</v>
      </c>
      <c r="I3" s="17">
        <f t="shared" si="0"/>
        <v>0</v>
      </c>
      <c r="J3" s="17">
        <f t="shared" si="0"/>
        <v>0</v>
      </c>
      <c r="K3" s="17">
        <f t="shared" si="0"/>
        <v>200000</v>
      </c>
      <c r="L3" s="17">
        <f t="shared" si="0"/>
        <v>200000</v>
      </c>
    </row>
    <row r="4" ht="27" spans="1:14">
      <c r="A4" s="43" t="s">
        <v>172</v>
      </c>
      <c r="B4" s="43" t="s">
        <v>44</v>
      </c>
      <c r="C4" s="44" t="s">
        <v>504</v>
      </c>
      <c r="D4" s="44" t="s">
        <v>505</v>
      </c>
      <c r="E4" s="44" t="s">
        <v>506</v>
      </c>
      <c r="F4" s="44" t="s">
        <v>507</v>
      </c>
      <c r="G4" s="44" t="s">
        <v>508</v>
      </c>
      <c r="H4" s="44" t="s">
        <v>466</v>
      </c>
      <c r="I4" s="44" t="s">
        <v>467</v>
      </c>
      <c r="J4" s="44" t="s">
        <v>468</v>
      </c>
      <c r="K4" s="44" t="s">
        <v>469</v>
      </c>
      <c r="L4" s="44" t="s">
        <v>470</v>
      </c>
      <c r="M4" s="43" t="s">
        <v>509</v>
      </c>
      <c r="N4" s="43" t="s">
        <v>47</v>
      </c>
    </row>
    <row r="5" spans="1:14">
      <c r="A5" t="str">
        <f>IF(基础资料!AE5="","",基础资料!AE5)</f>
        <v>供应商A</v>
      </c>
      <c r="B5">
        <f>IF(A5="","",IFERROR(VLOOKUP(A5,基础资料!$AE$5:$AG$204,3,FALSE),0))</f>
        <v>30</v>
      </c>
      <c r="C5" s="17">
        <f>IF(A5="","",SUMIFS(期初数据!$M$5:$M$14,期初数据!$K$5:$K$14,A5)+SUMIFS(采购录入!$I$4:$I$203,采购录入!$C$4:$C$203,A5,采购录入!$A$4:$A$203,"&lt;"&amp;EOMONTH($B$2,-1)+1)-SUMIFS(资金流水!$K$4:$K$203,资金流水!$F$4:$F$203,A5,资金流水!$D$4:$D$203,"供应商付款",资金流水!$A$4:$A$203,"&lt;"&amp;EOMONTH($B$2,-1)+1))</f>
        <v>25000</v>
      </c>
      <c r="D5" s="17">
        <f>IF(A5="","",SUMIFS(采购录入!$I$4:$I$203,采购录入!$C$4:$C$203,A5,采购录入!$B$4:$B$203,TEXT($B$2,"yyyy-mm")))</f>
        <v>3000</v>
      </c>
      <c r="E5" s="17">
        <f>IF(A5="","",SUMIFS(资金流水!$K$4:$K$203,资金流水!$F$4:$F$203,A5,资金流水!$D$4:$D$203,"供应商付款",资金流水!$B$4:$B$203,TEXT($B$2,"yyyy-mm")))</f>
        <v>10000</v>
      </c>
      <c r="F5" s="17">
        <f>IF(A5="","",SUMIFS(应付明细账龄!$K$4:$K$213,应付明细账龄!$C$4:$C$213,A5))</f>
        <v>18000</v>
      </c>
      <c r="G5" s="17">
        <f>IF(A5="","",SUMIFS(应付明细账龄!$K$4:$K$213,应付明细账龄!$C$4:$C$213,A5,应付明细账龄!$M$4:$M$213,"未来30天到期"))</f>
        <v>3000</v>
      </c>
      <c r="H5" s="17">
        <f>IF(A5="","",SUMIFS(应付明细账龄!$K$4:$K$213,应付明细账龄!$C$4:$C$213,A5,应付明细账龄!$M$4:$M$213,"逾期1-30天"))</f>
        <v>0</v>
      </c>
      <c r="I5" s="17">
        <f>IF(A5="","",SUMIFS(应付明细账龄!$K$4:$K$213,应付明细账龄!$C$4:$C$213,A5,应付明细账龄!$M$4:$M$213,"逾期31-60天"))</f>
        <v>0</v>
      </c>
      <c r="J5" s="17">
        <f>IF(A5="","",SUMIFS(应付明细账龄!$K$4:$K$213,应付明细账龄!$C$4:$C$213,A5,应付明细账龄!$M$4:$M$213,"逾期61-90天"))</f>
        <v>0</v>
      </c>
      <c r="K5" s="17">
        <f>IF(A5="","",SUMIFS(应付明细账龄!$K$4:$K$213,应付明细账龄!$C$4:$C$213,A5,应付明细账龄!$M$4:$M$213,"逾期90天以上"))</f>
        <v>15000</v>
      </c>
      <c r="L5" s="17">
        <f t="shared" ref="L5:L54" si="1">IF(A5="","",SUM(H5:K5))</f>
        <v>15000</v>
      </c>
      <c r="M5" t="str">
        <f t="shared" ref="M5:M54" si="2">IF(A5="","",IF(K5&gt;0,"紧急",IF(L5&gt;0,"高",IF(G5&gt;0,"中","低"))))</f>
        <v>紧急</v>
      </c>
      <c r="N5" t="str">
        <f>IF(A5="","",IFERROR(VLOOKUP(A5,基础资料!$AE$5:$AF$204,2,FALSE),""))</f>
        <v>王强</v>
      </c>
    </row>
    <row r="6" spans="1:14">
      <c r="A6" t="str">
        <f>IF(基础资料!AE6="","",基础资料!AE6)</f>
        <v>供应商B</v>
      </c>
      <c r="B6">
        <f>IF(A6="","",IFERROR(VLOOKUP(A6,基础资料!$AE$5:$AG$204,3,FALSE),0))</f>
        <v>30</v>
      </c>
      <c r="C6" s="17">
        <f>IF(A6="","",SUMIFS(期初数据!$M$5:$M$14,期初数据!$K$5:$K$14,A6)+SUMIFS(采购录入!$I$4:$I$203,采购录入!$C$4:$C$203,A6,采购录入!$A$4:$A$203,"&lt;"&amp;EOMONTH($B$2,-1)+1)-SUMIFS(资金流水!$K$4:$K$203,资金流水!$F$4:$F$203,A6,资金流水!$D$4:$D$203,"供应商付款",资金流水!$A$4:$A$203,"&lt;"&amp;EOMONTH($B$2,-1)+1))</f>
        <v>22000</v>
      </c>
      <c r="D6" s="17">
        <f>IF(A6="","",SUMIFS(采购录入!$I$4:$I$203,采购录入!$C$4:$C$203,A6,采购录入!$B$4:$B$203,TEXT($B$2,"yyyy-mm")))</f>
        <v>2500</v>
      </c>
      <c r="E6" s="17">
        <f>IF(A6="","",SUMIFS(资金流水!$K$4:$K$203,资金流水!$F$4:$F$203,A6,资金流水!$D$4:$D$203,"供应商付款",资金流水!$B$4:$B$203,TEXT($B$2,"yyyy-mm")))</f>
        <v>0</v>
      </c>
      <c r="F6" s="17">
        <f>IF(A6="","",SUMIFS(应付明细账龄!$K$4:$K$213,应付明细账龄!$C$4:$C$213,A6))</f>
        <v>24500</v>
      </c>
      <c r="G6" s="17">
        <f>IF(A6="","",SUMIFS(应付明细账龄!$K$4:$K$213,应付明细账龄!$C$4:$C$213,A6,应付明细账龄!$M$4:$M$213,"未来30天到期"))</f>
        <v>2500</v>
      </c>
      <c r="H6" s="17">
        <f>IF(A6="","",SUMIFS(应付明细账龄!$K$4:$K$213,应付明细账龄!$C$4:$C$213,A6,应付明细账龄!$M$4:$M$213,"逾期1-30天"))</f>
        <v>0</v>
      </c>
      <c r="I6" s="17">
        <f>IF(A6="","",SUMIFS(应付明细账龄!$K$4:$K$213,应付明细账龄!$C$4:$C$213,A6,应付明细账龄!$M$4:$M$213,"逾期31-60天"))</f>
        <v>0</v>
      </c>
      <c r="J6" s="17">
        <f>IF(A6="","",SUMIFS(应付明细账龄!$K$4:$K$213,应付明细账龄!$C$4:$C$213,A6,应付明细账龄!$M$4:$M$213,"逾期61-90天"))</f>
        <v>0</v>
      </c>
      <c r="K6" s="17">
        <f>IF(A6="","",SUMIFS(应付明细账龄!$K$4:$K$213,应付明细账龄!$C$4:$C$213,A6,应付明细账龄!$M$4:$M$213,"逾期90天以上"))</f>
        <v>22000</v>
      </c>
      <c r="L6" s="17">
        <f t="shared" si="1"/>
        <v>22000</v>
      </c>
      <c r="M6" t="str">
        <f t="shared" si="2"/>
        <v>紧急</v>
      </c>
      <c r="N6" t="str">
        <f>IF(A6="","",IFERROR(VLOOKUP(A6,基础资料!$AE$5:$AF$204,2,FALSE),""))</f>
        <v>王强</v>
      </c>
    </row>
    <row r="7" spans="1:14">
      <c r="A7" t="str">
        <f>IF(基础资料!AE7="","",基础资料!AE7)</f>
        <v>供应商C</v>
      </c>
      <c r="B7">
        <f>IF(A7="","",IFERROR(VLOOKUP(A7,基础资料!$AE$5:$AG$204,3,FALSE),0))</f>
        <v>45</v>
      </c>
      <c r="C7" s="17">
        <f>IF(A7="","",SUMIFS(期初数据!$M$5:$M$14,期初数据!$K$5:$K$14,A7)+SUMIFS(采购录入!$I$4:$I$203,采购录入!$C$4:$C$203,A7,采购录入!$A$4:$A$203,"&lt;"&amp;EOMONTH($B$2,-1)+1)-SUMIFS(资金流水!$K$4:$K$203,资金流水!$F$4:$F$203,A7,资金流水!$D$4:$D$203,"供应商付款",资金流水!$A$4:$A$203,"&lt;"&amp;EOMONTH($B$2,-1)+1))</f>
        <v>18000</v>
      </c>
      <c r="D7" s="17">
        <f>IF(A7="","",SUMIFS(采购录入!$I$4:$I$203,采购录入!$C$4:$C$203,A7,采购录入!$B$4:$B$203,TEXT($B$2,"yyyy-mm")))</f>
        <v>2500</v>
      </c>
      <c r="E7" s="17">
        <f>IF(A7="","",SUMIFS(资金流水!$K$4:$K$203,资金流水!$F$4:$F$203,A7,资金流水!$D$4:$D$203,"供应商付款",资金流水!$B$4:$B$203,TEXT($B$2,"yyyy-mm")))</f>
        <v>0</v>
      </c>
      <c r="F7" s="17">
        <f>IF(A7="","",SUMIFS(应付明细账龄!$K$4:$K$213,应付明细账龄!$C$4:$C$213,A7))</f>
        <v>20500</v>
      </c>
      <c r="G7" s="17">
        <f>IF(A7="","",SUMIFS(应付明细账龄!$K$4:$K$213,应付明细账龄!$C$4:$C$213,A7,应付明细账龄!$M$4:$M$213,"未来30天到期"))</f>
        <v>2500</v>
      </c>
      <c r="H7" s="17">
        <f>IF(A7="","",SUMIFS(应付明细账龄!$K$4:$K$213,应付明细账龄!$C$4:$C$213,A7,应付明细账龄!$M$4:$M$213,"逾期1-30天"))</f>
        <v>0</v>
      </c>
      <c r="I7" s="17">
        <f>IF(A7="","",SUMIFS(应付明细账龄!$K$4:$K$213,应付明细账龄!$C$4:$C$213,A7,应付明细账龄!$M$4:$M$213,"逾期31-60天"))</f>
        <v>0</v>
      </c>
      <c r="J7" s="17">
        <f>IF(A7="","",SUMIFS(应付明细账龄!$K$4:$K$213,应付明细账龄!$C$4:$C$213,A7,应付明细账龄!$M$4:$M$213,"逾期61-90天"))</f>
        <v>0</v>
      </c>
      <c r="K7" s="17">
        <f>IF(A7="","",SUMIFS(应付明细账龄!$K$4:$K$213,应付明细账龄!$C$4:$C$213,A7,应付明细账龄!$M$4:$M$213,"逾期90天以上"))</f>
        <v>18000</v>
      </c>
      <c r="L7" s="17">
        <f t="shared" si="1"/>
        <v>18000</v>
      </c>
      <c r="M7" t="str">
        <f t="shared" si="2"/>
        <v>紧急</v>
      </c>
      <c r="N7" t="str">
        <f>IF(A7="","",IFERROR(VLOOKUP(A7,基础资料!$AE$5:$AF$204,2,FALSE),""))</f>
        <v>王强</v>
      </c>
    </row>
    <row r="8" spans="1:14">
      <c r="A8" t="str">
        <f>IF(基础资料!AE8="","",基础资料!AE8)</f>
        <v>供应商D</v>
      </c>
      <c r="B8">
        <f>IF(A8="","",IFERROR(VLOOKUP(A8,基础资料!$AE$5:$AG$204,3,FALSE),0))</f>
        <v>30</v>
      </c>
      <c r="C8" s="17">
        <f>IF(A8="","",SUMIFS(期初数据!$M$5:$M$14,期初数据!$K$5:$K$14,A8)+SUMIFS(采购录入!$I$4:$I$203,采购录入!$C$4:$C$203,A8,采购录入!$A$4:$A$203,"&lt;"&amp;EOMONTH($B$2,-1)+1)-SUMIFS(资金流水!$K$4:$K$203,资金流水!$F$4:$F$203,A8,资金流水!$D$4:$D$203,"供应商付款",资金流水!$A$4:$A$203,"&lt;"&amp;EOMONTH($B$2,-1)+1))</f>
        <v>30000</v>
      </c>
      <c r="D8" s="17">
        <f>IF(A8="","",SUMIFS(采购录入!$I$4:$I$203,采购录入!$C$4:$C$203,A8,采购录入!$B$4:$B$203,TEXT($B$2,"yyyy-mm")))</f>
        <v>2000</v>
      </c>
      <c r="E8" s="17">
        <f>IF(A8="","",SUMIFS(资金流水!$K$4:$K$203,资金流水!$F$4:$F$203,A8,资金流水!$D$4:$D$203,"供应商付款",资金流水!$B$4:$B$203,TEXT($B$2,"yyyy-mm")))</f>
        <v>0</v>
      </c>
      <c r="F8" s="17">
        <f>IF(A8="","",SUMIFS(应付明细账龄!$K$4:$K$213,应付明细账龄!$C$4:$C$213,A8))</f>
        <v>32000</v>
      </c>
      <c r="G8" s="17">
        <f>IF(A8="","",SUMIFS(应付明细账龄!$K$4:$K$213,应付明细账龄!$C$4:$C$213,A8,应付明细账龄!$M$4:$M$213,"未来30天到期"))</f>
        <v>2000</v>
      </c>
      <c r="H8" s="17">
        <f>IF(A8="","",SUMIFS(应付明细账龄!$K$4:$K$213,应付明细账龄!$C$4:$C$213,A8,应付明细账龄!$M$4:$M$213,"逾期1-30天"))</f>
        <v>0</v>
      </c>
      <c r="I8" s="17">
        <f>IF(A8="","",SUMIFS(应付明细账龄!$K$4:$K$213,应付明细账龄!$C$4:$C$213,A8,应付明细账龄!$M$4:$M$213,"逾期31-60天"))</f>
        <v>0</v>
      </c>
      <c r="J8" s="17">
        <f>IF(A8="","",SUMIFS(应付明细账龄!$K$4:$K$213,应付明细账龄!$C$4:$C$213,A8,应付明细账龄!$M$4:$M$213,"逾期61-90天"))</f>
        <v>0</v>
      </c>
      <c r="K8" s="17">
        <f>IF(A8="","",SUMIFS(应付明细账龄!$K$4:$K$213,应付明细账龄!$C$4:$C$213,A8,应付明细账龄!$M$4:$M$213,"逾期90天以上"))</f>
        <v>30000</v>
      </c>
      <c r="L8" s="17">
        <f t="shared" si="1"/>
        <v>30000</v>
      </c>
      <c r="M8" t="str">
        <f t="shared" si="2"/>
        <v>紧急</v>
      </c>
      <c r="N8" t="str">
        <f>IF(A8="","",IFERROR(VLOOKUP(A8,基础资料!$AE$5:$AF$204,2,FALSE),""))</f>
        <v>王强</v>
      </c>
    </row>
    <row r="9" spans="1:14">
      <c r="A9" t="str">
        <f>IF(基础资料!AE9="","",基础资料!AE9)</f>
        <v>供应商E</v>
      </c>
      <c r="B9">
        <f>IF(A9="","",IFERROR(VLOOKUP(A9,基础资料!$AE$5:$AG$204,3,FALSE),0))</f>
        <v>60</v>
      </c>
      <c r="C9" s="17">
        <f>IF(A9="","",SUMIFS(期初数据!$M$5:$M$14,期初数据!$K$5:$K$14,A9)+SUMIFS(采购录入!$I$4:$I$203,采购录入!$C$4:$C$203,A9,采购录入!$A$4:$A$203,"&lt;"&amp;EOMONTH($B$2,-1)+1)-SUMIFS(资金流水!$K$4:$K$203,资金流水!$F$4:$F$203,A9,资金流水!$D$4:$D$203,"供应商付款",资金流水!$A$4:$A$203,"&lt;"&amp;EOMONTH($B$2,-1)+1))</f>
        <v>15000</v>
      </c>
      <c r="D9" s="17">
        <f>IF(A9="","",SUMIFS(采购录入!$I$4:$I$203,采购录入!$C$4:$C$203,A9,采购录入!$B$4:$B$203,TEXT($B$2,"yyyy-mm")))</f>
        <v>2000</v>
      </c>
      <c r="E9" s="17">
        <f>IF(A9="","",SUMIFS(资金流水!$K$4:$K$203,资金流水!$F$4:$F$203,A9,资金流水!$D$4:$D$203,"供应商付款",资金流水!$B$4:$B$203,TEXT($B$2,"yyyy-mm")))</f>
        <v>0</v>
      </c>
      <c r="F9" s="17">
        <f>IF(A9="","",SUMIFS(应付明细账龄!$K$4:$K$213,应付明细账龄!$C$4:$C$213,A9))</f>
        <v>17000</v>
      </c>
      <c r="G9" s="17">
        <f>IF(A9="","",SUMIFS(应付明细账龄!$K$4:$K$213,应付明细账龄!$C$4:$C$213,A9,应付明细账龄!$M$4:$M$213,"未来30天到期"))</f>
        <v>0</v>
      </c>
      <c r="H9" s="17">
        <f>IF(A9="","",SUMIFS(应付明细账龄!$K$4:$K$213,应付明细账龄!$C$4:$C$213,A9,应付明细账龄!$M$4:$M$213,"逾期1-30天"))</f>
        <v>0</v>
      </c>
      <c r="I9" s="17">
        <f>IF(A9="","",SUMIFS(应付明细账龄!$K$4:$K$213,应付明细账龄!$C$4:$C$213,A9,应付明细账龄!$M$4:$M$213,"逾期31-60天"))</f>
        <v>0</v>
      </c>
      <c r="J9" s="17">
        <f>IF(A9="","",SUMIFS(应付明细账龄!$K$4:$K$213,应付明细账龄!$C$4:$C$213,A9,应付明细账龄!$M$4:$M$213,"逾期61-90天"))</f>
        <v>0</v>
      </c>
      <c r="K9" s="17">
        <f>IF(A9="","",SUMIFS(应付明细账龄!$K$4:$K$213,应付明细账龄!$C$4:$C$213,A9,应付明细账龄!$M$4:$M$213,"逾期90天以上"))</f>
        <v>15000</v>
      </c>
      <c r="L9" s="17">
        <f t="shared" si="1"/>
        <v>15000</v>
      </c>
      <c r="M9" t="str">
        <f t="shared" si="2"/>
        <v>紧急</v>
      </c>
      <c r="N9" t="str">
        <f>IF(A9="","",IFERROR(VLOOKUP(A9,基础资料!$AE$5:$AF$204,2,FALSE),""))</f>
        <v>王强</v>
      </c>
    </row>
    <row r="10" spans="1:14">
      <c r="A10" t="str">
        <f>IF(基础资料!AE10="","",基础资料!AE10)</f>
        <v>供应商F</v>
      </c>
      <c r="B10">
        <f>IF(A10="","",IFERROR(VLOOKUP(A10,基础资料!$AE$5:$AG$204,3,FALSE),0))</f>
        <v>30</v>
      </c>
      <c r="C10" s="17">
        <f>IF(A10="","",SUMIFS(期初数据!$M$5:$M$14,期初数据!$K$5:$K$14,A10)+SUMIFS(采购录入!$I$4:$I$203,采购录入!$C$4:$C$203,A10,采购录入!$A$4:$A$203,"&lt;"&amp;EOMONTH($B$2,-1)+1)-SUMIFS(资金流水!$K$4:$K$203,资金流水!$F$4:$F$203,A10,资金流水!$D$4:$D$203,"供应商付款",资金流水!$A$4:$A$203,"&lt;"&amp;EOMONTH($B$2,-1)+1))</f>
        <v>24000</v>
      </c>
      <c r="D10" s="17">
        <f>IF(A10="","",SUMIFS(采购录入!$I$4:$I$203,采购录入!$C$4:$C$203,A10,采购录入!$B$4:$B$203,TEXT($B$2,"yyyy-mm")))</f>
        <v>2000</v>
      </c>
      <c r="E10" s="17">
        <f>IF(A10="","",SUMIFS(资金流水!$K$4:$K$203,资金流水!$F$4:$F$203,A10,资金流水!$D$4:$D$203,"供应商付款",资金流水!$B$4:$B$203,TEXT($B$2,"yyyy-mm")))</f>
        <v>0</v>
      </c>
      <c r="F10" s="17">
        <f>IF(A10="","",SUMIFS(应付明细账龄!$K$4:$K$213,应付明细账龄!$C$4:$C$213,A10))</f>
        <v>26000</v>
      </c>
      <c r="G10" s="17">
        <f>IF(A10="","",SUMIFS(应付明细账龄!$K$4:$K$213,应付明细账龄!$C$4:$C$213,A10,应付明细账龄!$M$4:$M$213,"未来30天到期"))</f>
        <v>2000</v>
      </c>
      <c r="H10" s="17">
        <f>IF(A10="","",SUMIFS(应付明细账龄!$K$4:$K$213,应付明细账龄!$C$4:$C$213,A10,应付明细账龄!$M$4:$M$213,"逾期1-30天"))</f>
        <v>0</v>
      </c>
      <c r="I10" s="17">
        <f>IF(A10="","",SUMIFS(应付明细账龄!$K$4:$K$213,应付明细账龄!$C$4:$C$213,A10,应付明细账龄!$M$4:$M$213,"逾期31-60天"))</f>
        <v>0</v>
      </c>
      <c r="J10" s="17">
        <f>IF(A10="","",SUMIFS(应付明细账龄!$K$4:$K$213,应付明细账龄!$C$4:$C$213,A10,应付明细账龄!$M$4:$M$213,"逾期61-90天"))</f>
        <v>0</v>
      </c>
      <c r="K10" s="17">
        <f>IF(A10="","",SUMIFS(应付明细账龄!$K$4:$K$213,应付明细账龄!$C$4:$C$213,A10,应付明细账龄!$M$4:$M$213,"逾期90天以上"))</f>
        <v>24000</v>
      </c>
      <c r="L10" s="17">
        <f t="shared" si="1"/>
        <v>24000</v>
      </c>
      <c r="M10" t="str">
        <f t="shared" si="2"/>
        <v>紧急</v>
      </c>
      <c r="N10" t="str">
        <f>IF(A10="","",IFERROR(VLOOKUP(A10,基础资料!$AE$5:$AF$204,2,FALSE),""))</f>
        <v>王强</v>
      </c>
    </row>
    <row r="11" spans="1:14">
      <c r="A11" t="str">
        <f>IF(基础资料!AE11="","",基础资料!AE11)</f>
        <v>供应商G</v>
      </c>
      <c r="B11">
        <f>IF(A11="","",IFERROR(VLOOKUP(A11,基础资料!$AE$5:$AG$204,3,FALSE),0))</f>
        <v>45</v>
      </c>
      <c r="C11" s="17">
        <f>IF(A11="","",SUMIFS(期初数据!$M$5:$M$14,期初数据!$K$5:$K$14,A11)+SUMIFS(采购录入!$I$4:$I$203,采购录入!$C$4:$C$203,A11,采购录入!$A$4:$A$203,"&lt;"&amp;EOMONTH($B$2,-1)+1)-SUMIFS(资金流水!$K$4:$K$203,资金流水!$F$4:$F$203,A11,资金流水!$D$4:$D$203,"供应商付款",资金流水!$A$4:$A$203,"&lt;"&amp;EOMONTH($B$2,-1)+1))</f>
        <v>20000</v>
      </c>
      <c r="D11" s="17">
        <f>IF(A11="","",SUMIFS(采购录入!$I$4:$I$203,采购录入!$C$4:$C$203,A11,采购录入!$B$4:$B$203,TEXT($B$2,"yyyy-mm")))</f>
        <v>1500</v>
      </c>
      <c r="E11" s="17">
        <f>IF(A11="","",SUMIFS(资金流水!$K$4:$K$203,资金流水!$F$4:$F$203,A11,资金流水!$D$4:$D$203,"供应商付款",资金流水!$B$4:$B$203,TEXT($B$2,"yyyy-mm")))</f>
        <v>0</v>
      </c>
      <c r="F11" s="17">
        <f>IF(A11="","",SUMIFS(应付明细账龄!$K$4:$K$213,应付明细账龄!$C$4:$C$213,A11))</f>
        <v>21500</v>
      </c>
      <c r="G11" s="17">
        <f>IF(A11="","",SUMIFS(应付明细账龄!$K$4:$K$213,应付明细账龄!$C$4:$C$213,A11,应付明细账龄!$M$4:$M$213,"未来30天到期"))</f>
        <v>1500</v>
      </c>
      <c r="H11" s="17">
        <f>IF(A11="","",SUMIFS(应付明细账龄!$K$4:$K$213,应付明细账龄!$C$4:$C$213,A11,应付明细账龄!$M$4:$M$213,"逾期1-30天"))</f>
        <v>0</v>
      </c>
      <c r="I11" s="17">
        <f>IF(A11="","",SUMIFS(应付明细账龄!$K$4:$K$213,应付明细账龄!$C$4:$C$213,A11,应付明细账龄!$M$4:$M$213,"逾期31-60天"))</f>
        <v>0</v>
      </c>
      <c r="J11" s="17">
        <f>IF(A11="","",SUMIFS(应付明细账龄!$K$4:$K$213,应付明细账龄!$C$4:$C$213,A11,应付明细账龄!$M$4:$M$213,"逾期61-90天"))</f>
        <v>0</v>
      </c>
      <c r="K11" s="17">
        <f>IF(A11="","",SUMIFS(应付明细账龄!$K$4:$K$213,应付明细账龄!$C$4:$C$213,A11,应付明细账龄!$M$4:$M$213,"逾期90天以上"))</f>
        <v>20000</v>
      </c>
      <c r="L11" s="17">
        <f t="shared" si="1"/>
        <v>20000</v>
      </c>
      <c r="M11" t="str">
        <f t="shared" si="2"/>
        <v>紧急</v>
      </c>
      <c r="N11" t="str">
        <f>IF(A11="","",IFERROR(VLOOKUP(A11,基础资料!$AE$5:$AF$204,2,FALSE),""))</f>
        <v>王强</v>
      </c>
    </row>
    <row r="12" spans="1:14">
      <c r="A12" t="str">
        <f>IF(基础资料!AE12="","",基础资料!AE12)</f>
        <v>供应商H</v>
      </c>
      <c r="B12">
        <f>IF(A12="","",IFERROR(VLOOKUP(A12,基础资料!$AE$5:$AG$204,3,FALSE),0))</f>
        <v>30</v>
      </c>
      <c r="C12" s="17">
        <f>IF(A12="","",SUMIFS(期初数据!$M$5:$M$14,期初数据!$K$5:$K$14,A12)+SUMIFS(采购录入!$I$4:$I$203,采购录入!$C$4:$C$203,A12,采购录入!$A$4:$A$203,"&lt;"&amp;EOMONTH($B$2,-1)+1)-SUMIFS(资金流水!$K$4:$K$203,资金流水!$F$4:$F$203,A12,资金流水!$D$4:$D$203,"供应商付款",资金流水!$A$4:$A$203,"&lt;"&amp;EOMONTH($B$2,-1)+1))</f>
        <v>16000</v>
      </c>
      <c r="D12" s="17">
        <f>IF(A12="","",SUMIFS(采购录入!$I$4:$I$203,采购录入!$C$4:$C$203,A12,采购录入!$B$4:$B$203,TEXT($B$2,"yyyy-mm")))</f>
        <v>1800</v>
      </c>
      <c r="E12" s="17">
        <f>IF(A12="","",SUMIFS(资金流水!$K$4:$K$203,资金流水!$F$4:$F$203,A12,资金流水!$D$4:$D$203,"供应商付款",资金流水!$B$4:$B$203,TEXT($B$2,"yyyy-mm")))</f>
        <v>0</v>
      </c>
      <c r="F12" s="17">
        <f>IF(A12="","",SUMIFS(应付明细账龄!$K$4:$K$213,应付明细账龄!$C$4:$C$213,A12))</f>
        <v>17800</v>
      </c>
      <c r="G12" s="17">
        <f>IF(A12="","",SUMIFS(应付明细账龄!$K$4:$K$213,应付明细账龄!$C$4:$C$213,A12,应付明细账龄!$M$4:$M$213,"未来30天到期"))</f>
        <v>1800</v>
      </c>
      <c r="H12" s="17">
        <f>IF(A12="","",SUMIFS(应付明细账龄!$K$4:$K$213,应付明细账龄!$C$4:$C$213,A12,应付明细账龄!$M$4:$M$213,"逾期1-30天"))</f>
        <v>0</v>
      </c>
      <c r="I12" s="17">
        <f>IF(A12="","",SUMIFS(应付明细账龄!$K$4:$K$213,应付明细账龄!$C$4:$C$213,A12,应付明细账龄!$M$4:$M$213,"逾期31-60天"))</f>
        <v>0</v>
      </c>
      <c r="J12" s="17">
        <f>IF(A12="","",SUMIFS(应付明细账龄!$K$4:$K$213,应付明细账龄!$C$4:$C$213,A12,应付明细账龄!$M$4:$M$213,"逾期61-90天"))</f>
        <v>0</v>
      </c>
      <c r="K12" s="17">
        <f>IF(A12="","",SUMIFS(应付明细账龄!$K$4:$K$213,应付明细账龄!$C$4:$C$213,A12,应付明细账龄!$M$4:$M$213,"逾期90天以上"))</f>
        <v>16000</v>
      </c>
      <c r="L12" s="17">
        <f t="shared" si="1"/>
        <v>16000</v>
      </c>
      <c r="M12" t="str">
        <f t="shared" si="2"/>
        <v>紧急</v>
      </c>
      <c r="N12" t="str">
        <f>IF(A12="","",IFERROR(VLOOKUP(A12,基础资料!$AE$5:$AF$204,2,FALSE),""))</f>
        <v>王强</v>
      </c>
    </row>
    <row r="13" spans="1:14">
      <c r="A13" t="str">
        <f>IF(基础资料!AE13="","",基础资料!AE13)</f>
        <v>供应商I</v>
      </c>
      <c r="B13">
        <f>IF(A13="","",IFERROR(VLOOKUP(A13,基础资料!$AE$5:$AG$204,3,FALSE),0))</f>
        <v>30</v>
      </c>
      <c r="C13" s="17">
        <f>IF(A13="","",SUMIFS(期初数据!$M$5:$M$14,期初数据!$K$5:$K$14,A13)+SUMIFS(采购录入!$I$4:$I$203,采购录入!$C$4:$C$203,A13,采购录入!$A$4:$A$203,"&lt;"&amp;EOMONTH($B$2,-1)+1)-SUMIFS(资金流水!$K$4:$K$203,资金流水!$F$4:$F$203,A13,资金流水!$D$4:$D$203,"供应商付款",资金流水!$A$4:$A$203,"&lt;"&amp;EOMONTH($B$2,-1)+1))</f>
        <v>18000</v>
      </c>
      <c r="D13" s="17">
        <f>IF(A13="","",SUMIFS(采购录入!$I$4:$I$203,采购录入!$C$4:$C$203,A13,采购录入!$B$4:$B$203,TEXT($B$2,"yyyy-mm")))</f>
        <v>1200</v>
      </c>
      <c r="E13" s="17">
        <f>IF(A13="","",SUMIFS(资金流水!$K$4:$K$203,资金流水!$F$4:$F$203,A13,资金流水!$D$4:$D$203,"供应商付款",资金流水!$B$4:$B$203,TEXT($B$2,"yyyy-mm")))</f>
        <v>0</v>
      </c>
      <c r="F13" s="17">
        <f>IF(A13="","",SUMIFS(应付明细账龄!$K$4:$K$213,应付明细账龄!$C$4:$C$213,A13))</f>
        <v>19200</v>
      </c>
      <c r="G13" s="17">
        <f>IF(A13="","",SUMIFS(应付明细账龄!$K$4:$K$213,应付明细账龄!$C$4:$C$213,A13,应付明细账龄!$M$4:$M$213,"未来30天到期"))</f>
        <v>1200</v>
      </c>
      <c r="H13" s="17">
        <f>IF(A13="","",SUMIFS(应付明细账龄!$K$4:$K$213,应付明细账龄!$C$4:$C$213,A13,应付明细账龄!$M$4:$M$213,"逾期1-30天"))</f>
        <v>0</v>
      </c>
      <c r="I13" s="17">
        <f>IF(A13="","",SUMIFS(应付明细账龄!$K$4:$K$213,应付明细账龄!$C$4:$C$213,A13,应付明细账龄!$M$4:$M$213,"逾期31-60天"))</f>
        <v>0</v>
      </c>
      <c r="J13" s="17">
        <f>IF(A13="","",SUMIFS(应付明细账龄!$K$4:$K$213,应付明细账龄!$C$4:$C$213,A13,应付明细账龄!$M$4:$M$213,"逾期61-90天"))</f>
        <v>0</v>
      </c>
      <c r="K13" s="17">
        <f>IF(A13="","",SUMIFS(应付明细账龄!$K$4:$K$213,应付明细账龄!$C$4:$C$213,A13,应付明细账龄!$M$4:$M$213,"逾期90天以上"))</f>
        <v>18000</v>
      </c>
      <c r="L13" s="17">
        <f t="shared" si="1"/>
        <v>18000</v>
      </c>
      <c r="M13" t="str">
        <f t="shared" si="2"/>
        <v>紧急</v>
      </c>
      <c r="N13" t="str">
        <f>IF(A13="","",IFERROR(VLOOKUP(A13,基础资料!$AE$5:$AF$204,2,FALSE),""))</f>
        <v>王强</v>
      </c>
    </row>
    <row r="14" spans="1:14">
      <c r="A14" t="str">
        <f>IF(基础资料!AE14="","",基础资料!AE14)</f>
        <v>供应商J</v>
      </c>
      <c r="B14">
        <f>IF(A14="","",IFERROR(VLOOKUP(A14,基础资料!$AE$5:$AG$204,3,FALSE),0))</f>
        <v>60</v>
      </c>
      <c r="C14" s="17">
        <f>IF(A14="","",SUMIFS(期初数据!$M$5:$M$14,期初数据!$K$5:$K$14,A14)+SUMIFS(采购录入!$I$4:$I$203,采购录入!$C$4:$C$203,A14,采购录入!$A$4:$A$203,"&lt;"&amp;EOMONTH($B$2,-1)+1)-SUMIFS(资金流水!$K$4:$K$203,资金流水!$F$4:$F$203,A14,资金流水!$D$4:$D$203,"供应商付款",资金流水!$A$4:$A$203,"&lt;"&amp;EOMONTH($B$2,-1)+1))</f>
        <v>22000</v>
      </c>
      <c r="D14" s="17">
        <f>IF(A14="","",SUMIFS(采购录入!$I$4:$I$203,采购录入!$C$4:$C$203,A14,采购录入!$B$4:$B$203,TEXT($B$2,"yyyy-mm")))</f>
        <v>1800</v>
      </c>
      <c r="E14" s="17">
        <f>IF(A14="","",SUMIFS(资金流水!$K$4:$K$203,资金流水!$F$4:$F$203,A14,资金流水!$D$4:$D$203,"供应商付款",资金流水!$B$4:$B$203,TEXT($B$2,"yyyy-mm")))</f>
        <v>0</v>
      </c>
      <c r="F14" s="17">
        <f>IF(A14="","",SUMIFS(应付明细账龄!$K$4:$K$213,应付明细账龄!$C$4:$C$213,A14))</f>
        <v>23800</v>
      </c>
      <c r="G14" s="17">
        <f>IF(A14="","",SUMIFS(应付明细账龄!$K$4:$K$213,应付明细账龄!$C$4:$C$213,A14,应付明细账龄!$M$4:$M$213,"未来30天到期"))</f>
        <v>0</v>
      </c>
      <c r="H14" s="17">
        <f>IF(A14="","",SUMIFS(应付明细账龄!$K$4:$K$213,应付明细账龄!$C$4:$C$213,A14,应付明细账龄!$M$4:$M$213,"逾期1-30天"))</f>
        <v>0</v>
      </c>
      <c r="I14" s="17">
        <f>IF(A14="","",SUMIFS(应付明细账龄!$K$4:$K$213,应付明细账龄!$C$4:$C$213,A14,应付明细账龄!$M$4:$M$213,"逾期31-60天"))</f>
        <v>0</v>
      </c>
      <c r="J14" s="17">
        <f>IF(A14="","",SUMIFS(应付明细账龄!$K$4:$K$213,应付明细账龄!$C$4:$C$213,A14,应付明细账龄!$M$4:$M$213,"逾期61-90天"))</f>
        <v>0</v>
      </c>
      <c r="K14" s="17">
        <f>IF(A14="","",SUMIFS(应付明细账龄!$K$4:$K$213,应付明细账龄!$C$4:$C$213,A14,应付明细账龄!$M$4:$M$213,"逾期90天以上"))</f>
        <v>22000</v>
      </c>
      <c r="L14" s="17">
        <f t="shared" si="1"/>
        <v>22000</v>
      </c>
      <c r="M14" t="str">
        <f t="shared" si="2"/>
        <v>紧急</v>
      </c>
      <c r="N14" t="str">
        <f>IF(A14="","",IFERROR(VLOOKUP(A14,基础资料!$AE$5:$AF$204,2,FALSE),""))</f>
        <v>王强</v>
      </c>
    </row>
    <row r="15" spans="1:14">
      <c r="A15" t="str">
        <f>IF(基础资料!AE15="","",基础资料!AE15)</f>
        <v/>
      </c>
      <c r="B15" t="str">
        <f>IF(A15="","",IFERROR(VLOOKUP(A15,基础资料!$AE$5:$AG$204,3,FALSE),0))</f>
        <v/>
      </c>
      <c r="C15" s="17" t="str">
        <f>IF(A15="","",SUMIFS(期初数据!$M$5:$M$14,期初数据!$K$5:$K$14,A15)+SUMIFS(采购录入!$I$4:$I$203,采购录入!$C$4:$C$203,A15,采购录入!$A$4:$A$203,"&lt;"&amp;EOMONTH($B$2,-1)+1)-SUMIFS(资金流水!$K$4:$K$203,资金流水!$F$4:$F$203,A15,资金流水!$D$4:$D$203,"供应商付款",资金流水!$A$4:$A$203,"&lt;"&amp;EOMONTH($B$2,-1)+1))</f>
        <v/>
      </c>
      <c r="D15" s="17" t="str">
        <f>IF(A15="","",SUMIFS(采购录入!$I$4:$I$203,采购录入!$C$4:$C$203,A15,采购录入!$B$4:$B$203,TEXT($B$2,"yyyy-mm")))</f>
        <v/>
      </c>
      <c r="E15" s="17" t="str">
        <f>IF(A15="","",SUMIFS(资金流水!$K$4:$K$203,资金流水!$F$4:$F$203,A15,资金流水!$D$4:$D$203,"供应商付款",资金流水!$B$4:$B$203,TEXT($B$2,"yyyy-mm")))</f>
        <v/>
      </c>
      <c r="F15" s="17" t="str">
        <f>IF(A15="","",SUMIFS(应付明细账龄!$K$4:$K$213,应付明细账龄!$C$4:$C$213,A15))</f>
        <v/>
      </c>
      <c r="G15" s="17" t="str">
        <f>IF(A15="","",SUMIFS(应付明细账龄!$K$4:$K$213,应付明细账龄!$C$4:$C$213,A15,应付明细账龄!$M$4:$M$213,"未来30天到期"))</f>
        <v/>
      </c>
      <c r="H15" s="17" t="str">
        <f>IF(A15="","",SUMIFS(应付明细账龄!$K$4:$K$213,应付明细账龄!$C$4:$C$213,A15,应付明细账龄!$M$4:$M$213,"逾期1-30天"))</f>
        <v/>
      </c>
      <c r="I15" s="17" t="str">
        <f>IF(A15="","",SUMIFS(应付明细账龄!$K$4:$K$213,应付明细账龄!$C$4:$C$213,A15,应付明细账龄!$M$4:$M$213,"逾期31-60天"))</f>
        <v/>
      </c>
      <c r="J15" s="17" t="str">
        <f>IF(A15="","",SUMIFS(应付明细账龄!$K$4:$K$213,应付明细账龄!$C$4:$C$213,A15,应付明细账龄!$M$4:$M$213,"逾期61-90天"))</f>
        <v/>
      </c>
      <c r="K15" s="17" t="str">
        <f>IF(A15="","",SUMIFS(应付明细账龄!$K$4:$K$213,应付明细账龄!$C$4:$C$213,A15,应付明细账龄!$M$4:$M$213,"逾期90天以上"))</f>
        <v/>
      </c>
      <c r="L15" s="17" t="str">
        <f t="shared" si="1"/>
        <v/>
      </c>
      <c r="M15" t="str">
        <f t="shared" si="2"/>
        <v/>
      </c>
      <c r="N15" t="str">
        <f>IF(A15="","",IFERROR(VLOOKUP(A15,基础资料!$AE$5:$AF$204,2,FALSE),""))</f>
        <v/>
      </c>
    </row>
    <row r="16" spans="1:14">
      <c r="A16" t="str">
        <f>IF(基础资料!AE16="","",基础资料!AE16)</f>
        <v/>
      </c>
      <c r="B16" t="str">
        <f>IF(A16="","",IFERROR(VLOOKUP(A16,基础资料!$AE$5:$AG$204,3,FALSE),0))</f>
        <v/>
      </c>
      <c r="C16" s="17" t="str">
        <f>IF(A16="","",SUMIFS(期初数据!$M$5:$M$14,期初数据!$K$5:$K$14,A16)+SUMIFS(采购录入!$I$4:$I$203,采购录入!$C$4:$C$203,A16,采购录入!$A$4:$A$203,"&lt;"&amp;EOMONTH($B$2,-1)+1)-SUMIFS(资金流水!$K$4:$K$203,资金流水!$F$4:$F$203,A16,资金流水!$D$4:$D$203,"供应商付款",资金流水!$A$4:$A$203,"&lt;"&amp;EOMONTH($B$2,-1)+1))</f>
        <v/>
      </c>
      <c r="D16" s="17" t="str">
        <f>IF(A16="","",SUMIFS(采购录入!$I$4:$I$203,采购录入!$C$4:$C$203,A16,采购录入!$B$4:$B$203,TEXT($B$2,"yyyy-mm")))</f>
        <v/>
      </c>
      <c r="E16" s="17" t="str">
        <f>IF(A16="","",SUMIFS(资金流水!$K$4:$K$203,资金流水!$F$4:$F$203,A16,资金流水!$D$4:$D$203,"供应商付款",资金流水!$B$4:$B$203,TEXT($B$2,"yyyy-mm")))</f>
        <v/>
      </c>
      <c r="F16" s="17" t="str">
        <f>IF(A16="","",SUMIFS(应付明细账龄!$K$4:$K$213,应付明细账龄!$C$4:$C$213,A16))</f>
        <v/>
      </c>
      <c r="G16" s="17" t="str">
        <f>IF(A16="","",SUMIFS(应付明细账龄!$K$4:$K$213,应付明细账龄!$C$4:$C$213,A16,应付明细账龄!$M$4:$M$213,"未来30天到期"))</f>
        <v/>
      </c>
      <c r="H16" s="17" t="str">
        <f>IF(A16="","",SUMIFS(应付明细账龄!$K$4:$K$213,应付明细账龄!$C$4:$C$213,A16,应付明细账龄!$M$4:$M$213,"逾期1-30天"))</f>
        <v/>
      </c>
      <c r="I16" s="17" t="str">
        <f>IF(A16="","",SUMIFS(应付明细账龄!$K$4:$K$213,应付明细账龄!$C$4:$C$213,A16,应付明细账龄!$M$4:$M$213,"逾期31-60天"))</f>
        <v/>
      </c>
      <c r="J16" s="17" t="str">
        <f>IF(A16="","",SUMIFS(应付明细账龄!$K$4:$K$213,应付明细账龄!$C$4:$C$213,A16,应付明细账龄!$M$4:$M$213,"逾期61-90天"))</f>
        <v/>
      </c>
      <c r="K16" s="17" t="str">
        <f>IF(A16="","",SUMIFS(应付明细账龄!$K$4:$K$213,应付明细账龄!$C$4:$C$213,A16,应付明细账龄!$M$4:$M$213,"逾期90天以上"))</f>
        <v/>
      </c>
      <c r="L16" s="17" t="str">
        <f t="shared" si="1"/>
        <v/>
      </c>
      <c r="M16" t="str">
        <f t="shared" si="2"/>
        <v/>
      </c>
      <c r="N16" t="str">
        <f>IF(A16="","",IFERROR(VLOOKUP(A16,基础资料!$AE$5:$AF$204,2,FALSE),""))</f>
        <v/>
      </c>
    </row>
    <row r="17" spans="1:14">
      <c r="A17" t="str">
        <f>IF(基础资料!AE17="","",基础资料!AE17)</f>
        <v/>
      </c>
      <c r="B17" t="str">
        <f>IF(A17="","",IFERROR(VLOOKUP(A17,基础资料!$AE$5:$AG$204,3,FALSE),0))</f>
        <v/>
      </c>
      <c r="C17" s="17" t="str">
        <f>IF(A17="","",SUMIFS(期初数据!$M$5:$M$14,期初数据!$K$5:$K$14,A17)+SUMIFS(采购录入!$I$4:$I$203,采购录入!$C$4:$C$203,A17,采购录入!$A$4:$A$203,"&lt;"&amp;EOMONTH($B$2,-1)+1)-SUMIFS(资金流水!$K$4:$K$203,资金流水!$F$4:$F$203,A17,资金流水!$D$4:$D$203,"供应商付款",资金流水!$A$4:$A$203,"&lt;"&amp;EOMONTH($B$2,-1)+1))</f>
        <v/>
      </c>
      <c r="D17" s="17" t="str">
        <f>IF(A17="","",SUMIFS(采购录入!$I$4:$I$203,采购录入!$C$4:$C$203,A17,采购录入!$B$4:$B$203,TEXT($B$2,"yyyy-mm")))</f>
        <v/>
      </c>
      <c r="E17" s="17" t="str">
        <f>IF(A17="","",SUMIFS(资金流水!$K$4:$K$203,资金流水!$F$4:$F$203,A17,资金流水!$D$4:$D$203,"供应商付款",资金流水!$B$4:$B$203,TEXT($B$2,"yyyy-mm")))</f>
        <v/>
      </c>
      <c r="F17" s="17" t="str">
        <f>IF(A17="","",SUMIFS(应付明细账龄!$K$4:$K$213,应付明细账龄!$C$4:$C$213,A17))</f>
        <v/>
      </c>
      <c r="G17" s="17" t="str">
        <f>IF(A17="","",SUMIFS(应付明细账龄!$K$4:$K$213,应付明细账龄!$C$4:$C$213,A17,应付明细账龄!$M$4:$M$213,"未来30天到期"))</f>
        <v/>
      </c>
      <c r="H17" s="17" t="str">
        <f>IF(A17="","",SUMIFS(应付明细账龄!$K$4:$K$213,应付明细账龄!$C$4:$C$213,A17,应付明细账龄!$M$4:$M$213,"逾期1-30天"))</f>
        <v/>
      </c>
      <c r="I17" s="17" t="str">
        <f>IF(A17="","",SUMIFS(应付明细账龄!$K$4:$K$213,应付明细账龄!$C$4:$C$213,A17,应付明细账龄!$M$4:$M$213,"逾期31-60天"))</f>
        <v/>
      </c>
      <c r="J17" s="17" t="str">
        <f>IF(A17="","",SUMIFS(应付明细账龄!$K$4:$K$213,应付明细账龄!$C$4:$C$213,A17,应付明细账龄!$M$4:$M$213,"逾期61-90天"))</f>
        <v/>
      </c>
      <c r="K17" s="17" t="str">
        <f>IF(A17="","",SUMIFS(应付明细账龄!$K$4:$K$213,应付明细账龄!$C$4:$C$213,A17,应付明细账龄!$M$4:$M$213,"逾期90天以上"))</f>
        <v/>
      </c>
      <c r="L17" s="17" t="str">
        <f t="shared" si="1"/>
        <v/>
      </c>
      <c r="M17" t="str">
        <f t="shared" si="2"/>
        <v/>
      </c>
      <c r="N17" t="str">
        <f>IF(A17="","",IFERROR(VLOOKUP(A17,基础资料!$AE$5:$AF$204,2,FALSE),""))</f>
        <v/>
      </c>
    </row>
    <row r="18" spans="1:14">
      <c r="A18" t="str">
        <f>IF(基础资料!AE18="","",基础资料!AE18)</f>
        <v/>
      </c>
      <c r="B18" t="str">
        <f>IF(A18="","",IFERROR(VLOOKUP(A18,基础资料!$AE$5:$AG$204,3,FALSE),0))</f>
        <v/>
      </c>
      <c r="C18" s="17" t="str">
        <f>IF(A18="","",SUMIFS(期初数据!$M$5:$M$14,期初数据!$K$5:$K$14,A18)+SUMIFS(采购录入!$I$4:$I$203,采购录入!$C$4:$C$203,A18,采购录入!$A$4:$A$203,"&lt;"&amp;EOMONTH($B$2,-1)+1)-SUMIFS(资金流水!$K$4:$K$203,资金流水!$F$4:$F$203,A18,资金流水!$D$4:$D$203,"供应商付款",资金流水!$A$4:$A$203,"&lt;"&amp;EOMONTH($B$2,-1)+1))</f>
        <v/>
      </c>
      <c r="D18" s="17" t="str">
        <f>IF(A18="","",SUMIFS(采购录入!$I$4:$I$203,采购录入!$C$4:$C$203,A18,采购录入!$B$4:$B$203,TEXT($B$2,"yyyy-mm")))</f>
        <v/>
      </c>
      <c r="E18" s="17" t="str">
        <f>IF(A18="","",SUMIFS(资金流水!$K$4:$K$203,资金流水!$F$4:$F$203,A18,资金流水!$D$4:$D$203,"供应商付款",资金流水!$B$4:$B$203,TEXT($B$2,"yyyy-mm")))</f>
        <v/>
      </c>
      <c r="F18" s="17" t="str">
        <f>IF(A18="","",SUMIFS(应付明细账龄!$K$4:$K$213,应付明细账龄!$C$4:$C$213,A18))</f>
        <v/>
      </c>
      <c r="G18" s="17" t="str">
        <f>IF(A18="","",SUMIFS(应付明细账龄!$K$4:$K$213,应付明细账龄!$C$4:$C$213,A18,应付明细账龄!$M$4:$M$213,"未来30天到期"))</f>
        <v/>
      </c>
      <c r="H18" s="17" t="str">
        <f>IF(A18="","",SUMIFS(应付明细账龄!$K$4:$K$213,应付明细账龄!$C$4:$C$213,A18,应付明细账龄!$M$4:$M$213,"逾期1-30天"))</f>
        <v/>
      </c>
      <c r="I18" s="17" t="str">
        <f>IF(A18="","",SUMIFS(应付明细账龄!$K$4:$K$213,应付明细账龄!$C$4:$C$213,A18,应付明细账龄!$M$4:$M$213,"逾期31-60天"))</f>
        <v/>
      </c>
      <c r="J18" s="17" t="str">
        <f>IF(A18="","",SUMIFS(应付明细账龄!$K$4:$K$213,应付明细账龄!$C$4:$C$213,A18,应付明细账龄!$M$4:$M$213,"逾期61-90天"))</f>
        <v/>
      </c>
      <c r="K18" s="17" t="str">
        <f>IF(A18="","",SUMIFS(应付明细账龄!$K$4:$K$213,应付明细账龄!$C$4:$C$213,A18,应付明细账龄!$M$4:$M$213,"逾期90天以上"))</f>
        <v/>
      </c>
      <c r="L18" s="17" t="str">
        <f t="shared" si="1"/>
        <v/>
      </c>
      <c r="M18" t="str">
        <f t="shared" si="2"/>
        <v/>
      </c>
      <c r="N18" t="str">
        <f>IF(A18="","",IFERROR(VLOOKUP(A18,基础资料!$AE$5:$AF$204,2,FALSE),""))</f>
        <v/>
      </c>
    </row>
    <row r="19" spans="1:14">
      <c r="A19" t="str">
        <f>IF(基础资料!AE19="","",基础资料!AE19)</f>
        <v/>
      </c>
      <c r="B19" t="str">
        <f>IF(A19="","",IFERROR(VLOOKUP(A19,基础资料!$AE$5:$AG$204,3,FALSE),0))</f>
        <v/>
      </c>
      <c r="C19" s="17" t="str">
        <f>IF(A19="","",SUMIFS(期初数据!$M$5:$M$14,期初数据!$K$5:$K$14,A19)+SUMIFS(采购录入!$I$4:$I$203,采购录入!$C$4:$C$203,A19,采购录入!$A$4:$A$203,"&lt;"&amp;EOMONTH($B$2,-1)+1)-SUMIFS(资金流水!$K$4:$K$203,资金流水!$F$4:$F$203,A19,资金流水!$D$4:$D$203,"供应商付款",资金流水!$A$4:$A$203,"&lt;"&amp;EOMONTH($B$2,-1)+1))</f>
        <v/>
      </c>
      <c r="D19" s="17" t="str">
        <f>IF(A19="","",SUMIFS(采购录入!$I$4:$I$203,采购录入!$C$4:$C$203,A19,采购录入!$B$4:$B$203,TEXT($B$2,"yyyy-mm")))</f>
        <v/>
      </c>
      <c r="E19" s="17" t="str">
        <f>IF(A19="","",SUMIFS(资金流水!$K$4:$K$203,资金流水!$F$4:$F$203,A19,资金流水!$D$4:$D$203,"供应商付款",资金流水!$B$4:$B$203,TEXT($B$2,"yyyy-mm")))</f>
        <v/>
      </c>
      <c r="F19" s="17" t="str">
        <f>IF(A19="","",SUMIFS(应付明细账龄!$K$4:$K$213,应付明细账龄!$C$4:$C$213,A19))</f>
        <v/>
      </c>
      <c r="G19" s="17" t="str">
        <f>IF(A19="","",SUMIFS(应付明细账龄!$K$4:$K$213,应付明细账龄!$C$4:$C$213,A19,应付明细账龄!$M$4:$M$213,"未来30天到期"))</f>
        <v/>
      </c>
      <c r="H19" s="17" t="str">
        <f>IF(A19="","",SUMIFS(应付明细账龄!$K$4:$K$213,应付明细账龄!$C$4:$C$213,A19,应付明细账龄!$M$4:$M$213,"逾期1-30天"))</f>
        <v/>
      </c>
      <c r="I19" s="17" t="str">
        <f>IF(A19="","",SUMIFS(应付明细账龄!$K$4:$K$213,应付明细账龄!$C$4:$C$213,A19,应付明细账龄!$M$4:$M$213,"逾期31-60天"))</f>
        <v/>
      </c>
      <c r="J19" s="17" t="str">
        <f>IF(A19="","",SUMIFS(应付明细账龄!$K$4:$K$213,应付明细账龄!$C$4:$C$213,A19,应付明细账龄!$M$4:$M$213,"逾期61-90天"))</f>
        <v/>
      </c>
      <c r="K19" s="17" t="str">
        <f>IF(A19="","",SUMIFS(应付明细账龄!$K$4:$K$213,应付明细账龄!$C$4:$C$213,A19,应付明细账龄!$M$4:$M$213,"逾期90天以上"))</f>
        <v/>
      </c>
      <c r="L19" s="17" t="str">
        <f t="shared" si="1"/>
        <v/>
      </c>
      <c r="M19" t="str">
        <f t="shared" si="2"/>
        <v/>
      </c>
      <c r="N19" t="str">
        <f>IF(A19="","",IFERROR(VLOOKUP(A19,基础资料!$AE$5:$AF$204,2,FALSE),""))</f>
        <v/>
      </c>
    </row>
    <row r="20" spans="1:14">
      <c r="A20" t="str">
        <f>IF(基础资料!AE20="","",基础资料!AE20)</f>
        <v/>
      </c>
      <c r="B20" t="str">
        <f>IF(A20="","",IFERROR(VLOOKUP(A20,基础资料!$AE$5:$AG$204,3,FALSE),0))</f>
        <v/>
      </c>
      <c r="C20" s="17" t="str">
        <f>IF(A20="","",SUMIFS(期初数据!$M$5:$M$14,期初数据!$K$5:$K$14,A20)+SUMIFS(采购录入!$I$4:$I$203,采购录入!$C$4:$C$203,A20,采购录入!$A$4:$A$203,"&lt;"&amp;EOMONTH($B$2,-1)+1)-SUMIFS(资金流水!$K$4:$K$203,资金流水!$F$4:$F$203,A20,资金流水!$D$4:$D$203,"供应商付款",资金流水!$A$4:$A$203,"&lt;"&amp;EOMONTH($B$2,-1)+1))</f>
        <v/>
      </c>
      <c r="D20" s="17" t="str">
        <f>IF(A20="","",SUMIFS(采购录入!$I$4:$I$203,采购录入!$C$4:$C$203,A20,采购录入!$B$4:$B$203,TEXT($B$2,"yyyy-mm")))</f>
        <v/>
      </c>
      <c r="E20" s="17" t="str">
        <f>IF(A20="","",SUMIFS(资金流水!$K$4:$K$203,资金流水!$F$4:$F$203,A20,资金流水!$D$4:$D$203,"供应商付款",资金流水!$B$4:$B$203,TEXT($B$2,"yyyy-mm")))</f>
        <v/>
      </c>
      <c r="F20" s="17" t="str">
        <f>IF(A20="","",SUMIFS(应付明细账龄!$K$4:$K$213,应付明细账龄!$C$4:$C$213,A20))</f>
        <v/>
      </c>
      <c r="G20" s="17" t="str">
        <f>IF(A20="","",SUMIFS(应付明细账龄!$K$4:$K$213,应付明细账龄!$C$4:$C$213,A20,应付明细账龄!$M$4:$M$213,"未来30天到期"))</f>
        <v/>
      </c>
      <c r="H20" s="17" t="str">
        <f>IF(A20="","",SUMIFS(应付明细账龄!$K$4:$K$213,应付明细账龄!$C$4:$C$213,A20,应付明细账龄!$M$4:$M$213,"逾期1-30天"))</f>
        <v/>
      </c>
      <c r="I20" s="17" t="str">
        <f>IF(A20="","",SUMIFS(应付明细账龄!$K$4:$K$213,应付明细账龄!$C$4:$C$213,A20,应付明细账龄!$M$4:$M$213,"逾期31-60天"))</f>
        <v/>
      </c>
      <c r="J20" s="17" t="str">
        <f>IF(A20="","",SUMIFS(应付明细账龄!$K$4:$K$213,应付明细账龄!$C$4:$C$213,A20,应付明细账龄!$M$4:$M$213,"逾期61-90天"))</f>
        <v/>
      </c>
      <c r="K20" s="17" t="str">
        <f>IF(A20="","",SUMIFS(应付明细账龄!$K$4:$K$213,应付明细账龄!$C$4:$C$213,A20,应付明细账龄!$M$4:$M$213,"逾期90天以上"))</f>
        <v/>
      </c>
      <c r="L20" s="17" t="str">
        <f t="shared" si="1"/>
        <v/>
      </c>
      <c r="M20" t="str">
        <f t="shared" si="2"/>
        <v/>
      </c>
      <c r="N20" t="str">
        <f>IF(A20="","",IFERROR(VLOOKUP(A20,基础资料!$AE$5:$AF$204,2,FALSE),""))</f>
        <v/>
      </c>
    </row>
    <row r="21" spans="1:14">
      <c r="A21" t="str">
        <f>IF(基础资料!AE21="","",基础资料!AE21)</f>
        <v/>
      </c>
      <c r="B21" t="str">
        <f>IF(A21="","",IFERROR(VLOOKUP(A21,基础资料!$AE$5:$AG$204,3,FALSE),0))</f>
        <v/>
      </c>
      <c r="C21" s="17" t="str">
        <f>IF(A21="","",SUMIFS(期初数据!$M$5:$M$14,期初数据!$K$5:$K$14,A21)+SUMIFS(采购录入!$I$4:$I$203,采购录入!$C$4:$C$203,A21,采购录入!$A$4:$A$203,"&lt;"&amp;EOMONTH($B$2,-1)+1)-SUMIFS(资金流水!$K$4:$K$203,资金流水!$F$4:$F$203,A21,资金流水!$D$4:$D$203,"供应商付款",资金流水!$A$4:$A$203,"&lt;"&amp;EOMONTH($B$2,-1)+1))</f>
        <v/>
      </c>
      <c r="D21" s="17" t="str">
        <f>IF(A21="","",SUMIFS(采购录入!$I$4:$I$203,采购录入!$C$4:$C$203,A21,采购录入!$B$4:$B$203,TEXT($B$2,"yyyy-mm")))</f>
        <v/>
      </c>
      <c r="E21" s="17" t="str">
        <f>IF(A21="","",SUMIFS(资金流水!$K$4:$K$203,资金流水!$F$4:$F$203,A21,资金流水!$D$4:$D$203,"供应商付款",资金流水!$B$4:$B$203,TEXT($B$2,"yyyy-mm")))</f>
        <v/>
      </c>
      <c r="F21" s="17" t="str">
        <f>IF(A21="","",SUMIFS(应付明细账龄!$K$4:$K$213,应付明细账龄!$C$4:$C$213,A21))</f>
        <v/>
      </c>
      <c r="G21" s="17" t="str">
        <f>IF(A21="","",SUMIFS(应付明细账龄!$K$4:$K$213,应付明细账龄!$C$4:$C$213,A21,应付明细账龄!$M$4:$M$213,"未来30天到期"))</f>
        <v/>
      </c>
      <c r="H21" s="17" t="str">
        <f>IF(A21="","",SUMIFS(应付明细账龄!$K$4:$K$213,应付明细账龄!$C$4:$C$213,A21,应付明细账龄!$M$4:$M$213,"逾期1-30天"))</f>
        <v/>
      </c>
      <c r="I21" s="17" t="str">
        <f>IF(A21="","",SUMIFS(应付明细账龄!$K$4:$K$213,应付明细账龄!$C$4:$C$213,A21,应付明细账龄!$M$4:$M$213,"逾期31-60天"))</f>
        <v/>
      </c>
      <c r="J21" s="17" t="str">
        <f>IF(A21="","",SUMIFS(应付明细账龄!$K$4:$K$213,应付明细账龄!$C$4:$C$213,A21,应付明细账龄!$M$4:$M$213,"逾期61-90天"))</f>
        <v/>
      </c>
      <c r="K21" s="17" t="str">
        <f>IF(A21="","",SUMIFS(应付明细账龄!$K$4:$K$213,应付明细账龄!$C$4:$C$213,A21,应付明细账龄!$M$4:$M$213,"逾期90天以上"))</f>
        <v/>
      </c>
      <c r="L21" s="17" t="str">
        <f t="shared" si="1"/>
        <v/>
      </c>
      <c r="M21" t="str">
        <f t="shared" si="2"/>
        <v/>
      </c>
      <c r="N21" t="str">
        <f>IF(A21="","",IFERROR(VLOOKUP(A21,基础资料!$AE$5:$AF$204,2,FALSE),""))</f>
        <v/>
      </c>
    </row>
    <row r="22" spans="1:14">
      <c r="A22" t="str">
        <f>IF(基础资料!AE22="","",基础资料!AE22)</f>
        <v/>
      </c>
      <c r="B22" t="str">
        <f>IF(A22="","",IFERROR(VLOOKUP(A22,基础资料!$AE$5:$AG$204,3,FALSE),0))</f>
        <v/>
      </c>
      <c r="C22" s="17" t="str">
        <f>IF(A22="","",SUMIFS(期初数据!$M$5:$M$14,期初数据!$K$5:$K$14,A22)+SUMIFS(采购录入!$I$4:$I$203,采购录入!$C$4:$C$203,A22,采购录入!$A$4:$A$203,"&lt;"&amp;EOMONTH($B$2,-1)+1)-SUMIFS(资金流水!$K$4:$K$203,资金流水!$F$4:$F$203,A22,资金流水!$D$4:$D$203,"供应商付款",资金流水!$A$4:$A$203,"&lt;"&amp;EOMONTH($B$2,-1)+1))</f>
        <v/>
      </c>
      <c r="D22" s="17" t="str">
        <f>IF(A22="","",SUMIFS(采购录入!$I$4:$I$203,采购录入!$C$4:$C$203,A22,采购录入!$B$4:$B$203,TEXT($B$2,"yyyy-mm")))</f>
        <v/>
      </c>
      <c r="E22" s="17" t="str">
        <f>IF(A22="","",SUMIFS(资金流水!$K$4:$K$203,资金流水!$F$4:$F$203,A22,资金流水!$D$4:$D$203,"供应商付款",资金流水!$B$4:$B$203,TEXT($B$2,"yyyy-mm")))</f>
        <v/>
      </c>
      <c r="F22" s="17" t="str">
        <f>IF(A22="","",SUMIFS(应付明细账龄!$K$4:$K$213,应付明细账龄!$C$4:$C$213,A22))</f>
        <v/>
      </c>
      <c r="G22" s="17" t="str">
        <f>IF(A22="","",SUMIFS(应付明细账龄!$K$4:$K$213,应付明细账龄!$C$4:$C$213,A22,应付明细账龄!$M$4:$M$213,"未来30天到期"))</f>
        <v/>
      </c>
      <c r="H22" s="17" t="str">
        <f>IF(A22="","",SUMIFS(应付明细账龄!$K$4:$K$213,应付明细账龄!$C$4:$C$213,A22,应付明细账龄!$M$4:$M$213,"逾期1-30天"))</f>
        <v/>
      </c>
      <c r="I22" s="17" t="str">
        <f>IF(A22="","",SUMIFS(应付明细账龄!$K$4:$K$213,应付明细账龄!$C$4:$C$213,A22,应付明细账龄!$M$4:$M$213,"逾期31-60天"))</f>
        <v/>
      </c>
      <c r="J22" s="17" t="str">
        <f>IF(A22="","",SUMIFS(应付明细账龄!$K$4:$K$213,应付明细账龄!$C$4:$C$213,A22,应付明细账龄!$M$4:$M$213,"逾期61-90天"))</f>
        <v/>
      </c>
      <c r="K22" s="17" t="str">
        <f>IF(A22="","",SUMIFS(应付明细账龄!$K$4:$K$213,应付明细账龄!$C$4:$C$213,A22,应付明细账龄!$M$4:$M$213,"逾期90天以上"))</f>
        <v/>
      </c>
      <c r="L22" s="17" t="str">
        <f t="shared" si="1"/>
        <v/>
      </c>
      <c r="M22" t="str">
        <f t="shared" si="2"/>
        <v/>
      </c>
      <c r="N22" t="str">
        <f>IF(A22="","",IFERROR(VLOOKUP(A22,基础资料!$AE$5:$AF$204,2,FALSE),""))</f>
        <v/>
      </c>
    </row>
    <row r="23" spans="1:14">
      <c r="A23" t="str">
        <f>IF(基础资料!AE23="","",基础资料!AE23)</f>
        <v/>
      </c>
      <c r="B23" t="str">
        <f>IF(A23="","",IFERROR(VLOOKUP(A23,基础资料!$AE$5:$AG$204,3,FALSE),0))</f>
        <v/>
      </c>
      <c r="C23" s="17" t="str">
        <f>IF(A23="","",SUMIFS(期初数据!$M$5:$M$14,期初数据!$K$5:$K$14,A23)+SUMIFS(采购录入!$I$4:$I$203,采购录入!$C$4:$C$203,A23,采购录入!$A$4:$A$203,"&lt;"&amp;EOMONTH($B$2,-1)+1)-SUMIFS(资金流水!$K$4:$K$203,资金流水!$F$4:$F$203,A23,资金流水!$D$4:$D$203,"供应商付款",资金流水!$A$4:$A$203,"&lt;"&amp;EOMONTH($B$2,-1)+1))</f>
        <v/>
      </c>
      <c r="D23" s="17" t="str">
        <f>IF(A23="","",SUMIFS(采购录入!$I$4:$I$203,采购录入!$C$4:$C$203,A23,采购录入!$B$4:$B$203,TEXT($B$2,"yyyy-mm")))</f>
        <v/>
      </c>
      <c r="E23" s="17" t="str">
        <f>IF(A23="","",SUMIFS(资金流水!$K$4:$K$203,资金流水!$F$4:$F$203,A23,资金流水!$D$4:$D$203,"供应商付款",资金流水!$B$4:$B$203,TEXT($B$2,"yyyy-mm")))</f>
        <v/>
      </c>
      <c r="F23" s="17" t="str">
        <f>IF(A23="","",SUMIFS(应付明细账龄!$K$4:$K$213,应付明细账龄!$C$4:$C$213,A23))</f>
        <v/>
      </c>
      <c r="G23" s="17" t="str">
        <f>IF(A23="","",SUMIFS(应付明细账龄!$K$4:$K$213,应付明细账龄!$C$4:$C$213,A23,应付明细账龄!$M$4:$M$213,"未来30天到期"))</f>
        <v/>
      </c>
      <c r="H23" s="17" t="str">
        <f>IF(A23="","",SUMIFS(应付明细账龄!$K$4:$K$213,应付明细账龄!$C$4:$C$213,A23,应付明细账龄!$M$4:$M$213,"逾期1-30天"))</f>
        <v/>
      </c>
      <c r="I23" s="17" t="str">
        <f>IF(A23="","",SUMIFS(应付明细账龄!$K$4:$K$213,应付明细账龄!$C$4:$C$213,A23,应付明细账龄!$M$4:$M$213,"逾期31-60天"))</f>
        <v/>
      </c>
      <c r="J23" s="17" t="str">
        <f>IF(A23="","",SUMIFS(应付明细账龄!$K$4:$K$213,应付明细账龄!$C$4:$C$213,A23,应付明细账龄!$M$4:$M$213,"逾期61-90天"))</f>
        <v/>
      </c>
      <c r="K23" s="17" t="str">
        <f>IF(A23="","",SUMIFS(应付明细账龄!$K$4:$K$213,应付明细账龄!$C$4:$C$213,A23,应付明细账龄!$M$4:$M$213,"逾期90天以上"))</f>
        <v/>
      </c>
      <c r="L23" s="17" t="str">
        <f t="shared" si="1"/>
        <v/>
      </c>
      <c r="M23" t="str">
        <f t="shared" si="2"/>
        <v/>
      </c>
      <c r="N23" t="str">
        <f>IF(A23="","",IFERROR(VLOOKUP(A23,基础资料!$AE$5:$AF$204,2,FALSE),""))</f>
        <v/>
      </c>
    </row>
    <row r="24" spans="1:14">
      <c r="A24" t="str">
        <f>IF(基础资料!AE24="","",基础资料!AE24)</f>
        <v/>
      </c>
      <c r="B24" t="str">
        <f>IF(A24="","",IFERROR(VLOOKUP(A24,基础资料!$AE$5:$AG$204,3,FALSE),0))</f>
        <v/>
      </c>
      <c r="C24" s="17" t="str">
        <f>IF(A24="","",SUMIFS(期初数据!$M$5:$M$14,期初数据!$K$5:$K$14,A24)+SUMIFS(采购录入!$I$4:$I$203,采购录入!$C$4:$C$203,A24,采购录入!$A$4:$A$203,"&lt;"&amp;EOMONTH($B$2,-1)+1)-SUMIFS(资金流水!$K$4:$K$203,资金流水!$F$4:$F$203,A24,资金流水!$D$4:$D$203,"供应商付款",资金流水!$A$4:$A$203,"&lt;"&amp;EOMONTH($B$2,-1)+1))</f>
        <v/>
      </c>
      <c r="D24" s="17" t="str">
        <f>IF(A24="","",SUMIFS(采购录入!$I$4:$I$203,采购录入!$C$4:$C$203,A24,采购录入!$B$4:$B$203,TEXT($B$2,"yyyy-mm")))</f>
        <v/>
      </c>
      <c r="E24" s="17" t="str">
        <f>IF(A24="","",SUMIFS(资金流水!$K$4:$K$203,资金流水!$F$4:$F$203,A24,资金流水!$D$4:$D$203,"供应商付款",资金流水!$B$4:$B$203,TEXT($B$2,"yyyy-mm")))</f>
        <v/>
      </c>
      <c r="F24" s="17" t="str">
        <f>IF(A24="","",SUMIFS(应付明细账龄!$K$4:$K$213,应付明细账龄!$C$4:$C$213,A24))</f>
        <v/>
      </c>
      <c r="G24" s="17" t="str">
        <f>IF(A24="","",SUMIFS(应付明细账龄!$K$4:$K$213,应付明细账龄!$C$4:$C$213,A24,应付明细账龄!$M$4:$M$213,"未来30天到期"))</f>
        <v/>
      </c>
      <c r="H24" s="17" t="str">
        <f>IF(A24="","",SUMIFS(应付明细账龄!$K$4:$K$213,应付明细账龄!$C$4:$C$213,A24,应付明细账龄!$M$4:$M$213,"逾期1-30天"))</f>
        <v/>
      </c>
      <c r="I24" s="17" t="str">
        <f>IF(A24="","",SUMIFS(应付明细账龄!$K$4:$K$213,应付明细账龄!$C$4:$C$213,A24,应付明细账龄!$M$4:$M$213,"逾期31-60天"))</f>
        <v/>
      </c>
      <c r="J24" s="17" t="str">
        <f>IF(A24="","",SUMIFS(应付明细账龄!$K$4:$K$213,应付明细账龄!$C$4:$C$213,A24,应付明细账龄!$M$4:$M$213,"逾期61-90天"))</f>
        <v/>
      </c>
      <c r="K24" s="17" t="str">
        <f>IF(A24="","",SUMIFS(应付明细账龄!$K$4:$K$213,应付明细账龄!$C$4:$C$213,A24,应付明细账龄!$M$4:$M$213,"逾期90天以上"))</f>
        <v/>
      </c>
      <c r="L24" s="17" t="str">
        <f t="shared" si="1"/>
        <v/>
      </c>
      <c r="M24" t="str">
        <f t="shared" si="2"/>
        <v/>
      </c>
      <c r="N24" t="str">
        <f>IF(A24="","",IFERROR(VLOOKUP(A24,基础资料!$AE$5:$AF$204,2,FALSE),""))</f>
        <v/>
      </c>
    </row>
    <row r="25" spans="1:14">
      <c r="A25" t="str">
        <f>IF(基础资料!AE25="","",基础资料!AE25)</f>
        <v/>
      </c>
      <c r="B25" t="str">
        <f>IF(A25="","",IFERROR(VLOOKUP(A25,基础资料!$AE$5:$AG$204,3,FALSE),0))</f>
        <v/>
      </c>
      <c r="C25" s="17" t="str">
        <f>IF(A25="","",SUMIFS(期初数据!$M$5:$M$14,期初数据!$K$5:$K$14,A25)+SUMIFS(采购录入!$I$4:$I$203,采购录入!$C$4:$C$203,A25,采购录入!$A$4:$A$203,"&lt;"&amp;EOMONTH($B$2,-1)+1)-SUMIFS(资金流水!$K$4:$K$203,资金流水!$F$4:$F$203,A25,资金流水!$D$4:$D$203,"供应商付款",资金流水!$A$4:$A$203,"&lt;"&amp;EOMONTH($B$2,-1)+1))</f>
        <v/>
      </c>
      <c r="D25" s="17" t="str">
        <f>IF(A25="","",SUMIFS(采购录入!$I$4:$I$203,采购录入!$C$4:$C$203,A25,采购录入!$B$4:$B$203,TEXT($B$2,"yyyy-mm")))</f>
        <v/>
      </c>
      <c r="E25" s="17" t="str">
        <f>IF(A25="","",SUMIFS(资金流水!$K$4:$K$203,资金流水!$F$4:$F$203,A25,资金流水!$D$4:$D$203,"供应商付款",资金流水!$B$4:$B$203,TEXT($B$2,"yyyy-mm")))</f>
        <v/>
      </c>
      <c r="F25" s="17" t="str">
        <f>IF(A25="","",SUMIFS(应付明细账龄!$K$4:$K$213,应付明细账龄!$C$4:$C$213,A25))</f>
        <v/>
      </c>
      <c r="G25" s="17" t="str">
        <f>IF(A25="","",SUMIFS(应付明细账龄!$K$4:$K$213,应付明细账龄!$C$4:$C$213,A25,应付明细账龄!$M$4:$M$213,"未来30天到期"))</f>
        <v/>
      </c>
      <c r="H25" s="17" t="str">
        <f>IF(A25="","",SUMIFS(应付明细账龄!$K$4:$K$213,应付明细账龄!$C$4:$C$213,A25,应付明细账龄!$M$4:$M$213,"逾期1-30天"))</f>
        <v/>
      </c>
      <c r="I25" s="17" t="str">
        <f>IF(A25="","",SUMIFS(应付明细账龄!$K$4:$K$213,应付明细账龄!$C$4:$C$213,A25,应付明细账龄!$M$4:$M$213,"逾期31-60天"))</f>
        <v/>
      </c>
      <c r="J25" s="17" t="str">
        <f>IF(A25="","",SUMIFS(应付明细账龄!$K$4:$K$213,应付明细账龄!$C$4:$C$213,A25,应付明细账龄!$M$4:$M$213,"逾期61-90天"))</f>
        <v/>
      </c>
      <c r="K25" s="17" t="str">
        <f>IF(A25="","",SUMIFS(应付明细账龄!$K$4:$K$213,应付明细账龄!$C$4:$C$213,A25,应付明细账龄!$M$4:$M$213,"逾期90天以上"))</f>
        <v/>
      </c>
      <c r="L25" s="17" t="str">
        <f t="shared" si="1"/>
        <v/>
      </c>
      <c r="M25" t="str">
        <f t="shared" si="2"/>
        <v/>
      </c>
      <c r="N25" t="str">
        <f>IF(A25="","",IFERROR(VLOOKUP(A25,基础资料!$AE$5:$AF$204,2,FALSE),""))</f>
        <v/>
      </c>
    </row>
    <row r="26" spans="1:14">
      <c r="A26" t="str">
        <f>IF(基础资料!AE26="","",基础资料!AE26)</f>
        <v/>
      </c>
      <c r="B26" t="str">
        <f>IF(A26="","",IFERROR(VLOOKUP(A26,基础资料!$AE$5:$AG$204,3,FALSE),0))</f>
        <v/>
      </c>
      <c r="C26" s="17" t="str">
        <f>IF(A26="","",SUMIFS(期初数据!$M$5:$M$14,期初数据!$K$5:$K$14,A26)+SUMIFS(采购录入!$I$4:$I$203,采购录入!$C$4:$C$203,A26,采购录入!$A$4:$A$203,"&lt;"&amp;EOMONTH($B$2,-1)+1)-SUMIFS(资金流水!$K$4:$K$203,资金流水!$F$4:$F$203,A26,资金流水!$D$4:$D$203,"供应商付款",资金流水!$A$4:$A$203,"&lt;"&amp;EOMONTH($B$2,-1)+1))</f>
        <v/>
      </c>
      <c r="D26" s="17" t="str">
        <f>IF(A26="","",SUMIFS(采购录入!$I$4:$I$203,采购录入!$C$4:$C$203,A26,采购录入!$B$4:$B$203,TEXT($B$2,"yyyy-mm")))</f>
        <v/>
      </c>
      <c r="E26" s="17" t="str">
        <f>IF(A26="","",SUMIFS(资金流水!$K$4:$K$203,资金流水!$F$4:$F$203,A26,资金流水!$D$4:$D$203,"供应商付款",资金流水!$B$4:$B$203,TEXT($B$2,"yyyy-mm")))</f>
        <v/>
      </c>
      <c r="F26" s="17" t="str">
        <f>IF(A26="","",SUMIFS(应付明细账龄!$K$4:$K$213,应付明细账龄!$C$4:$C$213,A26))</f>
        <v/>
      </c>
      <c r="G26" s="17" t="str">
        <f>IF(A26="","",SUMIFS(应付明细账龄!$K$4:$K$213,应付明细账龄!$C$4:$C$213,A26,应付明细账龄!$M$4:$M$213,"未来30天到期"))</f>
        <v/>
      </c>
      <c r="H26" s="17" t="str">
        <f>IF(A26="","",SUMIFS(应付明细账龄!$K$4:$K$213,应付明细账龄!$C$4:$C$213,A26,应付明细账龄!$M$4:$M$213,"逾期1-30天"))</f>
        <v/>
      </c>
      <c r="I26" s="17" t="str">
        <f>IF(A26="","",SUMIFS(应付明细账龄!$K$4:$K$213,应付明细账龄!$C$4:$C$213,A26,应付明细账龄!$M$4:$M$213,"逾期31-60天"))</f>
        <v/>
      </c>
      <c r="J26" s="17" t="str">
        <f>IF(A26="","",SUMIFS(应付明细账龄!$K$4:$K$213,应付明细账龄!$C$4:$C$213,A26,应付明细账龄!$M$4:$M$213,"逾期61-90天"))</f>
        <v/>
      </c>
      <c r="K26" s="17" t="str">
        <f>IF(A26="","",SUMIFS(应付明细账龄!$K$4:$K$213,应付明细账龄!$C$4:$C$213,A26,应付明细账龄!$M$4:$M$213,"逾期90天以上"))</f>
        <v/>
      </c>
      <c r="L26" s="17" t="str">
        <f t="shared" si="1"/>
        <v/>
      </c>
      <c r="M26" t="str">
        <f t="shared" si="2"/>
        <v/>
      </c>
      <c r="N26" t="str">
        <f>IF(A26="","",IFERROR(VLOOKUP(A26,基础资料!$AE$5:$AF$204,2,FALSE),""))</f>
        <v/>
      </c>
    </row>
    <row r="27" spans="1:14">
      <c r="A27" t="str">
        <f>IF(基础资料!AE27="","",基础资料!AE27)</f>
        <v/>
      </c>
      <c r="B27" t="str">
        <f>IF(A27="","",IFERROR(VLOOKUP(A27,基础资料!$AE$5:$AG$204,3,FALSE),0))</f>
        <v/>
      </c>
      <c r="C27" s="17" t="str">
        <f>IF(A27="","",SUMIFS(期初数据!$M$5:$M$14,期初数据!$K$5:$K$14,A27)+SUMIFS(采购录入!$I$4:$I$203,采购录入!$C$4:$C$203,A27,采购录入!$A$4:$A$203,"&lt;"&amp;EOMONTH($B$2,-1)+1)-SUMIFS(资金流水!$K$4:$K$203,资金流水!$F$4:$F$203,A27,资金流水!$D$4:$D$203,"供应商付款",资金流水!$A$4:$A$203,"&lt;"&amp;EOMONTH($B$2,-1)+1))</f>
        <v/>
      </c>
      <c r="D27" s="17" t="str">
        <f>IF(A27="","",SUMIFS(采购录入!$I$4:$I$203,采购录入!$C$4:$C$203,A27,采购录入!$B$4:$B$203,TEXT($B$2,"yyyy-mm")))</f>
        <v/>
      </c>
      <c r="E27" s="17" t="str">
        <f>IF(A27="","",SUMIFS(资金流水!$K$4:$K$203,资金流水!$F$4:$F$203,A27,资金流水!$D$4:$D$203,"供应商付款",资金流水!$B$4:$B$203,TEXT($B$2,"yyyy-mm")))</f>
        <v/>
      </c>
      <c r="F27" s="17" t="str">
        <f>IF(A27="","",SUMIFS(应付明细账龄!$K$4:$K$213,应付明细账龄!$C$4:$C$213,A27))</f>
        <v/>
      </c>
      <c r="G27" s="17" t="str">
        <f>IF(A27="","",SUMIFS(应付明细账龄!$K$4:$K$213,应付明细账龄!$C$4:$C$213,A27,应付明细账龄!$M$4:$M$213,"未来30天到期"))</f>
        <v/>
      </c>
      <c r="H27" s="17" t="str">
        <f>IF(A27="","",SUMIFS(应付明细账龄!$K$4:$K$213,应付明细账龄!$C$4:$C$213,A27,应付明细账龄!$M$4:$M$213,"逾期1-30天"))</f>
        <v/>
      </c>
      <c r="I27" s="17" t="str">
        <f>IF(A27="","",SUMIFS(应付明细账龄!$K$4:$K$213,应付明细账龄!$C$4:$C$213,A27,应付明细账龄!$M$4:$M$213,"逾期31-60天"))</f>
        <v/>
      </c>
      <c r="J27" s="17" t="str">
        <f>IF(A27="","",SUMIFS(应付明细账龄!$K$4:$K$213,应付明细账龄!$C$4:$C$213,A27,应付明细账龄!$M$4:$M$213,"逾期61-90天"))</f>
        <v/>
      </c>
      <c r="K27" s="17" t="str">
        <f>IF(A27="","",SUMIFS(应付明细账龄!$K$4:$K$213,应付明细账龄!$C$4:$C$213,A27,应付明细账龄!$M$4:$M$213,"逾期90天以上"))</f>
        <v/>
      </c>
      <c r="L27" s="17" t="str">
        <f t="shared" si="1"/>
        <v/>
      </c>
      <c r="M27" t="str">
        <f t="shared" si="2"/>
        <v/>
      </c>
      <c r="N27" t="str">
        <f>IF(A27="","",IFERROR(VLOOKUP(A27,基础资料!$AE$5:$AF$204,2,FALSE),""))</f>
        <v/>
      </c>
    </row>
    <row r="28" spans="1:14">
      <c r="A28" t="str">
        <f>IF(基础资料!AE28="","",基础资料!AE28)</f>
        <v/>
      </c>
      <c r="B28" t="str">
        <f>IF(A28="","",IFERROR(VLOOKUP(A28,基础资料!$AE$5:$AG$204,3,FALSE),0))</f>
        <v/>
      </c>
      <c r="C28" s="17" t="str">
        <f>IF(A28="","",SUMIFS(期初数据!$M$5:$M$14,期初数据!$K$5:$K$14,A28)+SUMIFS(采购录入!$I$4:$I$203,采购录入!$C$4:$C$203,A28,采购录入!$A$4:$A$203,"&lt;"&amp;EOMONTH($B$2,-1)+1)-SUMIFS(资金流水!$K$4:$K$203,资金流水!$F$4:$F$203,A28,资金流水!$D$4:$D$203,"供应商付款",资金流水!$A$4:$A$203,"&lt;"&amp;EOMONTH($B$2,-1)+1))</f>
        <v/>
      </c>
      <c r="D28" s="17" t="str">
        <f>IF(A28="","",SUMIFS(采购录入!$I$4:$I$203,采购录入!$C$4:$C$203,A28,采购录入!$B$4:$B$203,TEXT($B$2,"yyyy-mm")))</f>
        <v/>
      </c>
      <c r="E28" s="17" t="str">
        <f>IF(A28="","",SUMIFS(资金流水!$K$4:$K$203,资金流水!$F$4:$F$203,A28,资金流水!$D$4:$D$203,"供应商付款",资金流水!$B$4:$B$203,TEXT($B$2,"yyyy-mm")))</f>
        <v/>
      </c>
      <c r="F28" s="17" t="str">
        <f>IF(A28="","",SUMIFS(应付明细账龄!$K$4:$K$213,应付明细账龄!$C$4:$C$213,A28))</f>
        <v/>
      </c>
      <c r="G28" s="17" t="str">
        <f>IF(A28="","",SUMIFS(应付明细账龄!$K$4:$K$213,应付明细账龄!$C$4:$C$213,A28,应付明细账龄!$M$4:$M$213,"未来30天到期"))</f>
        <v/>
      </c>
      <c r="H28" s="17" t="str">
        <f>IF(A28="","",SUMIFS(应付明细账龄!$K$4:$K$213,应付明细账龄!$C$4:$C$213,A28,应付明细账龄!$M$4:$M$213,"逾期1-30天"))</f>
        <v/>
      </c>
      <c r="I28" s="17" t="str">
        <f>IF(A28="","",SUMIFS(应付明细账龄!$K$4:$K$213,应付明细账龄!$C$4:$C$213,A28,应付明细账龄!$M$4:$M$213,"逾期31-60天"))</f>
        <v/>
      </c>
      <c r="J28" s="17" t="str">
        <f>IF(A28="","",SUMIFS(应付明细账龄!$K$4:$K$213,应付明细账龄!$C$4:$C$213,A28,应付明细账龄!$M$4:$M$213,"逾期61-90天"))</f>
        <v/>
      </c>
      <c r="K28" s="17" t="str">
        <f>IF(A28="","",SUMIFS(应付明细账龄!$K$4:$K$213,应付明细账龄!$C$4:$C$213,A28,应付明细账龄!$M$4:$M$213,"逾期90天以上"))</f>
        <v/>
      </c>
      <c r="L28" s="17" t="str">
        <f t="shared" si="1"/>
        <v/>
      </c>
      <c r="M28" t="str">
        <f t="shared" si="2"/>
        <v/>
      </c>
      <c r="N28" t="str">
        <f>IF(A28="","",IFERROR(VLOOKUP(A28,基础资料!$AE$5:$AF$204,2,FALSE),""))</f>
        <v/>
      </c>
    </row>
    <row r="29" spans="1:14">
      <c r="A29" t="str">
        <f>IF(基础资料!AE29="","",基础资料!AE29)</f>
        <v/>
      </c>
      <c r="B29" t="str">
        <f>IF(A29="","",IFERROR(VLOOKUP(A29,基础资料!$AE$5:$AG$204,3,FALSE),0))</f>
        <v/>
      </c>
      <c r="C29" s="17" t="str">
        <f>IF(A29="","",SUMIFS(期初数据!$M$5:$M$14,期初数据!$K$5:$K$14,A29)+SUMIFS(采购录入!$I$4:$I$203,采购录入!$C$4:$C$203,A29,采购录入!$A$4:$A$203,"&lt;"&amp;EOMONTH($B$2,-1)+1)-SUMIFS(资金流水!$K$4:$K$203,资金流水!$F$4:$F$203,A29,资金流水!$D$4:$D$203,"供应商付款",资金流水!$A$4:$A$203,"&lt;"&amp;EOMONTH($B$2,-1)+1))</f>
        <v/>
      </c>
      <c r="D29" s="17" t="str">
        <f>IF(A29="","",SUMIFS(采购录入!$I$4:$I$203,采购录入!$C$4:$C$203,A29,采购录入!$B$4:$B$203,TEXT($B$2,"yyyy-mm")))</f>
        <v/>
      </c>
      <c r="E29" s="17" t="str">
        <f>IF(A29="","",SUMIFS(资金流水!$K$4:$K$203,资金流水!$F$4:$F$203,A29,资金流水!$D$4:$D$203,"供应商付款",资金流水!$B$4:$B$203,TEXT($B$2,"yyyy-mm")))</f>
        <v/>
      </c>
      <c r="F29" s="17" t="str">
        <f>IF(A29="","",SUMIFS(应付明细账龄!$K$4:$K$213,应付明细账龄!$C$4:$C$213,A29))</f>
        <v/>
      </c>
      <c r="G29" s="17" t="str">
        <f>IF(A29="","",SUMIFS(应付明细账龄!$K$4:$K$213,应付明细账龄!$C$4:$C$213,A29,应付明细账龄!$M$4:$M$213,"未来30天到期"))</f>
        <v/>
      </c>
      <c r="H29" s="17" t="str">
        <f>IF(A29="","",SUMIFS(应付明细账龄!$K$4:$K$213,应付明细账龄!$C$4:$C$213,A29,应付明细账龄!$M$4:$M$213,"逾期1-30天"))</f>
        <v/>
      </c>
      <c r="I29" s="17" t="str">
        <f>IF(A29="","",SUMIFS(应付明细账龄!$K$4:$K$213,应付明细账龄!$C$4:$C$213,A29,应付明细账龄!$M$4:$M$213,"逾期31-60天"))</f>
        <v/>
      </c>
      <c r="J29" s="17" t="str">
        <f>IF(A29="","",SUMIFS(应付明细账龄!$K$4:$K$213,应付明细账龄!$C$4:$C$213,A29,应付明细账龄!$M$4:$M$213,"逾期61-90天"))</f>
        <v/>
      </c>
      <c r="K29" s="17" t="str">
        <f>IF(A29="","",SUMIFS(应付明细账龄!$K$4:$K$213,应付明细账龄!$C$4:$C$213,A29,应付明细账龄!$M$4:$M$213,"逾期90天以上"))</f>
        <v/>
      </c>
      <c r="L29" s="17" t="str">
        <f t="shared" si="1"/>
        <v/>
      </c>
      <c r="M29" t="str">
        <f t="shared" si="2"/>
        <v/>
      </c>
      <c r="N29" t="str">
        <f>IF(A29="","",IFERROR(VLOOKUP(A29,基础资料!$AE$5:$AF$204,2,FALSE),""))</f>
        <v/>
      </c>
    </row>
    <row r="30" spans="1:14">
      <c r="A30" t="str">
        <f>IF(基础资料!AE30="","",基础资料!AE30)</f>
        <v/>
      </c>
      <c r="B30" t="str">
        <f>IF(A30="","",IFERROR(VLOOKUP(A30,基础资料!$AE$5:$AG$204,3,FALSE),0))</f>
        <v/>
      </c>
      <c r="C30" s="17" t="str">
        <f>IF(A30="","",SUMIFS(期初数据!$M$5:$M$14,期初数据!$K$5:$K$14,A30)+SUMIFS(采购录入!$I$4:$I$203,采购录入!$C$4:$C$203,A30,采购录入!$A$4:$A$203,"&lt;"&amp;EOMONTH($B$2,-1)+1)-SUMIFS(资金流水!$K$4:$K$203,资金流水!$F$4:$F$203,A30,资金流水!$D$4:$D$203,"供应商付款",资金流水!$A$4:$A$203,"&lt;"&amp;EOMONTH($B$2,-1)+1))</f>
        <v/>
      </c>
      <c r="D30" s="17" t="str">
        <f>IF(A30="","",SUMIFS(采购录入!$I$4:$I$203,采购录入!$C$4:$C$203,A30,采购录入!$B$4:$B$203,TEXT($B$2,"yyyy-mm")))</f>
        <v/>
      </c>
      <c r="E30" s="17" t="str">
        <f>IF(A30="","",SUMIFS(资金流水!$K$4:$K$203,资金流水!$F$4:$F$203,A30,资金流水!$D$4:$D$203,"供应商付款",资金流水!$B$4:$B$203,TEXT($B$2,"yyyy-mm")))</f>
        <v/>
      </c>
      <c r="F30" s="17" t="str">
        <f>IF(A30="","",SUMIFS(应付明细账龄!$K$4:$K$213,应付明细账龄!$C$4:$C$213,A30))</f>
        <v/>
      </c>
      <c r="G30" s="17" t="str">
        <f>IF(A30="","",SUMIFS(应付明细账龄!$K$4:$K$213,应付明细账龄!$C$4:$C$213,A30,应付明细账龄!$M$4:$M$213,"未来30天到期"))</f>
        <v/>
      </c>
      <c r="H30" s="17" t="str">
        <f>IF(A30="","",SUMIFS(应付明细账龄!$K$4:$K$213,应付明细账龄!$C$4:$C$213,A30,应付明细账龄!$M$4:$M$213,"逾期1-30天"))</f>
        <v/>
      </c>
      <c r="I30" s="17" t="str">
        <f>IF(A30="","",SUMIFS(应付明细账龄!$K$4:$K$213,应付明细账龄!$C$4:$C$213,A30,应付明细账龄!$M$4:$M$213,"逾期31-60天"))</f>
        <v/>
      </c>
      <c r="J30" s="17" t="str">
        <f>IF(A30="","",SUMIFS(应付明细账龄!$K$4:$K$213,应付明细账龄!$C$4:$C$213,A30,应付明细账龄!$M$4:$M$213,"逾期61-90天"))</f>
        <v/>
      </c>
      <c r="K30" s="17" t="str">
        <f>IF(A30="","",SUMIFS(应付明细账龄!$K$4:$K$213,应付明细账龄!$C$4:$C$213,A30,应付明细账龄!$M$4:$M$213,"逾期90天以上"))</f>
        <v/>
      </c>
      <c r="L30" s="17" t="str">
        <f t="shared" si="1"/>
        <v/>
      </c>
      <c r="M30" t="str">
        <f t="shared" si="2"/>
        <v/>
      </c>
      <c r="N30" t="str">
        <f>IF(A30="","",IFERROR(VLOOKUP(A30,基础资料!$AE$5:$AF$204,2,FALSE),""))</f>
        <v/>
      </c>
    </row>
    <row r="31" spans="1:14">
      <c r="A31" t="str">
        <f>IF(基础资料!AE31="","",基础资料!AE31)</f>
        <v/>
      </c>
      <c r="B31" t="str">
        <f>IF(A31="","",IFERROR(VLOOKUP(A31,基础资料!$AE$5:$AG$204,3,FALSE),0))</f>
        <v/>
      </c>
      <c r="C31" s="17" t="str">
        <f>IF(A31="","",SUMIFS(期初数据!$M$5:$M$14,期初数据!$K$5:$K$14,A31)+SUMIFS(采购录入!$I$4:$I$203,采购录入!$C$4:$C$203,A31,采购录入!$A$4:$A$203,"&lt;"&amp;EOMONTH($B$2,-1)+1)-SUMIFS(资金流水!$K$4:$K$203,资金流水!$F$4:$F$203,A31,资金流水!$D$4:$D$203,"供应商付款",资金流水!$A$4:$A$203,"&lt;"&amp;EOMONTH($B$2,-1)+1))</f>
        <v/>
      </c>
      <c r="D31" s="17" t="str">
        <f>IF(A31="","",SUMIFS(采购录入!$I$4:$I$203,采购录入!$C$4:$C$203,A31,采购录入!$B$4:$B$203,TEXT($B$2,"yyyy-mm")))</f>
        <v/>
      </c>
      <c r="E31" s="17" t="str">
        <f>IF(A31="","",SUMIFS(资金流水!$K$4:$K$203,资金流水!$F$4:$F$203,A31,资金流水!$D$4:$D$203,"供应商付款",资金流水!$B$4:$B$203,TEXT($B$2,"yyyy-mm")))</f>
        <v/>
      </c>
      <c r="F31" s="17" t="str">
        <f>IF(A31="","",SUMIFS(应付明细账龄!$K$4:$K$213,应付明细账龄!$C$4:$C$213,A31))</f>
        <v/>
      </c>
      <c r="G31" s="17" t="str">
        <f>IF(A31="","",SUMIFS(应付明细账龄!$K$4:$K$213,应付明细账龄!$C$4:$C$213,A31,应付明细账龄!$M$4:$M$213,"未来30天到期"))</f>
        <v/>
      </c>
      <c r="H31" s="17" t="str">
        <f>IF(A31="","",SUMIFS(应付明细账龄!$K$4:$K$213,应付明细账龄!$C$4:$C$213,A31,应付明细账龄!$M$4:$M$213,"逾期1-30天"))</f>
        <v/>
      </c>
      <c r="I31" s="17" t="str">
        <f>IF(A31="","",SUMIFS(应付明细账龄!$K$4:$K$213,应付明细账龄!$C$4:$C$213,A31,应付明细账龄!$M$4:$M$213,"逾期31-60天"))</f>
        <v/>
      </c>
      <c r="J31" s="17" t="str">
        <f>IF(A31="","",SUMIFS(应付明细账龄!$K$4:$K$213,应付明细账龄!$C$4:$C$213,A31,应付明细账龄!$M$4:$M$213,"逾期61-90天"))</f>
        <v/>
      </c>
      <c r="K31" s="17" t="str">
        <f>IF(A31="","",SUMIFS(应付明细账龄!$K$4:$K$213,应付明细账龄!$C$4:$C$213,A31,应付明细账龄!$M$4:$M$213,"逾期90天以上"))</f>
        <v/>
      </c>
      <c r="L31" s="17" t="str">
        <f t="shared" si="1"/>
        <v/>
      </c>
      <c r="M31" t="str">
        <f t="shared" si="2"/>
        <v/>
      </c>
      <c r="N31" t="str">
        <f>IF(A31="","",IFERROR(VLOOKUP(A31,基础资料!$AE$5:$AF$204,2,FALSE),""))</f>
        <v/>
      </c>
    </row>
    <row r="32" spans="1:14">
      <c r="A32" t="str">
        <f>IF(基础资料!AE32="","",基础资料!AE32)</f>
        <v/>
      </c>
      <c r="B32" t="str">
        <f>IF(A32="","",IFERROR(VLOOKUP(A32,基础资料!$AE$5:$AG$204,3,FALSE),0))</f>
        <v/>
      </c>
      <c r="C32" s="17" t="str">
        <f>IF(A32="","",SUMIFS(期初数据!$M$5:$M$14,期初数据!$K$5:$K$14,A32)+SUMIFS(采购录入!$I$4:$I$203,采购录入!$C$4:$C$203,A32,采购录入!$A$4:$A$203,"&lt;"&amp;EOMONTH($B$2,-1)+1)-SUMIFS(资金流水!$K$4:$K$203,资金流水!$F$4:$F$203,A32,资金流水!$D$4:$D$203,"供应商付款",资金流水!$A$4:$A$203,"&lt;"&amp;EOMONTH($B$2,-1)+1))</f>
        <v/>
      </c>
      <c r="D32" s="17" t="str">
        <f>IF(A32="","",SUMIFS(采购录入!$I$4:$I$203,采购录入!$C$4:$C$203,A32,采购录入!$B$4:$B$203,TEXT($B$2,"yyyy-mm")))</f>
        <v/>
      </c>
      <c r="E32" s="17" t="str">
        <f>IF(A32="","",SUMIFS(资金流水!$K$4:$K$203,资金流水!$F$4:$F$203,A32,资金流水!$D$4:$D$203,"供应商付款",资金流水!$B$4:$B$203,TEXT($B$2,"yyyy-mm")))</f>
        <v/>
      </c>
      <c r="F32" s="17" t="str">
        <f>IF(A32="","",SUMIFS(应付明细账龄!$K$4:$K$213,应付明细账龄!$C$4:$C$213,A32))</f>
        <v/>
      </c>
      <c r="G32" s="17" t="str">
        <f>IF(A32="","",SUMIFS(应付明细账龄!$K$4:$K$213,应付明细账龄!$C$4:$C$213,A32,应付明细账龄!$M$4:$M$213,"未来30天到期"))</f>
        <v/>
      </c>
      <c r="H32" s="17" t="str">
        <f>IF(A32="","",SUMIFS(应付明细账龄!$K$4:$K$213,应付明细账龄!$C$4:$C$213,A32,应付明细账龄!$M$4:$M$213,"逾期1-30天"))</f>
        <v/>
      </c>
      <c r="I32" s="17" t="str">
        <f>IF(A32="","",SUMIFS(应付明细账龄!$K$4:$K$213,应付明细账龄!$C$4:$C$213,A32,应付明细账龄!$M$4:$M$213,"逾期31-60天"))</f>
        <v/>
      </c>
      <c r="J32" s="17" t="str">
        <f>IF(A32="","",SUMIFS(应付明细账龄!$K$4:$K$213,应付明细账龄!$C$4:$C$213,A32,应付明细账龄!$M$4:$M$213,"逾期61-90天"))</f>
        <v/>
      </c>
      <c r="K32" s="17" t="str">
        <f>IF(A32="","",SUMIFS(应付明细账龄!$K$4:$K$213,应付明细账龄!$C$4:$C$213,A32,应付明细账龄!$M$4:$M$213,"逾期90天以上"))</f>
        <v/>
      </c>
      <c r="L32" s="17" t="str">
        <f t="shared" si="1"/>
        <v/>
      </c>
      <c r="M32" t="str">
        <f t="shared" si="2"/>
        <v/>
      </c>
      <c r="N32" t="str">
        <f>IF(A32="","",IFERROR(VLOOKUP(A32,基础资料!$AE$5:$AF$204,2,FALSE),""))</f>
        <v/>
      </c>
    </row>
    <row r="33" spans="1:14">
      <c r="A33" t="str">
        <f>IF(基础资料!AE33="","",基础资料!AE33)</f>
        <v/>
      </c>
      <c r="B33" t="str">
        <f>IF(A33="","",IFERROR(VLOOKUP(A33,基础资料!$AE$5:$AG$204,3,FALSE),0))</f>
        <v/>
      </c>
      <c r="C33" s="17" t="str">
        <f>IF(A33="","",SUMIFS(期初数据!$M$5:$M$14,期初数据!$K$5:$K$14,A33)+SUMIFS(采购录入!$I$4:$I$203,采购录入!$C$4:$C$203,A33,采购录入!$A$4:$A$203,"&lt;"&amp;EOMONTH($B$2,-1)+1)-SUMIFS(资金流水!$K$4:$K$203,资金流水!$F$4:$F$203,A33,资金流水!$D$4:$D$203,"供应商付款",资金流水!$A$4:$A$203,"&lt;"&amp;EOMONTH($B$2,-1)+1))</f>
        <v/>
      </c>
      <c r="D33" s="17" t="str">
        <f>IF(A33="","",SUMIFS(采购录入!$I$4:$I$203,采购录入!$C$4:$C$203,A33,采购录入!$B$4:$B$203,TEXT($B$2,"yyyy-mm")))</f>
        <v/>
      </c>
      <c r="E33" s="17" t="str">
        <f>IF(A33="","",SUMIFS(资金流水!$K$4:$K$203,资金流水!$F$4:$F$203,A33,资金流水!$D$4:$D$203,"供应商付款",资金流水!$B$4:$B$203,TEXT($B$2,"yyyy-mm")))</f>
        <v/>
      </c>
      <c r="F33" s="17" t="str">
        <f>IF(A33="","",SUMIFS(应付明细账龄!$K$4:$K$213,应付明细账龄!$C$4:$C$213,A33))</f>
        <v/>
      </c>
      <c r="G33" s="17" t="str">
        <f>IF(A33="","",SUMIFS(应付明细账龄!$K$4:$K$213,应付明细账龄!$C$4:$C$213,A33,应付明细账龄!$M$4:$M$213,"未来30天到期"))</f>
        <v/>
      </c>
      <c r="H33" s="17" t="str">
        <f>IF(A33="","",SUMIFS(应付明细账龄!$K$4:$K$213,应付明细账龄!$C$4:$C$213,A33,应付明细账龄!$M$4:$M$213,"逾期1-30天"))</f>
        <v/>
      </c>
      <c r="I33" s="17" t="str">
        <f>IF(A33="","",SUMIFS(应付明细账龄!$K$4:$K$213,应付明细账龄!$C$4:$C$213,A33,应付明细账龄!$M$4:$M$213,"逾期31-60天"))</f>
        <v/>
      </c>
      <c r="J33" s="17" t="str">
        <f>IF(A33="","",SUMIFS(应付明细账龄!$K$4:$K$213,应付明细账龄!$C$4:$C$213,A33,应付明细账龄!$M$4:$M$213,"逾期61-90天"))</f>
        <v/>
      </c>
      <c r="K33" s="17" t="str">
        <f>IF(A33="","",SUMIFS(应付明细账龄!$K$4:$K$213,应付明细账龄!$C$4:$C$213,A33,应付明细账龄!$M$4:$M$213,"逾期90天以上"))</f>
        <v/>
      </c>
      <c r="L33" s="17" t="str">
        <f t="shared" si="1"/>
        <v/>
      </c>
      <c r="M33" t="str">
        <f t="shared" si="2"/>
        <v/>
      </c>
      <c r="N33" t="str">
        <f>IF(A33="","",IFERROR(VLOOKUP(A33,基础资料!$AE$5:$AF$204,2,FALSE),""))</f>
        <v/>
      </c>
    </row>
    <row r="34" spans="1:14">
      <c r="A34" t="str">
        <f>IF(基础资料!AE34="","",基础资料!AE34)</f>
        <v/>
      </c>
      <c r="B34" t="str">
        <f>IF(A34="","",IFERROR(VLOOKUP(A34,基础资料!$AE$5:$AG$204,3,FALSE),0))</f>
        <v/>
      </c>
      <c r="C34" s="17" t="str">
        <f>IF(A34="","",SUMIFS(期初数据!$M$5:$M$14,期初数据!$K$5:$K$14,A34)+SUMIFS(采购录入!$I$4:$I$203,采购录入!$C$4:$C$203,A34,采购录入!$A$4:$A$203,"&lt;"&amp;EOMONTH($B$2,-1)+1)-SUMIFS(资金流水!$K$4:$K$203,资金流水!$F$4:$F$203,A34,资金流水!$D$4:$D$203,"供应商付款",资金流水!$A$4:$A$203,"&lt;"&amp;EOMONTH($B$2,-1)+1))</f>
        <v/>
      </c>
      <c r="D34" s="17" t="str">
        <f>IF(A34="","",SUMIFS(采购录入!$I$4:$I$203,采购录入!$C$4:$C$203,A34,采购录入!$B$4:$B$203,TEXT($B$2,"yyyy-mm")))</f>
        <v/>
      </c>
      <c r="E34" s="17" t="str">
        <f>IF(A34="","",SUMIFS(资金流水!$K$4:$K$203,资金流水!$F$4:$F$203,A34,资金流水!$D$4:$D$203,"供应商付款",资金流水!$B$4:$B$203,TEXT($B$2,"yyyy-mm")))</f>
        <v/>
      </c>
      <c r="F34" s="17" t="str">
        <f>IF(A34="","",SUMIFS(应付明细账龄!$K$4:$K$213,应付明细账龄!$C$4:$C$213,A34))</f>
        <v/>
      </c>
      <c r="G34" s="17" t="str">
        <f>IF(A34="","",SUMIFS(应付明细账龄!$K$4:$K$213,应付明细账龄!$C$4:$C$213,A34,应付明细账龄!$M$4:$M$213,"未来30天到期"))</f>
        <v/>
      </c>
      <c r="H34" s="17" t="str">
        <f>IF(A34="","",SUMIFS(应付明细账龄!$K$4:$K$213,应付明细账龄!$C$4:$C$213,A34,应付明细账龄!$M$4:$M$213,"逾期1-30天"))</f>
        <v/>
      </c>
      <c r="I34" s="17" t="str">
        <f>IF(A34="","",SUMIFS(应付明细账龄!$K$4:$K$213,应付明细账龄!$C$4:$C$213,A34,应付明细账龄!$M$4:$M$213,"逾期31-60天"))</f>
        <v/>
      </c>
      <c r="J34" s="17" t="str">
        <f>IF(A34="","",SUMIFS(应付明细账龄!$K$4:$K$213,应付明细账龄!$C$4:$C$213,A34,应付明细账龄!$M$4:$M$213,"逾期61-90天"))</f>
        <v/>
      </c>
      <c r="K34" s="17" t="str">
        <f>IF(A34="","",SUMIFS(应付明细账龄!$K$4:$K$213,应付明细账龄!$C$4:$C$213,A34,应付明细账龄!$M$4:$M$213,"逾期90天以上"))</f>
        <v/>
      </c>
      <c r="L34" s="17" t="str">
        <f t="shared" si="1"/>
        <v/>
      </c>
      <c r="M34" t="str">
        <f t="shared" si="2"/>
        <v/>
      </c>
      <c r="N34" t="str">
        <f>IF(A34="","",IFERROR(VLOOKUP(A34,基础资料!$AE$5:$AF$204,2,FALSE),""))</f>
        <v/>
      </c>
    </row>
    <row r="35" spans="1:14">
      <c r="A35" t="str">
        <f>IF(基础资料!AE35="","",基础资料!AE35)</f>
        <v/>
      </c>
      <c r="B35" t="str">
        <f>IF(A35="","",IFERROR(VLOOKUP(A35,基础资料!$AE$5:$AG$204,3,FALSE),0))</f>
        <v/>
      </c>
      <c r="C35" s="17" t="str">
        <f>IF(A35="","",SUMIFS(期初数据!$M$5:$M$14,期初数据!$K$5:$K$14,A35)+SUMIFS(采购录入!$I$4:$I$203,采购录入!$C$4:$C$203,A35,采购录入!$A$4:$A$203,"&lt;"&amp;EOMONTH($B$2,-1)+1)-SUMIFS(资金流水!$K$4:$K$203,资金流水!$F$4:$F$203,A35,资金流水!$D$4:$D$203,"供应商付款",资金流水!$A$4:$A$203,"&lt;"&amp;EOMONTH($B$2,-1)+1))</f>
        <v/>
      </c>
      <c r="D35" s="17" t="str">
        <f>IF(A35="","",SUMIFS(采购录入!$I$4:$I$203,采购录入!$C$4:$C$203,A35,采购录入!$B$4:$B$203,TEXT($B$2,"yyyy-mm")))</f>
        <v/>
      </c>
      <c r="E35" s="17" t="str">
        <f>IF(A35="","",SUMIFS(资金流水!$K$4:$K$203,资金流水!$F$4:$F$203,A35,资金流水!$D$4:$D$203,"供应商付款",资金流水!$B$4:$B$203,TEXT($B$2,"yyyy-mm")))</f>
        <v/>
      </c>
      <c r="F35" s="17" t="str">
        <f>IF(A35="","",SUMIFS(应付明细账龄!$K$4:$K$213,应付明细账龄!$C$4:$C$213,A35))</f>
        <v/>
      </c>
      <c r="G35" s="17" t="str">
        <f>IF(A35="","",SUMIFS(应付明细账龄!$K$4:$K$213,应付明细账龄!$C$4:$C$213,A35,应付明细账龄!$M$4:$M$213,"未来30天到期"))</f>
        <v/>
      </c>
      <c r="H35" s="17" t="str">
        <f>IF(A35="","",SUMIFS(应付明细账龄!$K$4:$K$213,应付明细账龄!$C$4:$C$213,A35,应付明细账龄!$M$4:$M$213,"逾期1-30天"))</f>
        <v/>
      </c>
      <c r="I35" s="17" t="str">
        <f>IF(A35="","",SUMIFS(应付明细账龄!$K$4:$K$213,应付明细账龄!$C$4:$C$213,A35,应付明细账龄!$M$4:$M$213,"逾期31-60天"))</f>
        <v/>
      </c>
      <c r="J35" s="17" t="str">
        <f>IF(A35="","",SUMIFS(应付明细账龄!$K$4:$K$213,应付明细账龄!$C$4:$C$213,A35,应付明细账龄!$M$4:$M$213,"逾期61-90天"))</f>
        <v/>
      </c>
      <c r="K35" s="17" t="str">
        <f>IF(A35="","",SUMIFS(应付明细账龄!$K$4:$K$213,应付明细账龄!$C$4:$C$213,A35,应付明细账龄!$M$4:$M$213,"逾期90天以上"))</f>
        <v/>
      </c>
      <c r="L35" s="17" t="str">
        <f t="shared" si="1"/>
        <v/>
      </c>
      <c r="M35" t="str">
        <f t="shared" si="2"/>
        <v/>
      </c>
      <c r="N35" t="str">
        <f>IF(A35="","",IFERROR(VLOOKUP(A35,基础资料!$AE$5:$AF$204,2,FALSE),""))</f>
        <v/>
      </c>
    </row>
    <row r="36" spans="1:14">
      <c r="A36" t="str">
        <f>IF(基础资料!AE36="","",基础资料!AE36)</f>
        <v/>
      </c>
      <c r="B36" t="str">
        <f>IF(A36="","",IFERROR(VLOOKUP(A36,基础资料!$AE$5:$AG$204,3,FALSE),0))</f>
        <v/>
      </c>
      <c r="C36" s="17" t="str">
        <f>IF(A36="","",SUMIFS(期初数据!$M$5:$M$14,期初数据!$K$5:$K$14,A36)+SUMIFS(采购录入!$I$4:$I$203,采购录入!$C$4:$C$203,A36,采购录入!$A$4:$A$203,"&lt;"&amp;EOMONTH($B$2,-1)+1)-SUMIFS(资金流水!$K$4:$K$203,资金流水!$F$4:$F$203,A36,资金流水!$D$4:$D$203,"供应商付款",资金流水!$A$4:$A$203,"&lt;"&amp;EOMONTH($B$2,-1)+1))</f>
        <v/>
      </c>
      <c r="D36" s="17" t="str">
        <f>IF(A36="","",SUMIFS(采购录入!$I$4:$I$203,采购录入!$C$4:$C$203,A36,采购录入!$B$4:$B$203,TEXT($B$2,"yyyy-mm")))</f>
        <v/>
      </c>
      <c r="E36" s="17" t="str">
        <f>IF(A36="","",SUMIFS(资金流水!$K$4:$K$203,资金流水!$F$4:$F$203,A36,资金流水!$D$4:$D$203,"供应商付款",资金流水!$B$4:$B$203,TEXT($B$2,"yyyy-mm")))</f>
        <v/>
      </c>
      <c r="F36" s="17" t="str">
        <f>IF(A36="","",SUMIFS(应付明细账龄!$K$4:$K$213,应付明细账龄!$C$4:$C$213,A36))</f>
        <v/>
      </c>
      <c r="G36" s="17" t="str">
        <f>IF(A36="","",SUMIFS(应付明细账龄!$K$4:$K$213,应付明细账龄!$C$4:$C$213,A36,应付明细账龄!$M$4:$M$213,"未来30天到期"))</f>
        <v/>
      </c>
      <c r="H36" s="17" t="str">
        <f>IF(A36="","",SUMIFS(应付明细账龄!$K$4:$K$213,应付明细账龄!$C$4:$C$213,A36,应付明细账龄!$M$4:$M$213,"逾期1-30天"))</f>
        <v/>
      </c>
      <c r="I36" s="17" t="str">
        <f>IF(A36="","",SUMIFS(应付明细账龄!$K$4:$K$213,应付明细账龄!$C$4:$C$213,A36,应付明细账龄!$M$4:$M$213,"逾期31-60天"))</f>
        <v/>
      </c>
      <c r="J36" s="17" t="str">
        <f>IF(A36="","",SUMIFS(应付明细账龄!$K$4:$K$213,应付明细账龄!$C$4:$C$213,A36,应付明细账龄!$M$4:$M$213,"逾期61-90天"))</f>
        <v/>
      </c>
      <c r="K36" s="17" t="str">
        <f>IF(A36="","",SUMIFS(应付明细账龄!$K$4:$K$213,应付明细账龄!$C$4:$C$213,A36,应付明细账龄!$M$4:$M$213,"逾期90天以上"))</f>
        <v/>
      </c>
      <c r="L36" s="17" t="str">
        <f t="shared" si="1"/>
        <v/>
      </c>
      <c r="M36" t="str">
        <f t="shared" si="2"/>
        <v/>
      </c>
      <c r="N36" t="str">
        <f>IF(A36="","",IFERROR(VLOOKUP(A36,基础资料!$AE$5:$AF$204,2,FALSE),""))</f>
        <v/>
      </c>
    </row>
    <row r="37" spans="1:14">
      <c r="A37" t="str">
        <f>IF(基础资料!AE37="","",基础资料!AE37)</f>
        <v/>
      </c>
      <c r="B37" t="str">
        <f>IF(A37="","",IFERROR(VLOOKUP(A37,基础资料!$AE$5:$AG$204,3,FALSE),0))</f>
        <v/>
      </c>
      <c r="C37" s="17" t="str">
        <f>IF(A37="","",SUMIFS(期初数据!$M$5:$M$14,期初数据!$K$5:$K$14,A37)+SUMIFS(采购录入!$I$4:$I$203,采购录入!$C$4:$C$203,A37,采购录入!$A$4:$A$203,"&lt;"&amp;EOMONTH($B$2,-1)+1)-SUMIFS(资金流水!$K$4:$K$203,资金流水!$F$4:$F$203,A37,资金流水!$D$4:$D$203,"供应商付款",资金流水!$A$4:$A$203,"&lt;"&amp;EOMONTH($B$2,-1)+1))</f>
        <v/>
      </c>
      <c r="D37" s="17" t="str">
        <f>IF(A37="","",SUMIFS(采购录入!$I$4:$I$203,采购录入!$C$4:$C$203,A37,采购录入!$B$4:$B$203,TEXT($B$2,"yyyy-mm")))</f>
        <v/>
      </c>
      <c r="E37" s="17" t="str">
        <f>IF(A37="","",SUMIFS(资金流水!$K$4:$K$203,资金流水!$F$4:$F$203,A37,资金流水!$D$4:$D$203,"供应商付款",资金流水!$B$4:$B$203,TEXT($B$2,"yyyy-mm")))</f>
        <v/>
      </c>
      <c r="F37" s="17" t="str">
        <f>IF(A37="","",SUMIFS(应付明细账龄!$K$4:$K$213,应付明细账龄!$C$4:$C$213,A37))</f>
        <v/>
      </c>
      <c r="G37" s="17" t="str">
        <f>IF(A37="","",SUMIFS(应付明细账龄!$K$4:$K$213,应付明细账龄!$C$4:$C$213,A37,应付明细账龄!$M$4:$M$213,"未来30天到期"))</f>
        <v/>
      </c>
      <c r="H37" s="17" t="str">
        <f>IF(A37="","",SUMIFS(应付明细账龄!$K$4:$K$213,应付明细账龄!$C$4:$C$213,A37,应付明细账龄!$M$4:$M$213,"逾期1-30天"))</f>
        <v/>
      </c>
      <c r="I37" s="17" t="str">
        <f>IF(A37="","",SUMIFS(应付明细账龄!$K$4:$K$213,应付明细账龄!$C$4:$C$213,A37,应付明细账龄!$M$4:$M$213,"逾期31-60天"))</f>
        <v/>
      </c>
      <c r="J37" s="17" t="str">
        <f>IF(A37="","",SUMIFS(应付明细账龄!$K$4:$K$213,应付明细账龄!$C$4:$C$213,A37,应付明细账龄!$M$4:$M$213,"逾期61-90天"))</f>
        <v/>
      </c>
      <c r="K37" s="17" t="str">
        <f>IF(A37="","",SUMIFS(应付明细账龄!$K$4:$K$213,应付明细账龄!$C$4:$C$213,A37,应付明细账龄!$M$4:$M$213,"逾期90天以上"))</f>
        <v/>
      </c>
      <c r="L37" s="17" t="str">
        <f t="shared" si="1"/>
        <v/>
      </c>
      <c r="M37" t="str">
        <f t="shared" si="2"/>
        <v/>
      </c>
      <c r="N37" t="str">
        <f>IF(A37="","",IFERROR(VLOOKUP(A37,基础资料!$AE$5:$AF$204,2,FALSE),""))</f>
        <v/>
      </c>
    </row>
    <row r="38" spans="1:14">
      <c r="A38" t="str">
        <f>IF(基础资料!AE38="","",基础资料!AE38)</f>
        <v/>
      </c>
      <c r="B38" t="str">
        <f>IF(A38="","",IFERROR(VLOOKUP(A38,基础资料!$AE$5:$AG$204,3,FALSE),0))</f>
        <v/>
      </c>
      <c r="C38" s="17" t="str">
        <f>IF(A38="","",SUMIFS(期初数据!$M$5:$M$14,期初数据!$K$5:$K$14,A38)+SUMIFS(采购录入!$I$4:$I$203,采购录入!$C$4:$C$203,A38,采购录入!$A$4:$A$203,"&lt;"&amp;EOMONTH($B$2,-1)+1)-SUMIFS(资金流水!$K$4:$K$203,资金流水!$F$4:$F$203,A38,资金流水!$D$4:$D$203,"供应商付款",资金流水!$A$4:$A$203,"&lt;"&amp;EOMONTH($B$2,-1)+1))</f>
        <v/>
      </c>
      <c r="D38" s="17" t="str">
        <f>IF(A38="","",SUMIFS(采购录入!$I$4:$I$203,采购录入!$C$4:$C$203,A38,采购录入!$B$4:$B$203,TEXT($B$2,"yyyy-mm")))</f>
        <v/>
      </c>
      <c r="E38" s="17" t="str">
        <f>IF(A38="","",SUMIFS(资金流水!$K$4:$K$203,资金流水!$F$4:$F$203,A38,资金流水!$D$4:$D$203,"供应商付款",资金流水!$B$4:$B$203,TEXT($B$2,"yyyy-mm")))</f>
        <v/>
      </c>
      <c r="F38" s="17" t="str">
        <f>IF(A38="","",SUMIFS(应付明细账龄!$K$4:$K$213,应付明细账龄!$C$4:$C$213,A38))</f>
        <v/>
      </c>
      <c r="G38" s="17" t="str">
        <f>IF(A38="","",SUMIFS(应付明细账龄!$K$4:$K$213,应付明细账龄!$C$4:$C$213,A38,应付明细账龄!$M$4:$M$213,"未来30天到期"))</f>
        <v/>
      </c>
      <c r="H38" s="17" t="str">
        <f>IF(A38="","",SUMIFS(应付明细账龄!$K$4:$K$213,应付明细账龄!$C$4:$C$213,A38,应付明细账龄!$M$4:$M$213,"逾期1-30天"))</f>
        <v/>
      </c>
      <c r="I38" s="17" t="str">
        <f>IF(A38="","",SUMIFS(应付明细账龄!$K$4:$K$213,应付明细账龄!$C$4:$C$213,A38,应付明细账龄!$M$4:$M$213,"逾期31-60天"))</f>
        <v/>
      </c>
      <c r="J38" s="17" t="str">
        <f>IF(A38="","",SUMIFS(应付明细账龄!$K$4:$K$213,应付明细账龄!$C$4:$C$213,A38,应付明细账龄!$M$4:$M$213,"逾期61-90天"))</f>
        <v/>
      </c>
      <c r="K38" s="17" t="str">
        <f>IF(A38="","",SUMIFS(应付明细账龄!$K$4:$K$213,应付明细账龄!$C$4:$C$213,A38,应付明细账龄!$M$4:$M$213,"逾期90天以上"))</f>
        <v/>
      </c>
      <c r="L38" s="17" t="str">
        <f t="shared" si="1"/>
        <v/>
      </c>
      <c r="M38" t="str">
        <f t="shared" si="2"/>
        <v/>
      </c>
      <c r="N38" t="str">
        <f>IF(A38="","",IFERROR(VLOOKUP(A38,基础资料!$AE$5:$AF$204,2,FALSE),""))</f>
        <v/>
      </c>
    </row>
    <row r="39" spans="1:14">
      <c r="A39" t="str">
        <f>IF(基础资料!AE39="","",基础资料!AE39)</f>
        <v/>
      </c>
      <c r="B39" t="str">
        <f>IF(A39="","",IFERROR(VLOOKUP(A39,基础资料!$AE$5:$AG$204,3,FALSE),0))</f>
        <v/>
      </c>
      <c r="C39" s="17" t="str">
        <f>IF(A39="","",SUMIFS(期初数据!$M$5:$M$14,期初数据!$K$5:$K$14,A39)+SUMIFS(采购录入!$I$4:$I$203,采购录入!$C$4:$C$203,A39,采购录入!$A$4:$A$203,"&lt;"&amp;EOMONTH($B$2,-1)+1)-SUMIFS(资金流水!$K$4:$K$203,资金流水!$F$4:$F$203,A39,资金流水!$D$4:$D$203,"供应商付款",资金流水!$A$4:$A$203,"&lt;"&amp;EOMONTH($B$2,-1)+1))</f>
        <v/>
      </c>
      <c r="D39" s="17" t="str">
        <f>IF(A39="","",SUMIFS(采购录入!$I$4:$I$203,采购录入!$C$4:$C$203,A39,采购录入!$B$4:$B$203,TEXT($B$2,"yyyy-mm")))</f>
        <v/>
      </c>
      <c r="E39" s="17" t="str">
        <f>IF(A39="","",SUMIFS(资金流水!$K$4:$K$203,资金流水!$F$4:$F$203,A39,资金流水!$D$4:$D$203,"供应商付款",资金流水!$B$4:$B$203,TEXT($B$2,"yyyy-mm")))</f>
        <v/>
      </c>
      <c r="F39" s="17" t="str">
        <f>IF(A39="","",SUMIFS(应付明细账龄!$K$4:$K$213,应付明细账龄!$C$4:$C$213,A39))</f>
        <v/>
      </c>
      <c r="G39" s="17" t="str">
        <f>IF(A39="","",SUMIFS(应付明细账龄!$K$4:$K$213,应付明细账龄!$C$4:$C$213,A39,应付明细账龄!$M$4:$M$213,"未来30天到期"))</f>
        <v/>
      </c>
      <c r="H39" s="17" t="str">
        <f>IF(A39="","",SUMIFS(应付明细账龄!$K$4:$K$213,应付明细账龄!$C$4:$C$213,A39,应付明细账龄!$M$4:$M$213,"逾期1-30天"))</f>
        <v/>
      </c>
      <c r="I39" s="17" t="str">
        <f>IF(A39="","",SUMIFS(应付明细账龄!$K$4:$K$213,应付明细账龄!$C$4:$C$213,A39,应付明细账龄!$M$4:$M$213,"逾期31-60天"))</f>
        <v/>
      </c>
      <c r="J39" s="17" t="str">
        <f>IF(A39="","",SUMIFS(应付明细账龄!$K$4:$K$213,应付明细账龄!$C$4:$C$213,A39,应付明细账龄!$M$4:$M$213,"逾期61-90天"))</f>
        <v/>
      </c>
      <c r="K39" s="17" t="str">
        <f>IF(A39="","",SUMIFS(应付明细账龄!$K$4:$K$213,应付明细账龄!$C$4:$C$213,A39,应付明细账龄!$M$4:$M$213,"逾期90天以上"))</f>
        <v/>
      </c>
      <c r="L39" s="17" t="str">
        <f t="shared" si="1"/>
        <v/>
      </c>
      <c r="M39" t="str">
        <f t="shared" si="2"/>
        <v/>
      </c>
      <c r="N39" t="str">
        <f>IF(A39="","",IFERROR(VLOOKUP(A39,基础资料!$AE$5:$AF$204,2,FALSE),""))</f>
        <v/>
      </c>
    </row>
    <row r="40" spans="1:14">
      <c r="A40" t="str">
        <f>IF(基础资料!AE40="","",基础资料!AE40)</f>
        <v/>
      </c>
      <c r="B40" t="str">
        <f>IF(A40="","",IFERROR(VLOOKUP(A40,基础资料!$AE$5:$AG$204,3,FALSE),0))</f>
        <v/>
      </c>
      <c r="C40" s="17" t="str">
        <f>IF(A40="","",SUMIFS(期初数据!$M$5:$M$14,期初数据!$K$5:$K$14,A40)+SUMIFS(采购录入!$I$4:$I$203,采购录入!$C$4:$C$203,A40,采购录入!$A$4:$A$203,"&lt;"&amp;EOMONTH($B$2,-1)+1)-SUMIFS(资金流水!$K$4:$K$203,资金流水!$F$4:$F$203,A40,资金流水!$D$4:$D$203,"供应商付款",资金流水!$A$4:$A$203,"&lt;"&amp;EOMONTH($B$2,-1)+1))</f>
        <v/>
      </c>
      <c r="D40" s="17" t="str">
        <f>IF(A40="","",SUMIFS(采购录入!$I$4:$I$203,采购录入!$C$4:$C$203,A40,采购录入!$B$4:$B$203,TEXT($B$2,"yyyy-mm")))</f>
        <v/>
      </c>
      <c r="E40" s="17" t="str">
        <f>IF(A40="","",SUMIFS(资金流水!$K$4:$K$203,资金流水!$F$4:$F$203,A40,资金流水!$D$4:$D$203,"供应商付款",资金流水!$B$4:$B$203,TEXT($B$2,"yyyy-mm")))</f>
        <v/>
      </c>
      <c r="F40" s="17" t="str">
        <f>IF(A40="","",SUMIFS(应付明细账龄!$K$4:$K$213,应付明细账龄!$C$4:$C$213,A40))</f>
        <v/>
      </c>
      <c r="G40" s="17" t="str">
        <f>IF(A40="","",SUMIFS(应付明细账龄!$K$4:$K$213,应付明细账龄!$C$4:$C$213,A40,应付明细账龄!$M$4:$M$213,"未来30天到期"))</f>
        <v/>
      </c>
      <c r="H40" s="17" t="str">
        <f>IF(A40="","",SUMIFS(应付明细账龄!$K$4:$K$213,应付明细账龄!$C$4:$C$213,A40,应付明细账龄!$M$4:$M$213,"逾期1-30天"))</f>
        <v/>
      </c>
      <c r="I40" s="17" t="str">
        <f>IF(A40="","",SUMIFS(应付明细账龄!$K$4:$K$213,应付明细账龄!$C$4:$C$213,A40,应付明细账龄!$M$4:$M$213,"逾期31-60天"))</f>
        <v/>
      </c>
      <c r="J40" s="17" t="str">
        <f>IF(A40="","",SUMIFS(应付明细账龄!$K$4:$K$213,应付明细账龄!$C$4:$C$213,A40,应付明细账龄!$M$4:$M$213,"逾期61-90天"))</f>
        <v/>
      </c>
      <c r="K40" s="17" t="str">
        <f>IF(A40="","",SUMIFS(应付明细账龄!$K$4:$K$213,应付明细账龄!$C$4:$C$213,A40,应付明细账龄!$M$4:$M$213,"逾期90天以上"))</f>
        <v/>
      </c>
      <c r="L40" s="17" t="str">
        <f t="shared" si="1"/>
        <v/>
      </c>
      <c r="M40" t="str">
        <f t="shared" si="2"/>
        <v/>
      </c>
      <c r="N40" t="str">
        <f>IF(A40="","",IFERROR(VLOOKUP(A40,基础资料!$AE$5:$AF$204,2,FALSE),""))</f>
        <v/>
      </c>
    </row>
    <row r="41" spans="1:14">
      <c r="A41" t="str">
        <f>IF(基础资料!AE41="","",基础资料!AE41)</f>
        <v/>
      </c>
      <c r="B41" t="str">
        <f>IF(A41="","",IFERROR(VLOOKUP(A41,基础资料!$AE$5:$AG$204,3,FALSE),0))</f>
        <v/>
      </c>
      <c r="C41" s="17" t="str">
        <f>IF(A41="","",SUMIFS(期初数据!$M$5:$M$14,期初数据!$K$5:$K$14,A41)+SUMIFS(采购录入!$I$4:$I$203,采购录入!$C$4:$C$203,A41,采购录入!$A$4:$A$203,"&lt;"&amp;EOMONTH($B$2,-1)+1)-SUMIFS(资金流水!$K$4:$K$203,资金流水!$F$4:$F$203,A41,资金流水!$D$4:$D$203,"供应商付款",资金流水!$A$4:$A$203,"&lt;"&amp;EOMONTH($B$2,-1)+1))</f>
        <v/>
      </c>
      <c r="D41" s="17" t="str">
        <f>IF(A41="","",SUMIFS(采购录入!$I$4:$I$203,采购录入!$C$4:$C$203,A41,采购录入!$B$4:$B$203,TEXT($B$2,"yyyy-mm")))</f>
        <v/>
      </c>
      <c r="E41" s="17" t="str">
        <f>IF(A41="","",SUMIFS(资金流水!$K$4:$K$203,资金流水!$F$4:$F$203,A41,资金流水!$D$4:$D$203,"供应商付款",资金流水!$B$4:$B$203,TEXT($B$2,"yyyy-mm")))</f>
        <v/>
      </c>
      <c r="F41" s="17" t="str">
        <f>IF(A41="","",SUMIFS(应付明细账龄!$K$4:$K$213,应付明细账龄!$C$4:$C$213,A41))</f>
        <v/>
      </c>
      <c r="G41" s="17" t="str">
        <f>IF(A41="","",SUMIFS(应付明细账龄!$K$4:$K$213,应付明细账龄!$C$4:$C$213,A41,应付明细账龄!$M$4:$M$213,"未来30天到期"))</f>
        <v/>
      </c>
      <c r="H41" s="17" t="str">
        <f>IF(A41="","",SUMIFS(应付明细账龄!$K$4:$K$213,应付明细账龄!$C$4:$C$213,A41,应付明细账龄!$M$4:$M$213,"逾期1-30天"))</f>
        <v/>
      </c>
      <c r="I41" s="17" t="str">
        <f>IF(A41="","",SUMIFS(应付明细账龄!$K$4:$K$213,应付明细账龄!$C$4:$C$213,A41,应付明细账龄!$M$4:$M$213,"逾期31-60天"))</f>
        <v/>
      </c>
      <c r="J41" s="17" t="str">
        <f>IF(A41="","",SUMIFS(应付明细账龄!$K$4:$K$213,应付明细账龄!$C$4:$C$213,A41,应付明细账龄!$M$4:$M$213,"逾期61-90天"))</f>
        <v/>
      </c>
      <c r="K41" s="17" t="str">
        <f>IF(A41="","",SUMIFS(应付明细账龄!$K$4:$K$213,应付明细账龄!$C$4:$C$213,A41,应付明细账龄!$M$4:$M$213,"逾期90天以上"))</f>
        <v/>
      </c>
      <c r="L41" s="17" t="str">
        <f t="shared" si="1"/>
        <v/>
      </c>
      <c r="M41" t="str">
        <f t="shared" si="2"/>
        <v/>
      </c>
      <c r="N41" t="str">
        <f>IF(A41="","",IFERROR(VLOOKUP(A41,基础资料!$AE$5:$AF$204,2,FALSE),""))</f>
        <v/>
      </c>
    </row>
    <row r="42" spans="1:14">
      <c r="A42" t="str">
        <f>IF(基础资料!AE42="","",基础资料!AE42)</f>
        <v/>
      </c>
      <c r="B42" t="str">
        <f>IF(A42="","",IFERROR(VLOOKUP(A42,基础资料!$AE$5:$AG$204,3,FALSE),0))</f>
        <v/>
      </c>
      <c r="C42" s="17" t="str">
        <f>IF(A42="","",SUMIFS(期初数据!$M$5:$M$14,期初数据!$K$5:$K$14,A42)+SUMIFS(采购录入!$I$4:$I$203,采购录入!$C$4:$C$203,A42,采购录入!$A$4:$A$203,"&lt;"&amp;EOMONTH($B$2,-1)+1)-SUMIFS(资金流水!$K$4:$K$203,资金流水!$F$4:$F$203,A42,资金流水!$D$4:$D$203,"供应商付款",资金流水!$A$4:$A$203,"&lt;"&amp;EOMONTH($B$2,-1)+1))</f>
        <v/>
      </c>
      <c r="D42" s="17" t="str">
        <f>IF(A42="","",SUMIFS(采购录入!$I$4:$I$203,采购录入!$C$4:$C$203,A42,采购录入!$B$4:$B$203,TEXT($B$2,"yyyy-mm")))</f>
        <v/>
      </c>
      <c r="E42" s="17" t="str">
        <f>IF(A42="","",SUMIFS(资金流水!$K$4:$K$203,资金流水!$F$4:$F$203,A42,资金流水!$D$4:$D$203,"供应商付款",资金流水!$B$4:$B$203,TEXT($B$2,"yyyy-mm")))</f>
        <v/>
      </c>
      <c r="F42" s="17" t="str">
        <f>IF(A42="","",SUMIFS(应付明细账龄!$K$4:$K$213,应付明细账龄!$C$4:$C$213,A42))</f>
        <v/>
      </c>
      <c r="G42" s="17" t="str">
        <f>IF(A42="","",SUMIFS(应付明细账龄!$K$4:$K$213,应付明细账龄!$C$4:$C$213,A42,应付明细账龄!$M$4:$M$213,"未来30天到期"))</f>
        <v/>
      </c>
      <c r="H42" s="17" t="str">
        <f>IF(A42="","",SUMIFS(应付明细账龄!$K$4:$K$213,应付明细账龄!$C$4:$C$213,A42,应付明细账龄!$M$4:$M$213,"逾期1-30天"))</f>
        <v/>
      </c>
      <c r="I42" s="17" t="str">
        <f>IF(A42="","",SUMIFS(应付明细账龄!$K$4:$K$213,应付明细账龄!$C$4:$C$213,A42,应付明细账龄!$M$4:$M$213,"逾期31-60天"))</f>
        <v/>
      </c>
      <c r="J42" s="17" t="str">
        <f>IF(A42="","",SUMIFS(应付明细账龄!$K$4:$K$213,应付明细账龄!$C$4:$C$213,A42,应付明细账龄!$M$4:$M$213,"逾期61-90天"))</f>
        <v/>
      </c>
      <c r="K42" s="17" t="str">
        <f>IF(A42="","",SUMIFS(应付明细账龄!$K$4:$K$213,应付明细账龄!$C$4:$C$213,A42,应付明细账龄!$M$4:$M$213,"逾期90天以上"))</f>
        <v/>
      </c>
      <c r="L42" s="17" t="str">
        <f t="shared" si="1"/>
        <v/>
      </c>
      <c r="M42" t="str">
        <f t="shared" si="2"/>
        <v/>
      </c>
      <c r="N42" t="str">
        <f>IF(A42="","",IFERROR(VLOOKUP(A42,基础资料!$AE$5:$AF$204,2,FALSE),""))</f>
        <v/>
      </c>
    </row>
    <row r="43" spans="1:14">
      <c r="A43" t="str">
        <f>IF(基础资料!AE43="","",基础资料!AE43)</f>
        <v/>
      </c>
      <c r="B43" t="str">
        <f>IF(A43="","",IFERROR(VLOOKUP(A43,基础资料!$AE$5:$AG$204,3,FALSE),0))</f>
        <v/>
      </c>
      <c r="C43" s="17" t="str">
        <f>IF(A43="","",SUMIFS(期初数据!$M$5:$M$14,期初数据!$K$5:$K$14,A43)+SUMIFS(采购录入!$I$4:$I$203,采购录入!$C$4:$C$203,A43,采购录入!$A$4:$A$203,"&lt;"&amp;EOMONTH($B$2,-1)+1)-SUMIFS(资金流水!$K$4:$K$203,资金流水!$F$4:$F$203,A43,资金流水!$D$4:$D$203,"供应商付款",资金流水!$A$4:$A$203,"&lt;"&amp;EOMONTH($B$2,-1)+1))</f>
        <v/>
      </c>
      <c r="D43" s="17" t="str">
        <f>IF(A43="","",SUMIFS(采购录入!$I$4:$I$203,采购录入!$C$4:$C$203,A43,采购录入!$B$4:$B$203,TEXT($B$2,"yyyy-mm")))</f>
        <v/>
      </c>
      <c r="E43" s="17" t="str">
        <f>IF(A43="","",SUMIFS(资金流水!$K$4:$K$203,资金流水!$F$4:$F$203,A43,资金流水!$D$4:$D$203,"供应商付款",资金流水!$B$4:$B$203,TEXT($B$2,"yyyy-mm")))</f>
        <v/>
      </c>
      <c r="F43" s="17" t="str">
        <f>IF(A43="","",SUMIFS(应付明细账龄!$K$4:$K$213,应付明细账龄!$C$4:$C$213,A43))</f>
        <v/>
      </c>
      <c r="G43" s="17" t="str">
        <f>IF(A43="","",SUMIFS(应付明细账龄!$K$4:$K$213,应付明细账龄!$C$4:$C$213,A43,应付明细账龄!$M$4:$M$213,"未来30天到期"))</f>
        <v/>
      </c>
      <c r="H43" s="17" t="str">
        <f>IF(A43="","",SUMIFS(应付明细账龄!$K$4:$K$213,应付明细账龄!$C$4:$C$213,A43,应付明细账龄!$M$4:$M$213,"逾期1-30天"))</f>
        <v/>
      </c>
      <c r="I43" s="17" t="str">
        <f>IF(A43="","",SUMIFS(应付明细账龄!$K$4:$K$213,应付明细账龄!$C$4:$C$213,A43,应付明细账龄!$M$4:$M$213,"逾期31-60天"))</f>
        <v/>
      </c>
      <c r="J43" s="17" t="str">
        <f>IF(A43="","",SUMIFS(应付明细账龄!$K$4:$K$213,应付明细账龄!$C$4:$C$213,A43,应付明细账龄!$M$4:$M$213,"逾期61-90天"))</f>
        <v/>
      </c>
      <c r="K43" s="17" t="str">
        <f>IF(A43="","",SUMIFS(应付明细账龄!$K$4:$K$213,应付明细账龄!$C$4:$C$213,A43,应付明细账龄!$M$4:$M$213,"逾期90天以上"))</f>
        <v/>
      </c>
      <c r="L43" s="17" t="str">
        <f t="shared" si="1"/>
        <v/>
      </c>
      <c r="M43" t="str">
        <f t="shared" si="2"/>
        <v/>
      </c>
      <c r="N43" t="str">
        <f>IF(A43="","",IFERROR(VLOOKUP(A43,基础资料!$AE$5:$AF$204,2,FALSE),""))</f>
        <v/>
      </c>
    </row>
    <row r="44" spans="1:14">
      <c r="A44" t="str">
        <f>IF(基础资料!AE44="","",基础资料!AE44)</f>
        <v/>
      </c>
      <c r="B44" t="str">
        <f>IF(A44="","",IFERROR(VLOOKUP(A44,基础资料!$AE$5:$AG$204,3,FALSE),0))</f>
        <v/>
      </c>
      <c r="C44" s="17" t="str">
        <f>IF(A44="","",SUMIFS(期初数据!$M$5:$M$14,期初数据!$K$5:$K$14,A44)+SUMIFS(采购录入!$I$4:$I$203,采购录入!$C$4:$C$203,A44,采购录入!$A$4:$A$203,"&lt;"&amp;EOMONTH($B$2,-1)+1)-SUMIFS(资金流水!$K$4:$K$203,资金流水!$F$4:$F$203,A44,资金流水!$D$4:$D$203,"供应商付款",资金流水!$A$4:$A$203,"&lt;"&amp;EOMONTH($B$2,-1)+1))</f>
        <v/>
      </c>
      <c r="D44" s="17" t="str">
        <f>IF(A44="","",SUMIFS(采购录入!$I$4:$I$203,采购录入!$C$4:$C$203,A44,采购录入!$B$4:$B$203,TEXT($B$2,"yyyy-mm")))</f>
        <v/>
      </c>
      <c r="E44" s="17" t="str">
        <f>IF(A44="","",SUMIFS(资金流水!$K$4:$K$203,资金流水!$F$4:$F$203,A44,资金流水!$D$4:$D$203,"供应商付款",资金流水!$B$4:$B$203,TEXT($B$2,"yyyy-mm")))</f>
        <v/>
      </c>
      <c r="F44" s="17" t="str">
        <f>IF(A44="","",SUMIFS(应付明细账龄!$K$4:$K$213,应付明细账龄!$C$4:$C$213,A44))</f>
        <v/>
      </c>
      <c r="G44" s="17" t="str">
        <f>IF(A44="","",SUMIFS(应付明细账龄!$K$4:$K$213,应付明细账龄!$C$4:$C$213,A44,应付明细账龄!$M$4:$M$213,"未来30天到期"))</f>
        <v/>
      </c>
      <c r="H44" s="17" t="str">
        <f>IF(A44="","",SUMIFS(应付明细账龄!$K$4:$K$213,应付明细账龄!$C$4:$C$213,A44,应付明细账龄!$M$4:$M$213,"逾期1-30天"))</f>
        <v/>
      </c>
      <c r="I44" s="17" t="str">
        <f>IF(A44="","",SUMIFS(应付明细账龄!$K$4:$K$213,应付明细账龄!$C$4:$C$213,A44,应付明细账龄!$M$4:$M$213,"逾期31-60天"))</f>
        <v/>
      </c>
      <c r="J44" s="17" t="str">
        <f>IF(A44="","",SUMIFS(应付明细账龄!$K$4:$K$213,应付明细账龄!$C$4:$C$213,A44,应付明细账龄!$M$4:$M$213,"逾期61-90天"))</f>
        <v/>
      </c>
      <c r="K44" s="17" t="str">
        <f>IF(A44="","",SUMIFS(应付明细账龄!$K$4:$K$213,应付明细账龄!$C$4:$C$213,A44,应付明细账龄!$M$4:$M$213,"逾期90天以上"))</f>
        <v/>
      </c>
      <c r="L44" s="17" t="str">
        <f t="shared" si="1"/>
        <v/>
      </c>
      <c r="M44" t="str">
        <f t="shared" si="2"/>
        <v/>
      </c>
      <c r="N44" t="str">
        <f>IF(A44="","",IFERROR(VLOOKUP(A44,基础资料!$AE$5:$AF$204,2,FALSE),""))</f>
        <v/>
      </c>
    </row>
    <row r="45" spans="1:14">
      <c r="A45" t="str">
        <f>IF(基础资料!AE45="","",基础资料!AE45)</f>
        <v/>
      </c>
      <c r="B45" t="str">
        <f>IF(A45="","",IFERROR(VLOOKUP(A45,基础资料!$AE$5:$AG$204,3,FALSE),0))</f>
        <v/>
      </c>
      <c r="C45" s="17" t="str">
        <f>IF(A45="","",SUMIFS(期初数据!$M$5:$M$14,期初数据!$K$5:$K$14,A45)+SUMIFS(采购录入!$I$4:$I$203,采购录入!$C$4:$C$203,A45,采购录入!$A$4:$A$203,"&lt;"&amp;EOMONTH($B$2,-1)+1)-SUMIFS(资金流水!$K$4:$K$203,资金流水!$F$4:$F$203,A45,资金流水!$D$4:$D$203,"供应商付款",资金流水!$A$4:$A$203,"&lt;"&amp;EOMONTH($B$2,-1)+1))</f>
        <v/>
      </c>
      <c r="D45" s="17" t="str">
        <f>IF(A45="","",SUMIFS(采购录入!$I$4:$I$203,采购录入!$C$4:$C$203,A45,采购录入!$B$4:$B$203,TEXT($B$2,"yyyy-mm")))</f>
        <v/>
      </c>
      <c r="E45" s="17" t="str">
        <f>IF(A45="","",SUMIFS(资金流水!$K$4:$K$203,资金流水!$F$4:$F$203,A45,资金流水!$D$4:$D$203,"供应商付款",资金流水!$B$4:$B$203,TEXT($B$2,"yyyy-mm")))</f>
        <v/>
      </c>
      <c r="F45" s="17" t="str">
        <f>IF(A45="","",SUMIFS(应付明细账龄!$K$4:$K$213,应付明细账龄!$C$4:$C$213,A45))</f>
        <v/>
      </c>
      <c r="G45" s="17" t="str">
        <f>IF(A45="","",SUMIFS(应付明细账龄!$K$4:$K$213,应付明细账龄!$C$4:$C$213,A45,应付明细账龄!$M$4:$M$213,"未来30天到期"))</f>
        <v/>
      </c>
      <c r="H45" s="17" t="str">
        <f>IF(A45="","",SUMIFS(应付明细账龄!$K$4:$K$213,应付明细账龄!$C$4:$C$213,A45,应付明细账龄!$M$4:$M$213,"逾期1-30天"))</f>
        <v/>
      </c>
      <c r="I45" s="17" t="str">
        <f>IF(A45="","",SUMIFS(应付明细账龄!$K$4:$K$213,应付明细账龄!$C$4:$C$213,A45,应付明细账龄!$M$4:$M$213,"逾期31-60天"))</f>
        <v/>
      </c>
      <c r="J45" s="17" t="str">
        <f>IF(A45="","",SUMIFS(应付明细账龄!$K$4:$K$213,应付明细账龄!$C$4:$C$213,A45,应付明细账龄!$M$4:$M$213,"逾期61-90天"))</f>
        <v/>
      </c>
      <c r="K45" s="17" t="str">
        <f>IF(A45="","",SUMIFS(应付明细账龄!$K$4:$K$213,应付明细账龄!$C$4:$C$213,A45,应付明细账龄!$M$4:$M$213,"逾期90天以上"))</f>
        <v/>
      </c>
      <c r="L45" s="17" t="str">
        <f t="shared" si="1"/>
        <v/>
      </c>
      <c r="M45" t="str">
        <f t="shared" si="2"/>
        <v/>
      </c>
      <c r="N45" t="str">
        <f>IF(A45="","",IFERROR(VLOOKUP(A45,基础资料!$AE$5:$AF$204,2,FALSE),""))</f>
        <v/>
      </c>
    </row>
    <row r="46" spans="1:14">
      <c r="A46" t="str">
        <f>IF(基础资料!AE46="","",基础资料!AE46)</f>
        <v/>
      </c>
      <c r="B46" t="str">
        <f>IF(A46="","",IFERROR(VLOOKUP(A46,基础资料!$AE$5:$AG$204,3,FALSE),0))</f>
        <v/>
      </c>
      <c r="C46" s="17" t="str">
        <f>IF(A46="","",SUMIFS(期初数据!$M$5:$M$14,期初数据!$K$5:$K$14,A46)+SUMIFS(采购录入!$I$4:$I$203,采购录入!$C$4:$C$203,A46,采购录入!$A$4:$A$203,"&lt;"&amp;EOMONTH($B$2,-1)+1)-SUMIFS(资金流水!$K$4:$K$203,资金流水!$F$4:$F$203,A46,资金流水!$D$4:$D$203,"供应商付款",资金流水!$A$4:$A$203,"&lt;"&amp;EOMONTH($B$2,-1)+1))</f>
        <v/>
      </c>
      <c r="D46" s="17" t="str">
        <f>IF(A46="","",SUMIFS(采购录入!$I$4:$I$203,采购录入!$C$4:$C$203,A46,采购录入!$B$4:$B$203,TEXT($B$2,"yyyy-mm")))</f>
        <v/>
      </c>
      <c r="E46" s="17" t="str">
        <f>IF(A46="","",SUMIFS(资金流水!$K$4:$K$203,资金流水!$F$4:$F$203,A46,资金流水!$D$4:$D$203,"供应商付款",资金流水!$B$4:$B$203,TEXT($B$2,"yyyy-mm")))</f>
        <v/>
      </c>
      <c r="F46" s="17" t="str">
        <f>IF(A46="","",SUMIFS(应付明细账龄!$K$4:$K$213,应付明细账龄!$C$4:$C$213,A46))</f>
        <v/>
      </c>
      <c r="G46" s="17" t="str">
        <f>IF(A46="","",SUMIFS(应付明细账龄!$K$4:$K$213,应付明细账龄!$C$4:$C$213,A46,应付明细账龄!$M$4:$M$213,"未来30天到期"))</f>
        <v/>
      </c>
      <c r="H46" s="17" t="str">
        <f>IF(A46="","",SUMIFS(应付明细账龄!$K$4:$K$213,应付明细账龄!$C$4:$C$213,A46,应付明细账龄!$M$4:$M$213,"逾期1-30天"))</f>
        <v/>
      </c>
      <c r="I46" s="17" t="str">
        <f>IF(A46="","",SUMIFS(应付明细账龄!$K$4:$K$213,应付明细账龄!$C$4:$C$213,A46,应付明细账龄!$M$4:$M$213,"逾期31-60天"))</f>
        <v/>
      </c>
      <c r="J46" s="17" t="str">
        <f>IF(A46="","",SUMIFS(应付明细账龄!$K$4:$K$213,应付明细账龄!$C$4:$C$213,A46,应付明细账龄!$M$4:$M$213,"逾期61-90天"))</f>
        <v/>
      </c>
      <c r="K46" s="17" t="str">
        <f>IF(A46="","",SUMIFS(应付明细账龄!$K$4:$K$213,应付明细账龄!$C$4:$C$213,A46,应付明细账龄!$M$4:$M$213,"逾期90天以上"))</f>
        <v/>
      </c>
      <c r="L46" s="17" t="str">
        <f t="shared" si="1"/>
        <v/>
      </c>
      <c r="M46" t="str">
        <f t="shared" si="2"/>
        <v/>
      </c>
      <c r="N46" t="str">
        <f>IF(A46="","",IFERROR(VLOOKUP(A46,基础资料!$AE$5:$AF$204,2,FALSE),""))</f>
        <v/>
      </c>
    </row>
    <row r="47" spans="1:14">
      <c r="A47" t="str">
        <f>IF(基础资料!AE47="","",基础资料!AE47)</f>
        <v/>
      </c>
      <c r="B47" t="str">
        <f>IF(A47="","",IFERROR(VLOOKUP(A47,基础资料!$AE$5:$AG$204,3,FALSE),0))</f>
        <v/>
      </c>
      <c r="C47" s="17" t="str">
        <f>IF(A47="","",SUMIFS(期初数据!$M$5:$M$14,期初数据!$K$5:$K$14,A47)+SUMIFS(采购录入!$I$4:$I$203,采购录入!$C$4:$C$203,A47,采购录入!$A$4:$A$203,"&lt;"&amp;EOMONTH($B$2,-1)+1)-SUMIFS(资金流水!$K$4:$K$203,资金流水!$F$4:$F$203,A47,资金流水!$D$4:$D$203,"供应商付款",资金流水!$A$4:$A$203,"&lt;"&amp;EOMONTH($B$2,-1)+1))</f>
        <v/>
      </c>
      <c r="D47" s="17" t="str">
        <f>IF(A47="","",SUMIFS(采购录入!$I$4:$I$203,采购录入!$C$4:$C$203,A47,采购录入!$B$4:$B$203,TEXT($B$2,"yyyy-mm")))</f>
        <v/>
      </c>
      <c r="E47" s="17" t="str">
        <f>IF(A47="","",SUMIFS(资金流水!$K$4:$K$203,资金流水!$F$4:$F$203,A47,资金流水!$D$4:$D$203,"供应商付款",资金流水!$B$4:$B$203,TEXT($B$2,"yyyy-mm")))</f>
        <v/>
      </c>
      <c r="F47" s="17" t="str">
        <f>IF(A47="","",SUMIFS(应付明细账龄!$K$4:$K$213,应付明细账龄!$C$4:$C$213,A47))</f>
        <v/>
      </c>
      <c r="G47" s="17" t="str">
        <f>IF(A47="","",SUMIFS(应付明细账龄!$K$4:$K$213,应付明细账龄!$C$4:$C$213,A47,应付明细账龄!$M$4:$M$213,"未来30天到期"))</f>
        <v/>
      </c>
      <c r="H47" s="17" t="str">
        <f>IF(A47="","",SUMIFS(应付明细账龄!$K$4:$K$213,应付明细账龄!$C$4:$C$213,A47,应付明细账龄!$M$4:$M$213,"逾期1-30天"))</f>
        <v/>
      </c>
      <c r="I47" s="17" t="str">
        <f>IF(A47="","",SUMIFS(应付明细账龄!$K$4:$K$213,应付明细账龄!$C$4:$C$213,A47,应付明细账龄!$M$4:$M$213,"逾期31-60天"))</f>
        <v/>
      </c>
      <c r="J47" s="17" t="str">
        <f>IF(A47="","",SUMIFS(应付明细账龄!$K$4:$K$213,应付明细账龄!$C$4:$C$213,A47,应付明细账龄!$M$4:$M$213,"逾期61-90天"))</f>
        <v/>
      </c>
      <c r="K47" s="17" t="str">
        <f>IF(A47="","",SUMIFS(应付明细账龄!$K$4:$K$213,应付明细账龄!$C$4:$C$213,A47,应付明细账龄!$M$4:$M$213,"逾期90天以上"))</f>
        <v/>
      </c>
      <c r="L47" s="17" t="str">
        <f t="shared" si="1"/>
        <v/>
      </c>
      <c r="M47" t="str">
        <f t="shared" si="2"/>
        <v/>
      </c>
      <c r="N47" t="str">
        <f>IF(A47="","",IFERROR(VLOOKUP(A47,基础资料!$AE$5:$AF$204,2,FALSE),""))</f>
        <v/>
      </c>
    </row>
    <row r="48" spans="1:14">
      <c r="A48" t="str">
        <f>IF(基础资料!AE48="","",基础资料!AE48)</f>
        <v/>
      </c>
      <c r="B48" t="str">
        <f>IF(A48="","",IFERROR(VLOOKUP(A48,基础资料!$AE$5:$AG$204,3,FALSE),0))</f>
        <v/>
      </c>
      <c r="C48" s="17" t="str">
        <f>IF(A48="","",SUMIFS(期初数据!$M$5:$M$14,期初数据!$K$5:$K$14,A48)+SUMIFS(采购录入!$I$4:$I$203,采购录入!$C$4:$C$203,A48,采购录入!$A$4:$A$203,"&lt;"&amp;EOMONTH($B$2,-1)+1)-SUMIFS(资金流水!$K$4:$K$203,资金流水!$F$4:$F$203,A48,资金流水!$D$4:$D$203,"供应商付款",资金流水!$A$4:$A$203,"&lt;"&amp;EOMONTH($B$2,-1)+1))</f>
        <v/>
      </c>
      <c r="D48" s="17" t="str">
        <f>IF(A48="","",SUMIFS(采购录入!$I$4:$I$203,采购录入!$C$4:$C$203,A48,采购录入!$B$4:$B$203,TEXT($B$2,"yyyy-mm")))</f>
        <v/>
      </c>
      <c r="E48" s="17" t="str">
        <f>IF(A48="","",SUMIFS(资金流水!$K$4:$K$203,资金流水!$F$4:$F$203,A48,资金流水!$D$4:$D$203,"供应商付款",资金流水!$B$4:$B$203,TEXT($B$2,"yyyy-mm")))</f>
        <v/>
      </c>
      <c r="F48" s="17" t="str">
        <f>IF(A48="","",SUMIFS(应付明细账龄!$K$4:$K$213,应付明细账龄!$C$4:$C$213,A48))</f>
        <v/>
      </c>
      <c r="G48" s="17" t="str">
        <f>IF(A48="","",SUMIFS(应付明细账龄!$K$4:$K$213,应付明细账龄!$C$4:$C$213,A48,应付明细账龄!$M$4:$M$213,"未来30天到期"))</f>
        <v/>
      </c>
      <c r="H48" s="17" t="str">
        <f>IF(A48="","",SUMIFS(应付明细账龄!$K$4:$K$213,应付明细账龄!$C$4:$C$213,A48,应付明细账龄!$M$4:$M$213,"逾期1-30天"))</f>
        <v/>
      </c>
      <c r="I48" s="17" t="str">
        <f>IF(A48="","",SUMIFS(应付明细账龄!$K$4:$K$213,应付明细账龄!$C$4:$C$213,A48,应付明细账龄!$M$4:$M$213,"逾期31-60天"))</f>
        <v/>
      </c>
      <c r="J48" s="17" t="str">
        <f>IF(A48="","",SUMIFS(应付明细账龄!$K$4:$K$213,应付明细账龄!$C$4:$C$213,A48,应付明细账龄!$M$4:$M$213,"逾期61-90天"))</f>
        <v/>
      </c>
      <c r="K48" s="17" t="str">
        <f>IF(A48="","",SUMIFS(应付明细账龄!$K$4:$K$213,应付明细账龄!$C$4:$C$213,A48,应付明细账龄!$M$4:$M$213,"逾期90天以上"))</f>
        <v/>
      </c>
      <c r="L48" s="17" t="str">
        <f t="shared" si="1"/>
        <v/>
      </c>
      <c r="M48" t="str">
        <f t="shared" si="2"/>
        <v/>
      </c>
      <c r="N48" t="str">
        <f>IF(A48="","",IFERROR(VLOOKUP(A48,基础资料!$AE$5:$AF$204,2,FALSE),""))</f>
        <v/>
      </c>
    </row>
    <row r="49" spans="1:14">
      <c r="A49" t="str">
        <f>IF(基础资料!AE49="","",基础资料!AE49)</f>
        <v/>
      </c>
      <c r="B49" t="str">
        <f>IF(A49="","",IFERROR(VLOOKUP(A49,基础资料!$AE$5:$AG$204,3,FALSE),0))</f>
        <v/>
      </c>
      <c r="C49" s="17" t="str">
        <f>IF(A49="","",SUMIFS(期初数据!$M$5:$M$14,期初数据!$K$5:$K$14,A49)+SUMIFS(采购录入!$I$4:$I$203,采购录入!$C$4:$C$203,A49,采购录入!$A$4:$A$203,"&lt;"&amp;EOMONTH($B$2,-1)+1)-SUMIFS(资金流水!$K$4:$K$203,资金流水!$F$4:$F$203,A49,资金流水!$D$4:$D$203,"供应商付款",资金流水!$A$4:$A$203,"&lt;"&amp;EOMONTH($B$2,-1)+1))</f>
        <v/>
      </c>
      <c r="D49" s="17" t="str">
        <f>IF(A49="","",SUMIFS(采购录入!$I$4:$I$203,采购录入!$C$4:$C$203,A49,采购录入!$B$4:$B$203,TEXT($B$2,"yyyy-mm")))</f>
        <v/>
      </c>
      <c r="E49" s="17" t="str">
        <f>IF(A49="","",SUMIFS(资金流水!$K$4:$K$203,资金流水!$F$4:$F$203,A49,资金流水!$D$4:$D$203,"供应商付款",资金流水!$B$4:$B$203,TEXT($B$2,"yyyy-mm")))</f>
        <v/>
      </c>
      <c r="F49" s="17" t="str">
        <f>IF(A49="","",SUMIFS(应付明细账龄!$K$4:$K$213,应付明细账龄!$C$4:$C$213,A49))</f>
        <v/>
      </c>
      <c r="G49" s="17" t="str">
        <f>IF(A49="","",SUMIFS(应付明细账龄!$K$4:$K$213,应付明细账龄!$C$4:$C$213,A49,应付明细账龄!$M$4:$M$213,"未来30天到期"))</f>
        <v/>
      </c>
      <c r="H49" s="17" t="str">
        <f>IF(A49="","",SUMIFS(应付明细账龄!$K$4:$K$213,应付明细账龄!$C$4:$C$213,A49,应付明细账龄!$M$4:$M$213,"逾期1-30天"))</f>
        <v/>
      </c>
      <c r="I49" s="17" t="str">
        <f>IF(A49="","",SUMIFS(应付明细账龄!$K$4:$K$213,应付明细账龄!$C$4:$C$213,A49,应付明细账龄!$M$4:$M$213,"逾期31-60天"))</f>
        <v/>
      </c>
      <c r="J49" s="17" t="str">
        <f>IF(A49="","",SUMIFS(应付明细账龄!$K$4:$K$213,应付明细账龄!$C$4:$C$213,A49,应付明细账龄!$M$4:$M$213,"逾期61-90天"))</f>
        <v/>
      </c>
      <c r="K49" s="17" t="str">
        <f>IF(A49="","",SUMIFS(应付明细账龄!$K$4:$K$213,应付明细账龄!$C$4:$C$213,A49,应付明细账龄!$M$4:$M$213,"逾期90天以上"))</f>
        <v/>
      </c>
      <c r="L49" s="17" t="str">
        <f t="shared" si="1"/>
        <v/>
      </c>
      <c r="M49" t="str">
        <f t="shared" si="2"/>
        <v/>
      </c>
      <c r="N49" t="str">
        <f>IF(A49="","",IFERROR(VLOOKUP(A49,基础资料!$AE$5:$AF$204,2,FALSE),""))</f>
        <v/>
      </c>
    </row>
    <row r="50" spans="1:14">
      <c r="A50" t="str">
        <f>IF(基础资料!AE50="","",基础资料!AE50)</f>
        <v/>
      </c>
      <c r="B50" t="str">
        <f>IF(A50="","",IFERROR(VLOOKUP(A50,基础资料!$AE$5:$AG$204,3,FALSE),0))</f>
        <v/>
      </c>
      <c r="C50" s="17" t="str">
        <f>IF(A50="","",SUMIFS(期初数据!$M$5:$M$14,期初数据!$K$5:$K$14,A50)+SUMIFS(采购录入!$I$4:$I$203,采购录入!$C$4:$C$203,A50,采购录入!$A$4:$A$203,"&lt;"&amp;EOMONTH($B$2,-1)+1)-SUMIFS(资金流水!$K$4:$K$203,资金流水!$F$4:$F$203,A50,资金流水!$D$4:$D$203,"供应商付款",资金流水!$A$4:$A$203,"&lt;"&amp;EOMONTH($B$2,-1)+1))</f>
        <v/>
      </c>
      <c r="D50" s="17" t="str">
        <f>IF(A50="","",SUMIFS(采购录入!$I$4:$I$203,采购录入!$C$4:$C$203,A50,采购录入!$B$4:$B$203,TEXT($B$2,"yyyy-mm")))</f>
        <v/>
      </c>
      <c r="E50" s="17" t="str">
        <f>IF(A50="","",SUMIFS(资金流水!$K$4:$K$203,资金流水!$F$4:$F$203,A50,资金流水!$D$4:$D$203,"供应商付款",资金流水!$B$4:$B$203,TEXT($B$2,"yyyy-mm")))</f>
        <v/>
      </c>
      <c r="F50" s="17" t="str">
        <f>IF(A50="","",SUMIFS(应付明细账龄!$K$4:$K$213,应付明细账龄!$C$4:$C$213,A50))</f>
        <v/>
      </c>
      <c r="G50" s="17" t="str">
        <f>IF(A50="","",SUMIFS(应付明细账龄!$K$4:$K$213,应付明细账龄!$C$4:$C$213,A50,应付明细账龄!$M$4:$M$213,"未来30天到期"))</f>
        <v/>
      </c>
      <c r="H50" s="17" t="str">
        <f>IF(A50="","",SUMIFS(应付明细账龄!$K$4:$K$213,应付明细账龄!$C$4:$C$213,A50,应付明细账龄!$M$4:$M$213,"逾期1-30天"))</f>
        <v/>
      </c>
      <c r="I50" s="17" t="str">
        <f>IF(A50="","",SUMIFS(应付明细账龄!$K$4:$K$213,应付明细账龄!$C$4:$C$213,A50,应付明细账龄!$M$4:$M$213,"逾期31-60天"))</f>
        <v/>
      </c>
      <c r="J50" s="17" t="str">
        <f>IF(A50="","",SUMIFS(应付明细账龄!$K$4:$K$213,应付明细账龄!$C$4:$C$213,A50,应付明细账龄!$M$4:$M$213,"逾期61-90天"))</f>
        <v/>
      </c>
      <c r="K50" s="17" t="str">
        <f>IF(A50="","",SUMIFS(应付明细账龄!$K$4:$K$213,应付明细账龄!$C$4:$C$213,A50,应付明细账龄!$M$4:$M$213,"逾期90天以上"))</f>
        <v/>
      </c>
      <c r="L50" s="17" t="str">
        <f t="shared" si="1"/>
        <v/>
      </c>
      <c r="M50" t="str">
        <f t="shared" si="2"/>
        <v/>
      </c>
      <c r="N50" t="str">
        <f>IF(A50="","",IFERROR(VLOOKUP(A50,基础资料!$AE$5:$AF$204,2,FALSE),""))</f>
        <v/>
      </c>
    </row>
    <row r="51" spans="1:14">
      <c r="A51" t="str">
        <f>IF(基础资料!AE51="","",基础资料!AE51)</f>
        <v/>
      </c>
      <c r="B51" t="str">
        <f>IF(A51="","",IFERROR(VLOOKUP(A51,基础资料!$AE$5:$AG$204,3,FALSE),0))</f>
        <v/>
      </c>
      <c r="C51" s="17" t="str">
        <f>IF(A51="","",SUMIFS(期初数据!$M$5:$M$14,期初数据!$K$5:$K$14,A51)+SUMIFS(采购录入!$I$4:$I$203,采购录入!$C$4:$C$203,A51,采购录入!$A$4:$A$203,"&lt;"&amp;EOMONTH($B$2,-1)+1)-SUMIFS(资金流水!$K$4:$K$203,资金流水!$F$4:$F$203,A51,资金流水!$D$4:$D$203,"供应商付款",资金流水!$A$4:$A$203,"&lt;"&amp;EOMONTH($B$2,-1)+1))</f>
        <v/>
      </c>
      <c r="D51" s="17" t="str">
        <f>IF(A51="","",SUMIFS(采购录入!$I$4:$I$203,采购录入!$C$4:$C$203,A51,采购录入!$B$4:$B$203,TEXT($B$2,"yyyy-mm")))</f>
        <v/>
      </c>
      <c r="E51" s="17" t="str">
        <f>IF(A51="","",SUMIFS(资金流水!$K$4:$K$203,资金流水!$F$4:$F$203,A51,资金流水!$D$4:$D$203,"供应商付款",资金流水!$B$4:$B$203,TEXT($B$2,"yyyy-mm")))</f>
        <v/>
      </c>
      <c r="F51" s="17" t="str">
        <f>IF(A51="","",SUMIFS(应付明细账龄!$K$4:$K$213,应付明细账龄!$C$4:$C$213,A51))</f>
        <v/>
      </c>
      <c r="G51" s="17" t="str">
        <f>IF(A51="","",SUMIFS(应付明细账龄!$K$4:$K$213,应付明细账龄!$C$4:$C$213,A51,应付明细账龄!$M$4:$M$213,"未来30天到期"))</f>
        <v/>
      </c>
      <c r="H51" s="17" t="str">
        <f>IF(A51="","",SUMIFS(应付明细账龄!$K$4:$K$213,应付明细账龄!$C$4:$C$213,A51,应付明细账龄!$M$4:$M$213,"逾期1-30天"))</f>
        <v/>
      </c>
      <c r="I51" s="17" t="str">
        <f>IF(A51="","",SUMIFS(应付明细账龄!$K$4:$K$213,应付明细账龄!$C$4:$C$213,A51,应付明细账龄!$M$4:$M$213,"逾期31-60天"))</f>
        <v/>
      </c>
      <c r="J51" s="17" t="str">
        <f>IF(A51="","",SUMIFS(应付明细账龄!$K$4:$K$213,应付明细账龄!$C$4:$C$213,A51,应付明细账龄!$M$4:$M$213,"逾期61-90天"))</f>
        <v/>
      </c>
      <c r="K51" s="17" t="str">
        <f>IF(A51="","",SUMIFS(应付明细账龄!$K$4:$K$213,应付明细账龄!$C$4:$C$213,A51,应付明细账龄!$M$4:$M$213,"逾期90天以上"))</f>
        <v/>
      </c>
      <c r="L51" s="17" t="str">
        <f t="shared" si="1"/>
        <v/>
      </c>
      <c r="M51" t="str">
        <f t="shared" si="2"/>
        <v/>
      </c>
      <c r="N51" t="str">
        <f>IF(A51="","",IFERROR(VLOOKUP(A51,基础资料!$AE$5:$AF$204,2,FALSE),""))</f>
        <v/>
      </c>
    </row>
    <row r="52" spans="1:14">
      <c r="A52" t="str">
        <f>IF(基础资料!AE52="","",基础资料!AE52)</f>
        <v/>
      </c>
      <c r="B52" t="str">
        <f>IF(A52="","",IFERROR(VLOOKUP(A52,基础资料!$AE$5:$AG$204,3,FALSE),0))</f>
        <v/>
      </c>
      <c r="C52" s="17" t="str">
        <f>IF(A52="","",SUMIFS(期初数据!$M$5:$M$14,期初数据!$K$5:$K$14,A52)+SUMIFS(采购录入!$I$4:$I$203,采购录入!$C$4:$C$203,A52,采购录入!$A$4:$A$203,"&lt;"&amp;EOMONTH($B$2,-1)+1)-SUMIFS(资金流水!$K$4:$K$203,资金流水!$F$4:$F$203,A52,资金流水!$D$4:$D$203,"供应商付款",资金流水!$A$4:$A$203,"&lt;"&amp;EOMONTH($B$2,-1)+1))</f>
        <v/>
      </c>
      <c r="D52" s="17" t="str">
        <f>IF(A52="","",SUMIFS(采购录入!$I$4:$I$203,采购录入!$C$4:$C$203,A52,采购录入!$B$4:$B$203,TEXT($B$2,"yyyy-mm")))</f>
        <v/>
      </c>
      <c r="E52" s="17" t="str">
        <f>IF(A52="","",SUMIFS(资金流水!$K$4:$K$203,资金流水!$F$4:$F$203,A52,资金流水!$D$4:$D$203,"供应商付款",资金流水!$B$4:$B$203,TEXT($B$2,"yyyy-mm")))</f>
        <v/>
      </c>
      <c r="F52" s="17" t="str">
        <f>IF(A52="","",SUMIFS(应付明细账龄!$K$4:$K$213,应付明细账龄!$C$4:$C$213,A52))</f>
        <v/>
      </c>
      <c r="G52" s="17" t="str">
        <f>IF(A52="","",SUMIFS(应付明细账龄!$K$4:$K$213,应付明细账龄!$C$4:$C$213,A52,应付明细账龄!$M$4:$M$213,"未来30天到期"))</f>
        <v/>
      </c>
      <c r="H52" s="17" t="str">
        <f>IF(A52="","",SUMIFS(应付明细账龄!$K$4:$K$213,应付明细账龄!$C$4:$C$213,A52,应付明细账龄!$M$4:$M$213,"逾期1-30天"))</f>
        <v/>
      </c>
      <c r="I52" s="17" t="str">
        <f>IF(A52="","",SUMIFS(应付明细账龄!$K$4:$K$213,应付明细账龄!$C$4:$C$213,A52,应付明细账龄!$M$4:$M$213,"逾期31-60天"))</f>
        <v/>
      </c>
      <c r="J52" s="17" t="str">
        <f>IF(A52="","",SUMIFS(应付明细账龄!$K$4:$K$213,应付明细账龄!$C$4:$C$213,A52,应付明细账龄!$M$4:$M$213,"逾期61-90天"))</f>
        <v/>
      </c>
      <c r="K52" s="17" t="str">
        <f>IF(A52="","",SUMIFS(应付明细账龄!$K$4:$K$213,应付明细账龄!$C$4:$C$213,A52,应付明细账龄!$M$4:$M$213,"逾期90天以上"))</f>
        <v/>
      </c>
      <c r="L52" s="17" t="str">
        <f t="shared" si="1"/>
        <v/>
      </c>
      <c r="M52" t="str">
        <f t="shared" si="2"/>
        <v/>
      </c>
      <c r="N52" t="str">
        <f>IF(A52="","",IFERROR(VLOOKUP(A52,基础资料!$AE$5:$AF$204,2,FALSE),""))</f>
        <v/>
      </c>
    </row>
    <row r="53" spans="1:14">
      <c r="A53" t="str">
        <f>IF(基础资料!AE53="","",基础资料!AE53)</f>
        <v/>
      </c>
      <c r="B53" t="str">
        <f>IF(A53="","",IFERROR(VLOOKUP(A53,基础资料!$AE$5:$AG$204,3,FALSE),0))</f>
        <v/>
      </c>
      <c r="C53" s="17" t="str">
        <f>IF(A53="","",SUMIFS(期初数据!$M$5:$M$14,期初数据!$K$5:$K$14,A53)+SUMIFS(采购录入!$I$4:$I$203,采购录入!$C$4:$C$203,A53,采购录入!$A$4:$A$203,"&lt;"&amp;EOMONTH($B$2,-1)+1)-SUMIFS(资金流水!$K$4:$K$203,资金流水!$F$4:$F$203,A53,资金流水!$D$4:$D$203,"供应商付款",资金流水!$A$4:$A$203,"&lt;"&amp;EOMONTH($B$2,-1)+1))</f>
        <v/>
      </c>
      <c r="D53" s="17" t="str">
        <f>IF(A53="","",SUMIFS(采购录入!$I$4:$I$203,采购录入!$C$4:$C$203,A53,采购录入!$B$4:$B$203,TEXT($B$2,"yyyy-mm")))</f>
        <v/>
      </c>
      <c r="E53" s="17" t="str">
        <f>IF(A53="","",SUMIFS(资金流水!$K$4:$K$203,资金流水!$F$4:$F$203,A53,资金流水!$D$4:$D$203,"供应商付款",资金流水!$B$4:$B$203,TEXT($B$2,"yyyy-mm")))</f>
        <v/>
      </c>
      <c r="F53" s="17" t="str">
        <f>IF(A53="","",SUMIFS(应付明细账龄!$K$4:$K$213,应付明细账龄!$C$4:$C$213,A53))</f>
        <v/>
      </c>
      <c r="G53" s="17" t="str">
        <f>IF(A53="","",SUMIFS(应付明细账龄!$K$4:$K$213,应付明细账龄!$C$4:$C$213,A53,应付明细账龄!$M$4:$M$213,"未来30天到期"))</f>
        <v/>
      </c>
      <c r="H53" s="17" t="str">
        <f>IF(A53="","",SUMIFS(应付明细账龄!$K$4:$K$213,应付明细账龄!$C$4:$C$213,A53,应付明细账龄!$M$4:$M$213,"逾期1-30天"))</f>
        <v/>
      </c>
      <c r="I53" s="17" t="str">
        <f>IF(A53="","",SUMIFS(应付明细账龄!$K$4:$K$213,应付明细账龄!$C$4:$C$213,A53,应付明细账龄!$M$4:$M$213,"逾期31-60天"))</f>
        <v/>
      </c>
      <c r="J53" s="17" t="str">
        <f>IF(A53="","",SUMIFS(应付明细账龄!$K$4:$K$213,应付明细账龄!$C$4:$C$213,A53,应付明细账龄!$M$4:$M$213,"逾期61-90天"))</f>
        <v/>
      </c>
      <c r="K53" s="17" t="str">
        <f>IF(A53="","",SUMIFS(应付明细账龄!$K$4:$K$213,应付明细账龄!$C$4:$C$213,A53,应付明细账龄!$M$4:$M$213,"逾期90天以上"))</f>
        <v/>
      </c>
      <c r="L53" s="17" t="str">
        <f t="shared" si="1"/>
        <v/>
      </c>
      <c r="M53" t="str">
        <f t="shared" si="2"/>
        <v/>
      </c>
      <c r="N53" t="str">
        <f>IF(A53="","",IFERROR(VLOOKUP(A53,基础资料!$AE$5:$AF$204,2,FALSE),""))</f>
        <v/>
      </c>
    </row>
    <row r="54" spans="1:14">
      <c r="A54" t="str">
        <f>IF(基础资料!AE54="","",基础资料!AE54)</f>
        <v/>
      </c>
      <c r="B54" t="str">
        <f>IF(A54="","",IFERROR(VLOOKUP(A54,基础资料!$AE$5:$AG$204,3,FALSE),0))</f>
        <v/>
      </c>
      <c r="C54" s="17" t="str">
        <f>IF(A54="","",SUMIFS(期初数据!$M$5:$M$14,期初数据!$K$5:$K$14,A54)+SUMIFS(采购录入!$I$4:$I$203,采购录入!$C$4:$C$203,A54,采购录入!$A$4:$A$203,"&lt;"&amp;EOMONTH($B$2,-1)+1)-SUMIFS(资金流水!$K$4:$K$203,资金流水!$F$4:$F$203,A54,资金流水!$D$4:$D$203,"供应商付款",资金流水!$A$4:$A$203,"&lt;"&amp;EOMONTH($B$2,-1)+1))</f>
        <v/>
      </c>
      <c r="D54" s="17" t="str">
        <f>IF(A54="","",SUMIFS(采购录入!$I$4:$I$203,采购录入!$C$4:$C$203,A54,采购录入!$B$4:$B$203,TEXT($B$2,"yyyy-mm")))</f>
        <v/>
      </c>
      <c r="E54" s="17" t="str">
        <f>IF(A54="","",SUMIFS(资金流水!$K$4:$K$203,资金流水!$F$4:$F$203,A54,资金流水!$D$4:$D$203,"供应商付款",资金流水!$B$4:$B$203,TEXT($B$2,"yyyy-mm")))</f>
        <v/>
      </c>
      <c r="F54" s="17" t="str">
        <f>IF(A54="","",SUMIFS(应付明细账龄!$K$4:$K$213,应付明细账龄!$C$4:$C$213,A54))</f>
        <v/>
      </c>
      <c r="G54" s="17" t="str">
        <f>IF(A54="","",SUMIFS(应付明细账龄!$K$4:$K$213,应付明细账龄!$C$4:$C$213,A54,应付明细账龄!$M$4:$M$213,"未来30天到期"))</f>
        <v/>
      </c>
      <c r="H54" s="17" t="str">
        <f>IF(A54="","",SUMIFS(应付明细账龄!$K$4:$K$213,应付明细账龄!$C$4:$C$213,A54,应付明细账龄!$M$4:$M$213,"逾期1-30天"))</f>
        <v/>
      </c>
      <c r="I54" s="17" t="str">
        <f>IF(A54="","",SUMIFS(应付明细账龄!$K$4:$K$213,应付明细账龄!$C$4:$C$213,A54,应付明细账龄!$M$4:$M$213,"逾期31-60天"))</f>
        <v/>
      </c>
      <c r="J54" s="17" t="str">
        <f>IF(A54="","",SUMIFS(应付明细账龄!$K$4:$K$213,应付明细账龄!$C$4:$C$213,A54,应付明细账龄!$M$4:$M$213,"逾期61-90天"))</f>
        <v/>
      </c>
      <c r="K54" s="17" t="str">
        <f>IF(A54="","",SUMIFS(应付明细账龄!$K$4:$K$213,应付明细账龄!$C$4:$C$213,A54,应付明细账龄!$M$4:$M$213,"逾期90天以上"))</f>
        <v/>
      </c>
      <c r="L54" s="17" t="str">
        <f t="shared" si="1"/>
        <v/>
      </c>
      <c r="M54" t="str">
        <f t="shared" si="2"/>
        <v/>
      </c>
      <c r="N54" t="str">
        <f>IF(A54="","",IFERROR(VLOOKUP(A54,基础资料!$AE$5:$AF$204,2,FALSE),""))</f>
        <v/>
      </c>
    </row>
  </sheetData>
  <mergeCells count="1">
    <mergeCell ref="A1:N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3"/>
  <sheetViews>
    <sheetView workbookViewId="0">
      <selection activeCell="A1" sqref="A1:P1"/>
    </sheetView>
  </sheetViews>
  <sheetFormatPr defaultColWidth="9" defaultRowHeight="14.25"/>
  <cols>
    <col min="2" max="2" width="10.75" customWidth="1"/>
    <col min="3" max="3" width="8.375" customWidth="1"/>
    <col min="4" max="4" width="8.875" customWidth="1"/>
    <col min="5" max="5" width="9.375" customWidth="1"/>
    <col min="6" max="6" width="10.75" customWidth="1"/>
    <col min="7" max="11" width="9.375" customWidth="1"/>
  </cols>
  <sheetData>
    <row r="1" ht="20.25" spans="1:16">
      <c r="A1" s="45" t="s">
        <v>510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>
      <c r="A2" t="s">
        <v>511</v>
      </c>
    </row>
    <row r="3" ht="28.5" spans="1:16">
      <c r="A3" s="43" t="s">
        <v>491</v>
      </c>
      <c r="B3" s="43" t="s">
        <v>492</v>
      </c>
      <c r="C3" s="43" t="s">
        <v>172</v>
      </c>
      <c r="D3" s="43" t="s">
        <v>493</v>
      </c>
      <c r="E3" s="43" t="s">
        <v>512</v>
      </c>
      <c r="F3" s="43" t="s">
        <v>436</v>
      </c>
      <c r="G3" s="43" t="s">
        <v>513</v>
      </c>
      <c r="H3" s="43" t="s">
        <v>514</v>
      </c>
      <c r="I3" s="43" t="s">
        <v>515</v>
      </c>
      <c r="J3" s="43" t="s">
        <v>516</v>
      </c>
      <c r="K3" s="43" t="s">
        <v>517</v>
      </c>
      <c r="L3" s="43" t="s">
        <v>518</v>
      </c>
      <c r="M3" s="43" t="s">
        <v>519</v>
      </c>
      <c r="N3" s="43" t="s">
        <v>509</v>
      </c>
      <c r="O3" s="43" t="s">
        <v>47</v>
      </c>
      <c r="P3" s="43" t="s">
        <v>31</v>
      </c>
    </row>
    <row r="4" spans="1:16">
      <c r="A4" t="str">
        <f t="shared" ref="A4:A13" si="0">"期初"</f>
        <v>期初</v>
      </c>
      <c r="B4" s="5">
        <f>期初数据!L5</f>
        <v>46023</v>
      </c>
      <c r="C4" t="str">
        <f>期初数据!K5</f>
        <v>供应商A</v>
      </c>
      <c r="D4" t="str">
        <f t="shared" ref="D4:D13" si="1">"期初应付"</f>
        <v>期初应付</v>
      </c>
      <c r="E4" s="17">
        <f>期初数据!M5</f>
        <v>25000</v>
      </c>
      <c r="F4" s="5">
        <f>IF(B4="","",B4+IFERROR(VLOOKUP(C4,基础资料!$AE$5:$AG$204,3,FALSE),0))</f>
        <v>46053</v>
      </c>
      <c r="G4" s="17">
        <f>IF(C4="","",SUMIFS(资金流水!$K$4:$K$203,资金流水!$F$4:$F$203,C4,资金流水!$D$4:$D$203,"供应商付款",资金流水!$A$4:$A$203,"&lt;="&amp;EOMONTH(应付跟进!$B$2,0)))</f>
        <v>10000</v>
      </c>
      <c r="H4" s="17">
        <f>0</f>
        <v>0</v>
      </c>
      <c r="I4" s="17">
        <f t="shared" ref="I4:I67" si="2">IF(C4="","",MIN(E4,MAX(0,G4-H4)))</f>
        <v>10000</v>
      </c>
      <c r="J4" s="17">
        <f t="shared" ref="J4:J67" si="3">IF(C4="","",I4)</f>
        <v>10000</v>
      </c>
      <c r="K4" s="17">
        <f t="shared" ref="K4:K67" si="4">IF(C4="","",MAX(0,E4-J4))</f>
        <v>15000</v>
      </c>
      <c r="L4" s="59">
        <f>IF(C4="","",IF(OR(K4&lt;=0,F4=""),"",F4-EOMONTH(应付跟进!$B$2,0)))</f>
        <v>-150</v>
      </c>
      <c r="M4" t="str">
        <f t="shared" ref="M4:M67" si="5">IF(C4="","",IF(K4&lt;=0,"已付清",IF(L4&gt;30,"30天后到期",IF(L4&gt;0,"未来30天到期",IF(L4&gt;=-30,"逾期1-30天",IF(L4&gt;=-60,"逾期31-60天",IF(L4&gt;=-90,"逾期61-90天","逾期90天以上")))))))</f>
        <v>逾期90天以上</v>
      </c>
      <c r="N4" t="str">
        <f t="shared" ref="N4:N67" si="6">IF(C4="","",IF(K4&lt;=0,"已付清",IF(L4&lt;=-90,"紧急",IF(L4&lt;=0,"高",IF(L4&lt;=30,"中","低")))))</f>
        <v>紧急</v>
      </c>
      <c r="O4" t="str">
        <f>IFERROR(VLOOKUP(C4,基础资料!$AE$5:$AF$204,2,FALSE),"")</f>
        <v>王强</v>
      </c>
      <c r="P4" t="str">
        <f t="shared" ref="P4:P13" si="7">"期初应付"</f>
        <v>期初应付</v>
      </c>
    </row>
    <row r="5" spans="1:16">
      <c r="A5" t="str">
        <f t="shared" si="0"/>
        <v>期初</v>
      </c>
      <c r="B5" s="5">
        <f>期初数据!L6</f>
        <v>46023</v>
      </c>
      <c r="C5" t="str">
        <f>期初数据!K6</f>
        <v>供应商B</v>
      </c>
      <c r="D5" t="str">
        <f t="shared" si="1"/>
        <v>期初应付</v>
      </c>
      <c r="E5" s="17">
        <f>期初数据!M6</f>
        <v>22000</v>
      </c>
      <c r="F5" s="5">
        <f>IF(B5="","",B5+IFERROR(VLOOKUP(C5,基础资料!$AE$5:$AG$204,3,FALSE),0))</f>
        <v>46053</v>
      </c>
      <c r="G5" s="17">
        <f>IF(C5="","",SUMIFS(资金流水!$K$4:$K$203,资金流水!$F$4:$F$203,C5,资金流水!$D$4:$D$203,"供应商付款",资金流水!$A$4:$A$203,"&lt;="&amp;EOMONTH(应付跟进!$B$2,0)))</f>
        <v>0</v>
      </c>
      <c r="H5" s="17">
        <f>IF(C5="","",SUMIFS($E$4:E4,$C$4:C4,C5))</f>
        <v>0</v>
      </c>
      <c r="I5" s="17">
        <f t="shared" si="2"/>
        <v>0</v>
      </c>
      <c r="J5" s="17">
        <f t="shared" si="3"/>
        <v>0</v>
      </c>
      <c r="K5" s="17">
        <f t="shared" si="4"/>
        <v>22000</v>
      </c>
      <c r="L5" s="59">
        <f>IF(C5="","",IF(OR(K5&lt;=0,F5=""),"",F5-EOMONTH(应付跟进!$B$2,0)))</f>
        <v>-150</v>
      </c>
      <c r="M5" t="str">
        <f t="shared" si="5"/>
        <v>逾期90天以上</v>
      </c>
      <c r="N5" t="str">
        <f t="shared" si="6"/>
        <v>紧急</v>
      </c>
      <c r="O5" t="str">
        <f>IFERROR(VLOOKUP(C5,基础资料!$AE$5:$AF$204,2,FALSE),"")</f>
        <v>王强</v>
      </c>
      <c r="P5" t="str">
        <f t="shared" si="7"/>
        <v>期初应付</v>
      </c>
    </row>
    <row r="6" spans="1:16">
      <c r="A6" t="str">
        <f t="shared" si="0"/>
        <v>期初</v>
      </c>
      <c r="B6" s="5">
        <f>期初数据!L7</f>
        <v>46023</v>
      </c>
      <c r="C6" t="str">
        <f>期初数据!K7</f>
        <v>供应商C</v>
      </c>
      <c r="D6" t="str">
        <f t="shared" si="1"/>
        <v>期初应付</v>
      </c>
      <c r="E6" s="17">
        <f>期初数据!M7</f>
        <v>18000</v>
      </c>
      <c r="F6" s="5">
        <f>IF(B6="","",B6+IFERROR(VLOOKUP(C6,基础资料!$AE$5:$AG$204,3,FALSE),0))</f>
        <v>46068</v>
      </c>
      <c r="G6" s="17">
        <f>IF(C6="","",SUMIFS(资金流水!$K$4:$K$203,资金流水!$F$4:$F$203,C6,资金流水!$D$4:$D$203,"供应商付款",资金流水!$A$4:$A$203,"&lt;="&amp;EOMONTH(应付跟进!$B$2,0)))</f>
        <v>0</v>
      </c>
      <c r="H6" s="17">
        <f>IF(C6="","",SUMIFS($E$4:E5,$C$4:C5,C6))</f>
        <v>0</v>
      </c>
      <c r="I6" s="17">
        <f t="shared" si="2"/>
        <v>0</v>
      </c>
      <c r="J6" s="17">
        <f t="shared" si="3"/>
        <v>0</v>
      </c>
      <c r="K6" s="17">
        <f t="shared" si="4"/>
        <v>18000</v>
      </c>
      <c r="L6" s="59">
        <f>IF(C6="","",IF(OR(K6&lt;=0,F6=""),"",F6-EOMONTH(应付跟进!$B$2,0)))</f>
        <v>-135</v>
      </c>
      <c r="M6" t="str">
        <f t="shared" si="5"/>
        <v>逾期90天以上</v>
      </c>
      <c r="N6" t="str">
        <f t="shared" si="6"/>
        <v>紧急</v>
      </c>
      <c r="O6" t="str">
        <f>IFERROR(VLOOKUP(C6,基础资料!$AE$5:$AF$204,2,FALSE),"")</f>
        <v>王强</v>
      </c>
      <c r="P6" t="str">
        <f t="shared" si="7"/>
        <v>期初应付</v>
      </c>
    </row>
    <row r="7" spans="1:16">
      <c r="A7" t="str">
        <f t="shared" si="0"/>
        <v>期初</v>
      </c>
      <c r="B7" s="5">
        <f>期初数据!L8</f>
        <v>46023</v>
      </c>
      <c r="C7" t="str">
        <f>期初数据!K8</f>
        <v>供应商D</v>
      </c>
      <c r="D7" t="str">
        <f t="shared" si="1"/>
        <v>期初应付</v>
      </c>
      <c r="E7" s="17">
        <f>期初数据!M8</f>
        <v>30000</v>
      </c>
      <c r="F7" s="5">
        <f>IF(B7="","",B7+IFERROR(VLOOKUP(C7,基础资料!$AE$5:$AG$204,3,FALSE),0))</f>
        <v>46053</v>
      </c>
      <c r="G7" s="17">
        <f>IF(C7="","",SUMIFS(资金流水!$K$4:$K$203,资金流水!$F$4:$F$203,C7,资金流水!$D$4:$D$203,"供应商付款",资金流水!$A$4:$A$203,"&lt;="&amp;EOMONTH(应付跟进!$B$2,0)))</f>
        <v>0</v>
      </c>
      <c r="H7" s="17">
        <f>IF(C7="","",SUMIFS($E$4:E6,$C$4:C6,C7))</f>
        <v>0</v>
      </c>
      <c r="I7" s="17">
        <f t="shared" si="2"/>
        <v>0</v>
      </c>
      <c r="J7" s="17">
        <f t="shared" si="3"/>
        <v>0</v>
      </c>
      <c r="K7" s="17">
        <f t="shared" si="4"/>
        <v>30000</v>
      </c>
      <c r="L7" s="59">
        <f>IF(C7="","",IF(OR(K7&lt;=0,F7=""),"",F7-EOMONTH(应付跟进!$B$2,0)))</f>
        <v>-150</v>
      </c>
      <c r="M7" t="str">
        <f t="shared" si="5"/>
        <v>逾期90天以上</v>
      </c>
      <c r="N7" t="str">
        <f t="shared" si="6"/>
        <v>紧急</v>
      </c>
      <c r="O7" t="str">
        <f>IFERROR(VLOOKUP(C7,基础资料!$AE$5:$AF$204,2,FALSE),"")</f>
        <v>王强</v>
      </c>
      <c r="P7" t="str">
        <f t="shared" si="7"/>
        <v>期初应付</v>
      </c>
    </row>
    <row r="8" spans="1:16">
      <c r="A8" t="str">
        <f t="shared" si="0"/>
        <v>期初</v>
      </c>
      <c r="B8" s="5">
        <f>期初数据!L9</f>
        <v>46023</v>
      </c>
      <c r="C8" t="str">
        <f>期初数据!K9</f>
        <v>供应商E</v>
      </c>
      <c r="D8" t="str">
        <f t="shared" si="1"/>
        <v>期初应付</v>
      </c>
      <c r="E8" s="17">
        <f>期初数据!M9</f>
        <v>15000</v>
      </c>
      <c r="F8" s="5">
        <f>IF(B8="","",B8+IFERROR(VLOOKUP(C8,基础资料!$AE$5:$AG$204,3,FALSE),0))</f>
        <v>46083</v>
      </c>
      <c r="G8" s="17">
        <f>IF(C8="","",SUMIFS(资金流水!$K$4:$K$203,资金流水!$F$4:$F$203,C8,资金流水!$D$4:$D$203,"供应商付款",资金流水!$A$4:$A$203,"&lt;="&amp;EOMONTH(应付跟进!$B$2,0)))</f>
        <v>0</v>
      </c>
      <c r="H8" s="17">
        <f>IF(C8="","",SUMIFS($E$4:E7,$C$4:C7,C8))</f>
        <v>0</v>
      </c>
      <c r="I8" s="17">
        <f t="shared" si="2"/>
        <v>0</v>
      </c>
      <c r="J8" s="17">
        <f t="shared" si="3"/>
        <v>0</v>
      </c>
      <c r="K8" s="17">
        <f t="shared" si="4"/>
        <v>15000</v>
      </c>
      <c r="L8" s="59">
        <f>IF(C8="","",IF(OR(K8&lt;=0,F8=""),"",F8-EOMONTH(应付跟进!$B$2,0)))</f>
        <v>-120</v>
      </c>
      <c r="M8" t="str">
        <f t="shared" si="5"/>
        <v>逾期90天以上</v>
      </c>
      <c r="N8" t="str">
        <f t="shared" si="6"/>
        <v>紧急</v>
      </c>
      <c r="O8" t="str">
        <f>IFERROR(VLOOKUP(C8,基础资料!$AE$5:$AF$204,2,FALSE),"")</f>
        <v>王强</v>
      </c>
      <c r="P8" t="str">
        <f t="shared" si="7"/>
        <v>期初应付</v>
      </c>
    </row>
    <row r="9" spans="1:16">
      <c r="A9" t="str">
        <f t="shared" si="0"/>
        <v>期初</v>
      </c>
      <c r="B9" s="5">
        <f>期初数据!L10</f>
        <v>46023</v>
      </c>
      <c r="C9" t="str">
        <f>期初数据!K10</f>
        <v>供应商F</v>
      </c>
      <c r="D9" t="str">
        <f t="shared" si="1"/>
        <v>期初应付</v>
      </c>
      <c r="E9" s="17">
        <f>期初数据!M10</f>
        <v>24000</v>
      </c>
      <c r="F9" s="5">
        <f>IF(B9="","",B9+IFERROR(VLOOKUP(C9,基础资料!$AE$5:$AG$204,3,FALSE),0))</f>
        <v>46053</v>
      </c>
      <c r="G9" s="17">
        <f>IF(C9="","",SUMIFS(资金流水!$K$4:$K$203,资金流水!$F$4:$F$203,C9,资金流水!$D$4:$D$203,"供应商付款",资金流水!$A$4:$A$203,"&lt;="&amp;EOMONTH(应付跟进!$B$2,0)))</f>
        <v>0</v>
      </c>
      <c r="H9" s="17">
        <f>IF(C9="","",SUMIFS($E$4:E8,$C$4:C8,C9))</f>
        <v>0</v>
      </c>
      <c r="I9" s="17">
        <f t="shared" si="2"/>
        <v>0</v>
      </c>
      <c r="J9" s="17">
        <f t="shared" si="3"/>
        <v>0</v>
      </c>
      <c r="K9" s="17">
        <f t="shared" si="4"/>
        <v>24000</v>
      </c>
      <c r="L9" s="59">
        <f>IF(C9="","",IF(OR(K9&lt;=0,F9=""),"",F9-EOMONTH(应付跟进!$B$2,0)))</f>
        <v>-150</v>
      </c>
      <c r="M9" t="str">
        <f t="shared" si="5"/>
        <v>逾期90天以上</v>
      </c>
      <c r="N9" t="str">
        <f t="shared" si="6"/>
        <v>紧急</v>
      </c>
      <c r="O9" t="str">
        <f>IFERROR(VLOOKUP(C9,基础资料!$AE$5:$AF$204,2,FALSE),"")</f>
        <v>王强</v>
      </c>
      <c r="P9" t="str">
        <f t="shared" si="7"/>
        <v>期初应付</v>
      </c>
    </row>
    <row r="10" spans="1:16">
      <c r="A10" t="str">
        <f t="shared" si="0"/>
        <v>期初</v>
      </c>
      <c r="B10" s="5">
        <f>期初数据!L11</f>
        <v>46023</v>
      </c>
      <c r="C10" t="str">
        <f>期初数据!K11</f>
        <v>供应商G</v>
      </c>
      <c r="D10" t="str">
        <f t="shared" si="1"/>
        <v>期初应付</v>
      </c>
      <c r="E10" s="17">
        <f>期初数据!M11</f>
        <v>20000</v>
      </c>
      <c r="F10" s="5">
        <f>IF(B10="","",B10+IFERROR(VLOOKUP(C10,基础资料!$AE$5:$AG$204,3,FALSE),0))</f>
        <v>46068</v>
      </c>
      <c r="G10" s="17">
        <f>IF(C10="","",SUMIFS(资金流水!$K$4:$K$203,资金流水!$F$4:$F$203,C10,资金流水!$D$4:$D$203,"供应商付款",资金流水!$A$4:$A$203,"&lt;="&amp;EOMONTH(应付跟进!$B$2,0)))</f>
        <v>0</v>
      </c>
      <c r="H10" s="17">
        <f>IF(C10="","",SUMIFS($E$4:E9,$C$4:C9,C10))</f>
        <v>0</v>
      </c>
      <c r="I10" s="17">
        <f t="shared" si="2"/>
        <v>0</v>
      </c>
      <c r="J10" s="17">
        <f t="shared" si="3"/>
        <v>0</v>
      </c>
      <c r="K10" s="17">
        <f t="shared" si="4"/>
        <v>20000</v>
      </c>
      <c r="L10" s="59">
        <f>IF(C10="","",IF(OR(K10&lt;=0,F10=""),"",F10-EOMONTH(应付跟进!$B$2,0)))</f>
        <v>-135</v>
      </c>
      <c r="M10" t="str">
        <f t="shared" si="5"/>
        <v>逾期90天以上</v>
      </c>
      <c r="N10" t="str">
        <f t="shared" si="6"/>
        <v>紧急</v>
      </c>
      <c r="O10" t="str">
        <f>IFERROR(VLOOKUP(C10,基础资料!$AE$5:$AF$204,2,FALSE),"")</f>
        <v>王强</v>
      </c>
      <c r="P10" t="str">
        <f t="shared" si="7"/>
        <v>期初应付</v>
      </c>
    </row>
    <row r="11" spans="1:16">
      <c r="A11" t="str">
        <f t="shared" si="0"/>
        <v>期初</v>
      </c>
      <c r="B11" s="5">
        <f>期初数据!L12</f>
        <v>46023</v>
      </c>
      <c r="C11" t="str">
        <f>期初数据!K12</f>
        <v>供应商H</v>
      </c>
      <c r="D11" t="str">
        <f t="shared" si="1"/>
        <v>期初应付</v>
      </c>
      <c r="E11" s="17">
        <f>期初数据!M12</f>
        <v>16000</v>
      </c>
      <c r="F11" s="5">
        <f>IF(B11="","",B11+IFERROR(VLOOKUP(C11,基础资料!$AE$5:$AG$204,3,FALSE),0))</f>
        <v>46053</v>
      </c>
      <c r="G11" s="17">
        <f>IF(C11="","",SUMIFS(资金流水!$K$4:$K$203,资金流水!$F$4:$F$203,C11,资金流水!$D$4:$D$203,"供应商付款",资金流水!$A$4:$A$203,"&lt;="&amp;EOMONTH(应付跟进!$B$2,0)))</f>
        <v>0</v>
      </c>
      <c r="H11" s="17">
        <f>IF(C11="","",SUMIFS($E$4:E10,$C$4:C10,C11))</f>
        <v>0</v>
      </c>
      <c r="I11" s="17">
        <f t="shared" si="2"/>
        <v>0</v>
      </c>
      <c r="J11" s="17">
        <f t="shared" si="3"/>
        <v>0</v>
      </c>
      <c r="K11" s="17">
        <f t="shared" si="4"/>
        <v>16000</v>
      </c>
      <c r="L11" s="59">
        <f>IF(C11="","",IF(OR(K11&lt;=0,F11=""),"",F11-EOMONTH(应付跟进!$B$2,0)))</f>
        <v>-150</v>
      </c>
      <c r="M11" t="str">
        <f t="shared" si="5"/>
        <v>逾期90天以上</v>
      </c>
      <c r="N11" t="str">
        <f t="shared" si="6"/>
        <v>紧急</v>
      </c>
      <c r="O11" t="str">
        <f>IFERROR(VLOOKUP(C11,基础资料!$AE$5:$AF$204,2,FALSE),"")</f>
        <v>王强</v>
      </c>
      <c r="P11" t="str">
        <f t="shared" si="7"/>
        <v>期初应付</v>
      </c>
    </row>
    <row r="12" spans="1:16">
      <c r="A12" t="str">
        <f t="shared" si="0"/>
        <v>期初</v>
      </c>
      <c r="B12" s="5">
        <f>期初数据!L13</f>
        <v>46023</v>
      </c>
      <c r="C12" t="str">
        <f>期初数据!K13</f>
        <v>供应商I</v>
      </c>
      <c r="D12" t="str">
        <f t="shared" si="1"/>
        <v>期初应付</v>
      </c>
      <c r="E12" s="17">
        <f>期初数据!M13</f>
        <v>18000</v>
      </c>
      <c r="F12" s="5">
        <f>IF(B12="","",B12+IFERROR(VLOOKUP(C12,基础资料!$AE$5:$AG$204,3,FALSE),0))</f>
        <v>46053</v>
      </c>
      <c r="G12" s="17">
        <f>IF(C12="","",SUMIFS(资金流水!$K$4:$K$203,资金流水!$F$4:$F$203,C12,资金流水!$D$4:$D$203,"供应商付款",资金流水!$A$4:$A$203,"&lt;="&amp;EOMONTH(应付跟进!$B$2,0)))</f>
        <v>0</v>
      </c>
      <c r="H12" s="17">
        <f>IF(C12="","",SUMIFS($E$4:E11,$C$4:C11,C12))</f>
        <v>0</v>
      </c>
      <c r="I12" s="17">
        <f t="shared" si="2"/>
        <v>0</v>
      </c>
      <c r="J12" s="17">
        <f t="shared" si="3"/>
        <v>0</v>
      </c>
      <c r="K12" s="17">
        <f t="shared" si="4"/>
        <v>18000</v>
      </c>
      <c r="L12" s="59">
        <f>IF(C12="","",IF(OR(K12&lt;=0,F12=""),"",F12-EOMONTH(应付跟进!$B$2,0)))</f>
        <v>-150</v>
      </c>
      <c r="M12" t="str">
        <f t="shared" si="5"/>
        <v>逾期90天以上</v>
      </c>
      <c r="N12" t="str">
        <f t="shared" si="6"/>
        <v>紧急</v>
      </c>
      <c r="O12" t="str">
        <f>IFERROR(VLOOKUP(C12,基础资料!$AE$5:$AF$204,2,FALSE),"")</f>
        <v>王强</v>
      </c>
      <c r="P12" t="str">
        <f t="shared" si="7"/>
        <v>期初应付</v>
      </c>
    </row>
    <row r="13" spans="1:16">
      <c r="A13" t="str">
        <f t="shared" si="0"/>
        <v>期初</v>
      </c>
      <c r="B13" s="5">
        <f>期初数据!L14</f>
        <v>46023</v>
      </c>
      <c r="C13" t="str">
        <f>期初数据!K14</f>
        <v>供应商J</v>
      </c>
      <c r="D13" t="str">
        <f t="shared" si="1"/>
        <v>期初应付</v>
      </c>
      <c r="E13" s="17">
        <f>期初数据!M14</f>
        <v>22000</v>
      </c>
      <c r="F13" s="5">
        <f>IF(B13="","",B13+IFERROR(VLOOKUP(C13,基础资料!$AE$5:$AG$204,3,FALSE),0))</f>
        <v>46083</v>
      </c>
      <c r="G13" s="17">
        <f>IF(C13="","",SUMIFS(资金流水!$K$4:$K$203,资金流水!$F$4:$F$203,C13,资金流水!$D$4:$D$203,"供应商付款",资金流水!$A$4:$A$203,"&lt;="&amp;EOMONTH(应付跟进!$B$2,0)))</f>
        <v>0</v>
      </c>
      <c r="H13" s="17">
        <f>IF(C13="","",SUMIFS($E$4:E12,$C$4:C12,C13))</f>
        <v>0</v>
      </c>
      <c r="I13" s="17">
        <f t="shared" si="2"/>
        <v>0</v>
      </c>
      <c r="J13" s="17">
        <f t="shared" si="3"/>
        <v>0</v>
      </c>
      <c r="K13" s="17">
        <f t="shared" si="4"/>
        <v>22000</v>
      </c>
      <c r="L13" s="59">
        <f>IF(C13="","",IF(OR(K13&lt;=0,F13=""),"",F13-EOMONTH(应付跟进!$B$2,0)))</f>
        <v>-120</v>
      </c>
      <c r="M13" t="str">
        <f t="shared" si="5"/>
        <v>逾期90天以上</v>
      </c>
      <c r="N13" t="str">
        <f t="shared" si="6"/>
        <v>紧急</v>
      </c>
      <c r="O13" t="str">
        <f>IFERROR(VLOOKUP(C13,基础资料!$AE$5:$AF$204,2,FALSE),"")</f>
        <v>王强</v>
      </c>
      <c r="P13" t="str">
        <f t="shared" si="7"/>
        <v>期初应付</v>
      </c>
    </row>
    <row r="14" spans="1:16">
      <c r="A14" t="str">
        <f>IF(采购录入!A4="","","采购")</f>
        <v>采购</v>
      </c>
      <c r="B14" s="5">
        <f>IF(采购录入!A4="","",采购录入!A4)</f>
        <v>46174</v>
      </c>
      <c r="C14" t="str">
        <f>IF(采购录入!A4="","",采购录入!C4)</f>
        <v>供应商A</v>
      </c>
      <c r="D14" t="str">
        <f>IF(采购录入!A4="","",采购录入!D4)</f>
        <v>A配件</v>
      </c>
      <c r="E14" s="17">
        <f>IF(采购录入!A4="","",采购录入!I4)</f>
        <v>3000</v>
      </c>
      <c r="F14" s="5">
        <f>IF(采购录入!A4="","",采购录入!J4)</f>
        <v>46204</v>
      </c>
      <c r="G14" s="17">
        <f>IF(C14="","",SUMIFS(资金流水!$K$4:$K$203,资金流水!$F$4:$F$203,C14,资金流水!$D$4:$D$203,"供应商付款",资金流水!$A$4:$A$203,"&lt;="&amp;EOMONTH(应付跟进!$B$2,0)))</f>
        <v>10000</v>
      </c>
      <c r="H14" s="17">
        <f>IF(C14="","",SUMIFS($E$4:E13,$C$4:C13,C14))</f>
        <v>25000</v>
      </c>
      <c r="I14" s="17">
        <f t="shared" si="2"/>
        <v>0</v>
      </c>
      <c r="J14" s="17">
        <f t="shared" si="3"/>
        <v>0</v>
      </c>
      <c r="K14" s="17">
        <f t="shared" si="4"/>
        <v>3000</v>
      </c>
      <c r="L14" s="59">
        <f>IF(C14="","",IF(OR(K14&lt;=0,F14=""),"",F14-EOMONTH(应付跟进!$B$2,0)))</f>
        <v>1</v>
      </c>
      <c r="M14" t="str">
        <f t="shared" si="5"/>
        <v>未来30天到期</v>
      </c>
      <c r="N14" t="str">
        <f t="shared" si="6"/>
        <v>中</v>
      </c>
      <c r="O14" t="str">
        <f>IF(采购录入!A4="","",采购录入!L4)</f>
        <v>王强</v>
      </c>
      <c r="P14" t="str">
        <f>IF(采购录入!A4="","",采购录入!M4)</f>
        <v>演示采购</v>
      </c>
    </row>
    <row r="15" spans="1:16">
      <c r="A15" t="str">
        <f>IF(采购录入!A5="","","采购")</f>
        <v>采购</v>
      </c>
      <c r="B15" s="5">
        <f>IF(采购录入!A5="","",采购录入!A5)</f>
        <v>46176</v>
      </c>
      <c r="C15" t="str">
        <f>IF(采购录入!A5="","",采购录入!C5)</f>
        <v>供应商B</v>
      </c>
      <c r="D15" t="str">
        <f>IF(采购录入!A5="","",采购录入!D5)</f>
        <v>B配件</v>
      </c>
      <c r="E15" s="17">
        <f>IF(采购录入!A5="","",采购录入!I5)</f>
        <v>2500</v>
      </c>
      <c r="F15" s="5">
        <f>IF(采购录入!A5="","",采购录入!J5)</f>
        <v>46206</v>
      </c>
      <c r="G15" s="17">
        <f>IF(C15="","",SUMIFS(资金流水!$K$4:$K$203,资金流水!$F$4:$F$203,C15,资金流水!$D$4:$D$203,"供应商付款",资金流水!$A$4:$A$203,"&lt;="&amp;EOMONTH(应付跟进!$B$2,0)))</f>
        <v>0</v>
      </c>
      <c r="H15" s="17">
        <f>IF(C15="","",SUMIFS($E$4:E14,$C$4:C14,C15))</f>
        <v>22000</v>
      </c>
      <c r="I15" s="17">
        <f t="shared" si="2"/>
        <v>0</v>
      </c>
      <c r="J15" s="17">
        <f t="shared" si="3"/>
        <v>0</v>
      </c>
      <c r="K15" s="17">
        <f t="shared" si="4"/>
        <v>2500</v>
      </c>
      <c r="L15" s="59">
        <f>IF(C15="","",IF(OR(K15&lt;=0,F15=""),"",F15-EOMONTH(应付跟进!$B$2,0)))</f>
        <v>3</v>
      </c>
      <c r="M15" t="str">
        <f t="shared" si="5"/>
        <v>未来30天到期</v>
      </c>
      <c r="N15" t="str">
        <f t="shared" si="6"/>
        <v>中</v>
      </c>
      <c r="O15" t="str">
        <f>IF(采购录入!A5="","",采购录入!L5)</f>
        <v>王强</v>
      </c>
      <c r="P15" t="str">
        <f>IF(采购录入!A5="","",采购录入!M5)</f>
        <v>演示采购</v>
      </c>
    </row>
    <row r="16" spans="1:16">
      <c r="A16" t="str">
        <f>IF(采购录入!A6="","","采购")</f>
        <v>采购</v>
      </c>
      <c r="B16" s="5">
        <f>IF(采购录入!A6="","",采购录入!A6)</f>
        <v>46178</v>
      </c>
      <c r="C16" t="str">
        <f>IF(采购录入!A6="","",采购录入!C6)</f>
        <v>供应商C</v>
      </c>
      <c r="D16" t="str">
        <f>IF(采购录入!A6="","",采购录入!D6)</f>
        <v>C配件</v>
      </c>
      <c r="E16" s="17">
        <f>IF(采购录入!A6="","",采购录入!I6)</f>
        <v>2500</v>
      </c>
      <c r="F16" s="5">
        <f>IF(采购录入!A6="","",采购录入!J6)</f>
        <v>46223</v>
      </c>
      <c r="G16" s="17">
        <f>IF(C16="","",SUMIFS(资金流水!$K$4:$K$203,资金流水!$F$4:$F$203,C16,资金流水!$D$4:$D$203,"供应商付款",资金流水!$A$4:$A$203,"&lt;="&amp;EOMONTH(应付跟进!$B$2,0)))</f>
        <v>0</v>
      </c>
      <c r="H16" s="17">
        <f>IF(C16="","",SUMIFS($E$4:E15,$C$4:C15,C16))</f>
        <v>18000</v>
      </c>
      <c r="I16" s="17">
        <f t="shared" si="2"/>
        <v>0</v>
      </c>
      <c r="J16" s="17">
        <f t="shared" si="3"/>
        <v>0</v>
      </c>
      <c r="K16" s="17">
        <f t="shared" si="4"/>
        <v>2500</v>
      </c>
      <c r="L16" s="59">
        <f>IF(C16="","",IF(OR(K16&lt;=0,F16=""),"",F16-EOMONTH(应付跟进!$B$2,0)))</f>
        <v>20</v>
      </c>
      <c r="M16" t="str">
        <f t="shared" si="5"/>
        <v>未来30天到期</v>
      </c>
      <c r="N16" t="str">
        <f t="shared" si="6"/>
        <v>中</v>
      </c>
      <c r="O16" t="str">
        <f>IF(采购录入!A6="","",采购录入!L6)</f>
        <v>王强</v>
      </c>
      <c r="P16" t="str">
        <f>IF(采购录入!A6="","",采购录入!M6)</f>
        <v>演示采购</v>
      </c>
    </row>
    <row r="17" spans="1:16">
      <c r="A17" t="str">
        <f>IF(采购录入!A7="","","采购")</f>
        <v>采购</v>
      </c>
      <c r="B17" s="5">
        <f>IF(采购录入!A7="","",采购录入!A7)</f>
        <v>46180</v>
      </c>
      <c r="C17" t="str">
        <f>IF(采购录入!A7="","",采购录入!C7)</f>
        <v>供应商D</v>
      </c>
      <c r="D17" t="str">
        <f>IF(采购录入!A7="","",采购录入!D7)</f>
        <v>D配件</v>
      </c>
      <c r="E17" s="17">
        <f>IF(采购录入!A7="","",采购录入!I7)</f>
        <v>2000</v>
      </c>
      <c r="F17" s="5">
        <f>IF(采购录入!A7="","",采购录入!J7)</f>
        <v>46210</v>
      </c>
      <c r="G17" s="17">
        <f>IF(C17="","",SUMIFS(资金流水!$K$4:$K$203,资金流水!$F$4:$F$203,C17,资金流水!$D$4:$D$203,"供应商付款",资金流水!$A$4:$A$203,"&lt;="&amp;EOMONTH(应付跟进!$B$2,0)))</f>
        <v>0</v>
      </c>
      <c r="H17" s="17">
        <f>IF(C17="","",SUMIFS($E$4:E16,$C$4:C16,C17))</f>
        <v>30000</v>
      </c>
      <c r="I17" s="17">
        <f t="shared" si="2"/>
        <v>0</v>
      </c>
      <c r="J17" s="17">
        <f t="shared" si="3"/>
        <v>0</v>
      </c>
      <c r="K17" s="17">
        <f t="shared" si="4"/>
        <v>2000</v>
      </c>
      <c r="L17" s="59">
        <f>IF(C17="","",IF(OR(K17&lt;=0,F17=""),"",F17-EOMONTH(应付跟进!$B$2,0)))</f>
        <v>7</v>
      </c>
      <c r="M17" t="str">
        <f t="shared" si="5"/>
        <v>未来30天到期</v>
      </c>
      <c r="N17" t="str">
        <f t="shared" si="6"/>
        <v>中</v>
      </c>
      <c r="O17" t="str">
        <f>IF(采购录入!A7="","",采购录入!L7)</f>
        <v>王强</v>
      </c>
      <c r="P17" t="str">
        <f>IF(采购录入!A7="","",采购录入!M7)</f>
        <v>演示采购</v>
      </c>
    </row>
    <row r="18" spans="1:16">
      <c r="A18" t="str">
        <f>IF(采购录入!A8="","","采购")</f>
        <v>采购</v>
      </c>
      <c r="B18" s="5">
        <f>IF(采购录入!A8="","",采购录入!A8)</f>
        <v>46182</v>
      </c>
      <c r="C18" t="str">
        <f>IF(采购录入!A8="","",采购录入!C8)</f>
        <v>供应商E</v>
      </c>
      <c r="D18" t="str">
        <f>IF(采购录入!A8="","",采购录入!D8)</f>
        <v>E配件</v>
      </c>
      <c r="E18" s="17">
        <f>IF(采购录入!A8="","",采购录入!I8)</f>
        <v>2000</v>
      </c>
      <c r="F18" s="5">
        <f>IF(采购录入!A8="","",采购录入!J8)</f>
        <v>46242</v>
      </c>
      <c r="G18" s="17">
        <f>IF(C18="","",SUMIFS(资金流水!$K$4:$K$203,资金流水!$F$4:$F$203,C18,资金流水!$D$4:$D$203,"供应商付款",资金流水!$A$4:$A$203,"&lt;="&amp;EOMONTH(应付跟进!$B$2,0)))</f>
        <v>0</v>
      </c>
      <c r="H18" s="17">
        <f>IF(C18="","",SUMIFS($E$4:E17,$C$4:C17,C18))</f>
        <v>15000</v>
      </c>
      <c r="I18" s="17">
        <f t="shared" si="2"/>
        <v>0</v>
      </c>
      <c r="J18" s="17">
        <f t="shared" si="3"/>
        <v>0</v>
      </c>
      <c r="K18" s="17">
        <f t="shared" si="4"/>
        <v>2000</v>
      </c>
      <c r="L18" s="59">
        <f>IF(C18="","",IF(OR(K18&lt;=0,F18=""),"",F18-EOMONTH(应付跟进!$B$2,0)))</f>
        <v>39</v>
      </c>
      <c r="M18" t="str">
        <f t="shared" si="5"/>
        <v>30天后到期</v>
      </c>
      <c r="N18" t="str">
        <f t="shared" si="6"/>
        <v>低</v>
      </c>
      <c r="O18" t="str">
        <f>IF(采购录入!A8="","",采购录入!L8)</f>
        <v>王强</v>
      </c>
      <c r="P18" t="str">
        <f>IF(采购录入!A8="","",采购录入!M8)</f>
        <v>演示采购</v>
      </c>
    </row>
    <row r="19" spans="1:16">
      <c r="A19" t="str">
        <f>IF(采购录入!A9="","","采购")</f>
        <v>采购</v>
      </c>
      <c r="B19" s="5">
        <f>IF(采购录入!A9="","",采购录入!A9)</f>
        <v>46184</v>
      </c>
      <c r="C19" t="str">
        <f>IF(采购录入!A9="","",采购录入!C9)</f>
        <v>供应商F</v>
      </c>
      <c r="D19" t="str">
        <f>IF(采购录入!A9="","",采购录入!D9)</f>
        <v>F配件</v>
      </c>
      <c r="E19" s="17">
        <f>IF(采购录入!A9="","",采购录入!I9)</f>
        <v>2000</v>
      </c>
      <c r="F19" s="5">
        <f>IF(采购录入!A9="","",采购录入!J9)</f>
        <v>46214</v>
      </c>
      <c r="G19" s="17">
        <f>IF(C19="","",SUMIFS(资金流水!$K$4:$K$203,资金流水!$F$4:$F$203,C19,资金流水!$D$4:$D$203,"供应商付款",资金流水!$A$4:$A$203,"&lt;="&amp;EOMONTH(应付跟进!$B$2,0)))</f>
        <v>0</v>
      </c>
      <c r="H19" s="17">
        <f>IF(C19="","",SUMIFS($E$4:E18,$C$4:C18,C19))</f>
        <v>24000</v>
      </c>
      <c r="I19" s="17">
        <f t="shared" si="2"/>
        <v>0</v>
      </c>
      <c r="J19" s="17">
        <f t="shared" si="3"/>
        <v>0</v>
      </c>
      <c r="K19" s="17">
        <f t="shared" si="4"/>
        <v>2000</v>
      </c>
      <c r="L19" s="59">
        <f>IF(C19="","",IF(OR(K19&lt;=0,F19=""),"",F19-EOMONTH(应付跟进!$B$2,0)))</f>
        <v>11</v>
      </c>
      <c r="M19" t="str">
        <f t="shared" si="5"/>
        <v>未来30天到期</v>
      </c>
      <c r="N19" t="str">
        <f t="shared" si="6"/>
        <v>中</v>
      </c>
      <c r="O19" t="str">
        <f>IF(采购录入!A9="","",采购录入!L9)</f>
        <v>王强</v>
      </c>
      <c r="P19" t="str">
        <f>IF(采购录入!A9="","",采购录入!M9)</f>
        <v>演示采购</v>
      </c>
    </row>
    <row r="20" spans="1:16">
      <c r="A20" t="str">
        <f>IF(采购录入!A10="","","采购")</f>
        <v>采购</v>
      </c>
      <c r="B20" s="5">
        <f>IF(采购录入!A10="","",采购录入!A10)</f>
        <v>46186</v>
      </c>
      <c r="C20" t="str">
        <f>IF(采购录入!A10="","",采购录入!C10)</f>
        <v>供应商G</v>
      </c>
      <c r="D20" t="str">
        <f>IF(采购录入!A10="","",采购录入!D10)</f>
        <v>G配件</v>
      </c>
      <c r="E20" s="17">
        <f>IF(采购录入!A10="","",采购录入!I10)</f>
        <v>1500</v>
      </c>
      <c r="F20" s="5">
        <f>IF(采购录入!A10="","",采购录入!J10)</f>
        <v>46231</v>
      </c>
      <c r="G20" s="17">
        <f>IF(C20="","",SUMIFS(资金流水!$K$4:$K$203,资金流水!$F$4:$F$203,C20,资金流水!$D$4:$D$203,"供应商付款",资金流水!$A$4:$A$203,"&lt;="&amp;EOMONTH(应付跟进!$B$2,0)))</f>
        <v>0</v>
      </c>
      <c r="H20" s="17">
        <f>IF(C20="","",SUMIFS($E$4:E19,$C$4:C19,C20))</f>
        <v>20000</v>
      </c>
      <c r="I20" s="17">
        <f t="shared" si="2"/>
        <v>0</v>
      </c>
      <c r="J20" s="17">
        <f t="shared" si="3"/>
        <v>0</v>
      </c>
      <c r="K20" s="17">
        <f t="shared" si="4"/>
        <v>1500</v>
      </c>
      <c r="L20" s="59">
        <f>IF(C20="","",IF(OR(K20&lt;=0,F20=""),"",F20-EOMONTH(应付跟进!$B$2,0)))</f>
        <v>28</v>
      </c>
      <c r="M20" t="str">
        <f t="shared" si="5"/>
        <v>未来30天到期</v>
      </c>
      <c r="N20" t="str">
        <f t="shared" si="6"/>
        <v>中</v>
      </c>
      <c r="O20" t="str">
        <f>IF(采购录入!A10="","",采购录入!L10)</f>
        <v>王强</v>
      </c>
      <c r="P20" t="str">
        <f>IF(采购录入!A10="","",采购录入!M10)</f>
        <v>演示采购</v>
      </c>
    </row>
    <row r="21" spans="1:16">
      <c r="A21" t="str">
        <f>IF(采购录入!A11="","","采购")</f>
        <v>采购</v>
      </c>
      <c r="B21" s="5">
        <f>IF(采购录入!A11="","",采购录入!A11)</f>
        <v>46188</v>
      </c>
      <c r="C21" t="str">
        <f>IF(采购录入!A11="","",采购录入!C11)</f>
        <v>供应商H</v>
      </c>
      <c r="D21" t="str">
        <f>IF(采购录入!A11="","",采购录入!D11)</f>
        <v>H配件</v>
      </c>
      <c r="E21" s="17">
        <f>IF(采购录入!A11="","",采购录入!I11)</f>
        <v>1800</v>
      </c>
      <c r="F21" s="5">
        <f>IF(采购录入!A11="","",采购录入!J11)</f>
        <v>46218</v>
      </c>
      <c r="G21" s="17">
        <f>IF(C21="","",SUMIFS(资金流水!$K$4:$K$203,资金流水!$F$4:$F$203,C21,资金流水!$D$4:$D$203,"供应商付款",资金流水!$A$4:$A$203,"&lt;="&amp;EOMONTH(应付跟进!$B$2,0)))</f>
        <v>0</v>
      </c>
      <c r="H21" s="17">
        <f>IF(C21="","",SUMIFS($E$4:E20,$C$4:C20,C21))</f>
        <v>16000</v>
      </c>
      <c r="I21" s="17">
        <f t="shared" si="2"/>
        <v>0</v>
      </c>
      <c r="J21" s="17">
        <f t="shared" si="3"/>
        <v>0</v>
      </c>
      <c r="K21" s="17">
        <f t="shared" si="4"/>
        <v>1800</v>
      </c>
      <c r="L21" s="59">
        <f>IF(C21="","",IF(OR(K21&lt;=0,F21=""),"",F21-EOMONTH(应付跟进!$B$2,0)))</f>
        <v>15</v>
      </c>
      <c r="M21" t="str">
        <f t="shared" si="5"/>
        <v>未来30天到期</v>
      </c>
      <c r="N21" t="str">
        <f t="shared" si="6"/>
        <v>中</v>
      </c>
      <c r="O21" t="str">
        <f>IF(采购录入!A11="","",采购录入!L11)</f>
        <v>王强</v>
      </c>
      <c r="P21" t="str">
        <f>IF(采购录入!A11="","",采购录入!M11)</f>
        <v>演示采购</v>
      </c>
    </row>
    <row r="22" spans="1:16">
      <c r="A22" t="str">
        <f>IF(采购录入!A12="","","采购")</f>
        <v>采购</v>
      </c>
      <c r="B22" s="5">
        <f>IF(采购录入!A12="","",采购录入!A12)</f>
        <v>46190</v>
      </c>
      <c r="C22" t="str">
        <f>IF(采购录入!A12="","",采购录入!C12)</f>
        <v>供应商I</v>
      </c>
      <c r="D22" t="str">
        <f>IF(采购录入!A12="","",采购录入!D12)</f>
        <v>I配件</v>
      </c>
      <c r="E22" s="17">
        <f>IF(采购录入!A12="","",采购录入!I12)</f>
        <v>1200</v>
      </c>
      <c r="F22" s="5">
        <f>IF(采购录入!A12="","",采购录入!J12)</f>
        <v>46220</v>
      </c>
      <c r="G22" s="17">
        <f>IF(C22="","",SUMIFS(资金流水!$K$4:$K$203,资金流水!$F$4:$F$203,C22,资金流水!$D$4:$D$203,"供应商付款",资金流水!$A$4:$A$203,"&lt;="&amp;EOMONTH(应付跟进!$B$2,0)))</f>
        <v>0</v>
      </c>
      <c r="H22" s="17">
        <f>IF(C22="","",SUMIFS($E$4:E21,$C$4:C21,C22))</f>
        <v>18000</v>
      </c>
      <c r="I22" s="17">
        <f t="shared" si="2"/>
        <v>0</v>
      </c>
      <c r="J22" s="17">
        <f t="shared" si="3"/>
        <v>0</v>
      </c>
      <c r="K22" s="17">
        <f t="shared" si="4"/>
        <v>1200</v>
      </c>
      <c r="L22" s="59">
        <f>IF(C22="","",IF(OR(K22&lt;=0,F22=""),"",F22-EOMONTH(应付跟进!$B$2,0)))</f>
        <v>17</v>
      </c>
      <c r="M22" t="str">
        <f t="shared" si="5"/>
        <v>未来30天到期</v>
      </c>
      <c r="N22" t="str">
        <f t="shared" si="6"/>
        <v>中</v>
      </c>
      <c r="O22" t="str">
        <f>IF(采购录入!A12="","",采购录入!L12)</f>
        <v>王强</v>
      </c>
      <c r="P22" t="str">
        <f>IF(采购录入!A12="","",采购录入!M12)</f>
        <v>演示采购</v>
      </c>
    </row>
    <row r="23" spans="1:16">
      <c r="A23" t="str">
        <f>IF(采购录入!A13="","","采购")</f>
        <v>采购</v>
      </c>
      <c r="B23" s="5">
        <f>IF(采购录入!A13="","",采购录入!A13)</f>
        <v>46192</v>
      </c>
      <c r="C23" t="str">
        <f>IF(采购录入!A13="","",采购录入!C13)</f>
        <v>供应商J</v>
      </c>
      <c r="D23" t="str">
        <f>IF(采购录入!A13="","",采购录入!D13)</f>
        <v>J配件</v>
      </c>
      <c r="E23" s="17">
        <f>IF(采购录入!A13="","",采购录入!I13)</f>
        <v>1800</v>
      </c>
      <c r="F23" s="5">
        <f>IF(采购录入!A13="","",采购录入!J13)</f>
        <v>46252</v>
      </c>
      <c r="G23" s="17">
        <f>IF(C23="","",SUMIFS(资金流水!$K$4:$K$203,资金流水!$F$4:$F$203,C23,资金流水!$D$4:$D$203,"供应商付款",资金流水!$A$4:$A$203,"&lt;="&amp;EOMONTH(应付跟进!$B$2,0)))</f>
        <v>0</v>
      </c>
      <c r="H23" s="17">
        <f>IF(C23="","",SUMIFS($E$4:E22,$C$4:C22,C23))</f>
        <v>22000</v>
      </c>
      <c r="I23" s="17">
        <f t="shared" si="2"/>
        <v>0</v>
      </c>
      <c r="J23" s="17">
        <f t="shared" si="3"/>
        <v>0</v>
      </c>
      <c r="K23" s="17">
        <f t="shared" si="4"/>
        <v>1800</v>
      </c>
      <c r="L23" s="59">
        <f>IF(C23="","",IF(OR(K23&lt;=0,F23=""),"",F23-EOMONTH(应付跟进!$B$2,0)))</f>
        <v>49</v>
      </c>
      <c r="M23" t="str">
        <f t="shared" si="5"/>
        <v>30天后到期</v>
      </c>
      <c r="N23" t="str">
        <f t="shared" si="6"/>
        <v>低</v>
      </c>
      <c r="O23" t="str">
        <f>IF(采购录入!A13="","",采购录入!L13)</f>
        <v>王强</v>
      </c>
      <c r="P23" t="str">
        <f>IF(采购录入!A13="","",采购录入!M13)</f>
        <v>演示采购</v>
      </c>
    </row>
    <row r="24" spans="1:16">
      <c r="A24" t="str">
        <f>IF(采购录入!A14="","","采购")</f>
        <v/>
      </c>
      <c r="B24" s="5" t="str">
        <f>IF(采购录入!A14="","",采购录入!A14)</f>
        <v/>
      </c>
      <c r="C24" t="str">
        <f>IF(采购录入!A14="","",采购录入!C14)</f>
        <v/>
      </c>
      <c r="D24" t="str">
        <f>IF(采购录入!A14="","",采购录入!D14)</f>
        <v/>
      </c>
      <c r="E24" s="17" t="str">
        <f>IF(采购录入!A14="","",采购录入!I14)</f>
        <v/>
      </c>
      <c r="F24" s="5" t="str">
        <f>IF(采购录入!A14="","",采购录入!J14)</f>
        <v/>
      </c>
      <c r="G24" s="17" t="str">
        <f>IF(C24="","",SUMIFS(资金流水!$K$4:$K$203,资金流水!$F$4:$F$203,C24,资金流水!$D$4:$D$203,"供应商付款",资金流水!$A$4:$A$203,"&lt;="&amp;EOMONTH(应付跟进!$B$2,0)))</f>
        <v/>
      </c>
      <c r="H24" s="17" t="str">
        <f>IF(C24="","",SUMIFS($E$4:E23,$C$4:C23,C24))</f>
        <v/>
      </c>
      <c r="I24" s="17" t="str">
        <f t="shared" si="2"/>
        <v/>
      </c>
      <c r="J24" s="17" t="str">
        <f t="shared" si="3"/>
        <v/>
      </c>
      <c r="K24" s="17" t="str">
        <f t="shared" si="4"/>
        <v/>
      </c>
      <c r="L24" s="59" t="str">
        <f>IF(C24="","",IF(OR(K24&lt;=0,F24=""),"",F24-EOMONTH(应付跟进!$B$2,0)))</f>
        <v/>
      </c>
      <c r="M24" t="str">
        <f t="shared" si="5"/>
        <v/>
      </c>
      <c r="N24" t="str">
        <f t="shared" si="6"/>
        <v/>
      </c>
      <c r="O24" t="str">
        <f>IF(采购录入!A14="","",采购录入!L14)</f>
        <v/>
      </c>
      <c r="P24" t="str">
        <f>IF(采购录入!A14="","",采购录入!M14)</f>
        <v/>
      </c>
    </row>
    <row r="25" spans="1:16">
      <c r="A25" t="str">
        <f>IF(采购录入!A15="","","采购")</f>
        <v/>
      </c>
      <c r="B25" s="5" t="str">
        <f>IF(采购录入!A15="","",采购录入!A15)</f>
        <v/>
      </c>
      <c r="C25" t="str">
        <f>IF(采购录入!A15="","",采购录入!C15)</f>
        <v/>
      </c>
      <c r="D25" t="str">
        <f>IF(采购录入!A15="","",采购录入!D15)</f>
        <v/>
      </c>
      <c r="E25" s="17" t="str">
        <f>IF(采购录入!A15="","",采购录入!I15)</f>
        <v/>
      </c>
      <c r="F25" s="5" t="str">
        <f>IF(采购录入!A15="","",采购录入!J15)</f>
        <v/>
      </c>
      <c r="G25" s="17" t="str">
        <f>IF(C25="","",SUMIFS(资金流水!$K$4:$K$203,资金流水!$F$4:$F$203,C25,资金流水!$D$4:$D$203,"供应商付款",资金流水!$A$4:$A$203,"&lt;="&amp;EOMONTH(应付跟进!$B$2,0)))</f>
        <v/>
      </c>
      <c r="H25" s="17" t="str">
        <f>IF(C25="","",SUMIFS($E$4:E24,$C$4:C24,C25))</f>
        <v/>
      </c>
      <c r="I25" s="17" t="str">
        <f t="shared" si="2"/>
        <v/>
      </c>
      <c r="J25" s="17" t="str">
        <f t="shared" si="3"/>
        <v/>
      </c>
      <c r="K25" s="17" t="str">
        <f t="shared" si="4"/>
        <v/>
      </c>
      <c r="L25" s="59" t="str">
        <f>IF(C25="","",IF(OR(K25&lt;=0,F25=""),"",F25-EOMONTH(应付跟进!$B$2,0)))</f>
        <v/>
      </c>
      <c r="M25" t="str">
        <f t="shared" si="5"/>
        <v/>
      </c>
      <c r="N25" t="str">
        <f t="shared" si="6"/>
        <v/>
      </c>
      <c r="O25" t="str">
        <f>IF(采购录入!A15="","",采购录入!L15)</f>
        <v/>
      </c>
      <c r="P25" t="str">
        <f>IF(采购录入!A15="","",采购录入!M15)</f>
        <v/>
      </c>
    </row>
    <row r="26" spans="1:16">
      <c r="A26" t="str">
        <f>IF(采购录入!A16="","","采购")</f>
        <v/>
      </c>
      <c r="B26" s="5" t="str">
        <f>IF(采购录入!A16="","",采购录入!A16)</f>
        <v/>
      </c>
      <c r="C26" t="str">
        <f>IF(采购录入!A16="","",采购录入!C16)</f>
        <v/>
      </c>
      <c r="D26" t="str">
        <f>IF(采购录入!A16="","",采购录入!D16)</f>
        <v/>
      </c>
      <c r="E26" s="17" t="str">
        <f>IF(采购录入!A16="","",采购录入!I16)</f>
        <v/>
      </c>
      <c r="F26" s="5" t="str">
        <f>IF(采购录入!A16="","",采购录入!J16)</f>
        <v/>
      </c>
      <c r="G26" s="17" t="str">
        <f>IF(C26="","",SUMIFS(资金流水!$K$4:$K$203,资金流水!$F$4:$F$203,C26,资金流水!$D$4:$D$203,"供应商付款",资金流水!$A$4:$A$203,"&lt;="&amp;EOMONTH(应付跟进!$B$2,0)))</f>
        <v/>
      </c>
      <c r="H26" s="17" t="str">
        <f>IF(C26="","",SUMIFS($E$4:E25,$C$4:C25,C26))</f>
        <v/>
      </c>
      <c r="I26" s="17" t="str">
        <f t="shared" si="2"/>
        <v/>
      </c>
      <c r="J26" s="17" t="str">
        <f t="shared" si="3"/>
        <v/>
      </c>
      <c r="K26" s="17" t="str">
        <f t="shared" si="4"/>
        <v/>
      </c>
      <c r="L26" s="59" t="str">
        <f>IF(C26="","",IF(OR(K26&lt;=0,F26=""),"",F26-EOMONTH(应付跟进!$B$2,0)))</f>
        <v/>
      </c>
      <c r="M26" t="str">
        <f t="shared" si="5"/>
        <v/>
      </c>
      <c r="N26" t="str">
        <f t="shared" si="6"/>
        <v/>
      </c>
      <c r="O26" t="str">
        <f>IF(采购录入!A16="","",采购录入!L16)</f>
        <v/>
      </c>
      <c r="P26" t="str">
        <f>IF(采购录入!A16="","",采购录入!M16)</f>
        <v/>
      </c>
    </row>
    <row r="27" spans="1:16">
      <c r="A27" t="str">
        <f>IF(采购录入!A17="","","采购")</f>
        <v/>
      </c>
      <c r="B27" s="5" t="str">
        <f>IF(采购录入!A17="","",采购录入!A17)</f>
        <v/>
      </c>
      <c r="C27" t="str">
        <f>IF(采购录入!A17="","",采购录入!C17)</f>
        <v/>
      </c>
      <c r="D27" t="str">
        <f>IF(采购录入!A17="","",采购录入!D17)</f>
        <v/>
      </c>
      <c r="E27" s="17" t="str">
        <f>IF(采购录入!A17="","",采购录入!I17)</f>
        <v/>
      </c>
      <c r="F27" s="5" t="str">
        <f>IF(采购录入!A17="","",采购录入!J17)</f>
        <v/>
      </c>
      <c r="G27" s="17" t="str">
        <f>IF(C27="","",SUMIFS(资金流水!$K$4:$K$203,资金流水!$F$4:$F$203,C27,资金流水!$D$4:$D$203,"供应商付款",资金流水!$A$4:$A$203,"&lt;="&amp;EOMONTH(应付跟进!$B$2,0)))</f>
        <v/>
      </c>
      <c r="H27" s="17" t="str">
        <f>IF(C27="","",SUMIFS($E$4:E26,$C$4:C26,C27))</f>
        <v/>
      </c>
      <c r="I27" s="17" t="str">
        <f t="shared" si="2"/>
        <v/>
      </c>
      <c r="J27" s="17" t="str">
        <f t="shared" si="3"/>
        <v/>
      </c>
      <c r="K27" s="17" t="str">
        <f t="shared" si="4"/>
        <v/>
      </c>
      <c r="L27" s="59" t="str">
        <f>IF(C27="","",IF(OR(K27&lt;=0,F27=""),"",F27-EOMONTH(应付跟进!$B$2,0)))</f>
        <v/>
      </c>
      <c r="M27" t="str">
        <f t="shared" si="5"/>
        <v/>
      </c>
      <c r="N27" t="str">
        <f t="shared" si="6"/>
        <v/>
      </c>
      <c r="O27" t="str">
        <f>IF(采购录入!A17="","",采购录入!L17)</f>
        <v/>
      </c>
      <c r="P27" t="str">
        <f>IF(采购录入!A17="","",采购录入!M17)</f>
        <v/>
      </c>
    </row>
    <row r="28" spans="1:16">
      <c r="A28" t="str">
        <f>IF(采购录入!A18="","","采购")</f>
        <v/>
      </c>
      <c r="B28" s="5" t="str">
        <f>IF(采购录入!A18="","",采购录入!A18)</f>
        <v/>
      </c>
      <c r="C28" t="str">
        <f>IF(采购录入!A18="","",采购录入!C18)</f>
        <v/>
      </c>
      <c r="D28" t="str">
        <f>IF(采购录入!A18="","",采购录入!D18)</f>
        <v/>
      </c>
      <c r="E28" s="17" t="str">
        <f>IF(采购录入!A18="","",采购录入!I18)</f>
        <v/>
      </c>
      <c r="F28" s="5" t="str">
        <f>IF(采购录入!A18="","",采购录入!J18)</f>
        <v/>
      </c>
      <c r="G28" s="17" t="str">
        <f>IF(C28="","",SUMIFS(资金流水!$K$4:$K$203,资金流水!$F$4:$F$203,C28,资金流水!$D$4:$D$203,"供应商付款",资金流水!$A$4:$A$203,"&lt;="&amp;EOMONTH(应付跟进!$B$2,0)))</f>
        <v/>
      </c>
      <c r="H28" s="17" t="str">
        <f>IF(C28="","",SUMIFS($E$4:E27,$C$4:C27,C28))</f>
        <v/>
      </c>
      <c r="I28" s="17" t="str">
        <f t="shared" si="2"/>
        <v/>
      </c>
      <c r="J28" s="17" t="str">
        <f t="shared" si="3"/>
        <v/>
      </c>
      <c r="K28" s="17" t="str">
        <f t="shared" si="4"/>
        <v/>
      </c>
      <c r="L28" s="59" t="str">
        <f>IF(C28="","",IF(OR(K28&lt;=0,F28=""),"",F28-EOMONTH(应付跟进!$B$2,0)))</f>
        <v/>
      </c>
      <c r="M28" t="str">
        <f t="shared" si="5"/>
        <v/>
      </c>
      <c r="N28" t="str">
        <f t="shared" si="6"/>
        <v/>
      </c>
      <c r="O28" t="str">
        <f>IF(采购录入!A18="","",采购录入!L18)</f>
        <v/>
      </c>
      <c r="P28" t="str">
        <f>IF(采购录入!A18="","",采购录入!M18)</f>
        <v/>
      </c>
    </row>
    <row r="29" spans="1:16">
      <c r="A29" t="str">
        <f>IF(采购录入!A19="","","采购")</f>
        <v/>
      </c>
      <c r="B29" s="5" t="str">
        <f>IF(采购录入!A19="","",采购录入!A19)</f>
        <v/>
      </c>
      <c r="C29" t="str">
        <f>IF(采购录入!A19="","",采购录入!C19)</f>
        <v/>
      </c>
      <c r="D29" t="str">
        <f>IF(采购录入!A19="","",采购录入!D19)</f>
        <v/>
      </c>
      <c r="E29" s="17" t="str">
        <f>IF(采购录入!A19="","",采购录入!I19)</f>
        <v/>
      </c>
      <c r="F29" s="5" t="str">
        <f>IF(采购录入!A19="","",采购录入!J19)</f>
        <v/>
      </c>
      <c r="G29" s="17" t="str">
        <f>IF(C29="","",SUMIFS(资金流水!$K$4:$K$203,资金流水!$F$4:$F$203,C29,资金流水!$D$4:$D$203,"供应商付款",资金流水!$A$4:$A$203,"&lt;="&amp;EOMONTH(应付跟进!$B$2,0)))</f>
        <v/>
      </c>
      <c r="H29" s="17" t="str">
        <f>IF(C29="","",SUMIFS($E$4:E28,$C$4:C28,C29))</f>
        <v/>
      </c>
      <c r="I29" s="17" t="str">
        <f t="shared" si="2"/>
        <v/>
      </c>
      <c r="J29" s="17" t="str">
        <f t="shared" si="3"/>
        <v/>
      </c>
      <c r="K29" s="17" t="str">
        <f t="shared" si="4"/>
        <v/>
      </c>
      <c r="L29" s="59" t="str">
        <f>IF(C29="","",IF(OR(K29&lt;=0,F29=""),"",F29-EOMONTH(应付跟进!$B$2,0)))</f>
        <v/>
      </c>
      <c r="M29" t="str">
        <f t="shared" si="5"/>
        <v/>
      </c>
      <c r="N29" t="str">
        <f t="shared" si="6"/>
        <v/>
      </c>
      <c r="O29" t="str">
        <f>IF(采购录入!A19="","",采购录入!L19)</f>
        <v/>
      </c>
      <c r="P29" t="str">
        <f>IF(采购录入!A19="","",采购录入!M19)</f>
        <v/>
      </c>
    </row>
    <row r="30" spans="1:16">
      <c r="A30" t="str">
        <f>IF(采购录入!A20="","","采购")</f>
        <v/>
      </c>
      <c r="B30" s="5" t="str">
        <f>IF(采购录入!A20="","",采购录入!A20)</f>
        <v/>
      </c>
      <c r="C30" t="str">
        <f>IF(采购录入!A20="","",采购录入!C20)</f>
        <v/>
      </c>
      <c r="D30" t="str">
        <f>IF(采购录入!A20="","",采购录入!D20)</f>
        <v/>
      </c>
      <c r="E30" s="17" t="str">
        <f>IF(采购录入!A20="","",采购录入!I20)</f>
        <v/>
      </c>
      <c r="F30" s="5" t="str">
        <f>IF(采购录入!A20="","",采购录入!J20)</f>
        <v/>
      </c>
      <c r="G30" s="17" t="str">
        <f>IF(C30="","",SUMIFS(资金流水!$K$4:$K$203,资金流水!$F$4:$F$203,C30,资金流水!$D$4:$D$203,"供应商付款",资金流水!$A$4:$A$203,"&lt;="&amp;EOMONTH(应付跟进!$B$2,0)))</f>
        <v/>
      </c>
      <c r="H30" s="17" t="str">
        <f>IF(C30="","",SUMIFS($E$4:E29,$C$4:C29,C30))</f>
        <v/>
      </c>
      <c r="I30" s="17" t="str">
        <f t="shared" si="2"/>
        <v/>
      </c>
      <c r="J30" s="17" t="str">
        <f t="shared" si="3"/>
        <v/>
      </c>
      <c r="K30" s="17" t="str">
        <f t="shared" si="4"/>
        <v/>
      </c>
      <c r="L30" s="59" t="str">
        <f>IF(C30="","",IF(OR(K30&lt;=0,F30=""),"",F30-EOMONTH(应付跟进!$B$2,0)))</f>
        <v/>
      </c>
      <c r="M30" t="str">
        <f t="shared" si="5"/>
        <v/>
      </c>
      <c r="N30" t="str">
        <f t="shared" si="6"/>
        <v/>
      </c>
      <c r="O30" t="str">
        <f>IF(采购录入!A20="","",采购录入!L20)</f>
        <v/>
      </c>
      <c r="P30" t="str">
        <f>IF(采购录入!A20="","",采购录入!M20)</f>
        <v/>
      </c>
    </row>
    <row r="31" spans="1:16">
      <c r="A31" t="str">
        <f>IF(采购录入!A21="","","采购")</f>
        <v/>
      </c>
      <c r="B31" s="5" t="str">
        <f>IF(采购录入!A21="","",采购录入!A21)</f>
        <v/>
      </c>
      <c r="C31" t="str">
        <f>IF(采购录入!A21="","",采购录入!C21)</f>
        <v/>
      </c>
      <c r="D31" t="str">
        <f>IF(采购录入!A21="","",采购录入!D21)</f>
        <v/>
      </c>
      <c r="E31" s="17" t="str">
        <f>IF(采购录入!A21="","",采购录入!I21)</f>
        <v/>
      </c>
      <c r="F31" s="5" t="str">
        <f>IF(采购录入!A21="","",采购录入!J21)</f>
        <v/>
      </c>
      <c r="G31" s="17" t="str">
        <f>IF(C31="","",SUMIFS(资金流水!$K$4:$K$203,资金流水!$F$4:$F$203,C31,资金流水!$D$4:$D$203,"供应商付款",资金流水!$A$4:$A$203,"&lt;="&amp;EOMONTH(应付跟进!$B$2,0)))</f>
        <v/>
      </c>
      <c r="H31" s="17" t="str">
        <f>IF(C31="","",SUMIFS($E$4:E30,$C$4:C30,C31))</f>
        <v/>
      </c>
      <c r="I31" s="17" t="str">
        <f t="shared" si="2"/>
        <v/>
      </c>
      <c r="J31" s="17" t="str">
        <f t="shared" si="3"/>
        <v/>
      </c>
      <c r="K31" s="17" t="str">
        <f t="shared" si="4"/>
        <v/>
      </c>
      <c r="L31" s="59" t="str">
        <f>IF(C31="","",IF(OR(K31&lt;=0,F31=""),"",F31-EOMONTH(应付跟进!$B$2,0)))</f>
        <v/>
      </c>
      <c r="M31" t="str">
        <f t="shared" si="5"/>
        <v/>
      </c>
      <c r="N31" t="str">
        <f t="shared" si="6"/>
        <v/>
      </c>
      <c r="O31" t="str">
        <f>IF(采购录入!A21="","",采购录入!L21)</f>
        <v/>
      </c>
      <c r="P31" t="str">
        <f>IF(采购录入!A21="","",采购录入!M21)</f>
        <v/>
      </c>
    </row>
    <row r="32" spans="1:16">
      <c r="A32" t="str">
        <f>IF(采购录入!A22="","","采购")</f>
        <v/>
      </c>
      <c r="B32" s="5" t="str">
        <f>IF(采购录入!A22="","",采购录入!A22)</f>
        <v/>
      </c>
      <c r="C32" t="str">
        <f>IF(采购录入!A22="","",采购录入!C22)</f>
        <v/>
      </c>
      <c r="D32" t="str">
        <f>IF(采购录入!A22="","",采购录入!D22)</f>
        <v/>
      </c>
      <c r="E32" s="17" t="str">
        <f>IF(采购录入!A22="","",采购录入!I22)</f>
        <v/>
      </c>
      <c r="F32" s="5" t="str">
        <f>IF(采购录入!A22="","",采购录入!J22)</f>
        <v/>
      </c>
      <c r="G32" s="17" t="str">
        <f>IF(C32="","",SUMIFS(资金流水!$K$4:$K$203,资金流水!$F$4:$F$203,C32,资金流水!$D$4:$D$203,"供应商付款",资金流水!$A$4:$A$203,"&lt;="&amp;EOMONTH(应付跟进!$B$2,0)))</f>
        <v/>
      </c>
      <c r="H32" s="17" t="str">
        <f>IF(C32="","",SUMIFS($E$4:E31,$C$4:C31,C32))</f>
        <v/>
      </c>
      <c r="I32" s="17" t="str">
        <f t="shared" si="2"/>
        <v/>
      </c>
      <c r="J32" s="17" t="str">
        <f t="shared" si="3"/>
        <v/>
      </c>
      <c r="K32" s="17" t="str">
        <f t="shared" si="4"/>
        <v/>
      </c>
      <c r="L32" s="59" t="str">
        <f>IF(C32="","",IF(OR(K32&lt;=0,F32=""),"",F32-EOMONTH(应付跟进!$B$2,0)))</f>
        <v/>
      </c>
      <c r="M32" t="str">
        <f t="shared" si="5"/>
        <v/>
      </c>
      <c r="N32" t="str">
        <f t="shared" si="6"/>
        <v/>
      </c>
      <c r="O32" t="str">
        <f>IF(采购录入!A22="","",采购录入!L22)</f>
        <v/>
      </c>
      <c r="P32" t="str">
        <f>IF(采购录入!A22="","",采购录入!M22)</f>
        <v/>
      </c>
    </row>
    <row r="33" spans="1:16">
      <c r="A33" t="str">
        <f>IF(采购录入!A23="","","采购")</f>
        <v/>
      </c>
      <c r="B33" s="5" t="str">
        <f>IF(采购录入!A23="","",采购录入!A23)</f>
        <v/>
      </c>
      <c r="C33" t="str">
        <f>IF(采购录入!A23="","",采购录入!C23)</f>
        <v/>
      </c>
      <c r="D33" t="str">
        <f>IF(采购录入!A23="","",采购录入!D23)</f>
        <v/>
      </c>
      <c r="E33" s="17" t="str">
        <f>IF(采购录入!A23="","",采购录入!I23)</f>
        <v/>
      </c>
      <c r="F33" s="5" t="str">
        <f>IF(采购录入!A23="","",采购录入!J23)</f>
        <v/>
      </c>
      <c r="G33" s="17" t="str">
        <f>IF(C33="","",SUMIFS(资金流水!$K$4:$K$203,资金流水!$F$4:$F$203,C33,资金流水!$D$4:$D$203,"供应商付款",资金流水!$A$4:$A$203,"&lt;="&amp;EOMONTH(应付跟进!$B$2,0)))</f>
        <v/>
      </c>
      <c r="H33" s="17" t="str">
        <f>IF(C33="","",SUMIFS($E$4:E32,$C$4:C32,C33))</f>
        <v/>
      </c>
      <c r="I33" s="17" t="str">
        <f t="shared" si="2"/>
        <v/>
      </c>
      <c r="J33" s="17" t="str">
        <f t="shared" si="3"/>
        <v/>
      </c>
      <c r="K33" s="17" t="str">
        <f t="shared" si="4"/>
        <v/>
      </c>
      <c r="L33" s="59" t="str">
        <f>IF(C33="","",IF(OR(K33&lt;=0,F33=""),"",F33-EOMONTH(应付跟进!$B$2,0)))</f>
        <v/>
      </c>
      <c r="M33" t="str">
        <f t="shared" si="5"/>
        <v/>
      </c>
      <c r="N33" t="str">
        <f t="shared" si="6"/>
        <v/>
      </c>
      <c r="O33" t="str">
        <f>IF(采购录入!A23="","",采购录入!L23)</f>
        <v/>
      </c>
      <c r="P33" t="str">
        <f>IF(采购录入!A23="","",采购录入!M23)</f>
        <v/>
      </c>
    </row>
    <row r="34" spans="1:16">
      <c r="A34" t="str">
        <f>IF(采购录入!A24="","","采购")</f>
        <v/>
      </c>
      <c r="B34" s="5" t="str">
        <f>IF(采购录入!A24="","",采购录入!A24)</f>
        <v/>
      </c>
      <c r="C34" t="str">
        <f>IF(采购录入!A24="","",采购录入!C24)</f>
        <v/>
      </c>
      <c r="D34" t="str">
        <f>IF(采购录入!A24="","",采购录入!D24)</f>
        <v/>
      </c>
      <c r="E34" s="17" t="str">
        <f>IF(采购录入!A24="","",采购录入!I24)</f>
        <v/>
      </c>
      <c r="F34" s="5" t="str">
        <f>IF(采购录入!A24="","",采购录入!J24)</f>
        <v/>
      </c>
      <c r="G34" s="17" t="str">
        <f>IF(C34="","",SUMIFS(资金流水!$K$4:$K$203,资金流水!$F$4:$F$203,C34,资金流水!$D$4:$D$203,"供应商付款",资金流水!$A$4:$A$203,"&lt;="&amp;EOMONTH(应付跟进!$B$2,0)))</f>
        <v/>
      </c>
      <c r="H34" s="17" t="str">
        <f>IF(C34="","",SUMIFS($E$4:E33,$C$4:C33,C34))</f>
        <v/>
      </c>
      <c r="I34" s="17" t="str">
        <f t="shared" si="2"/>
        <v/>
      </c>
      <c r="J34" s="17" t="str">
        <f t="shared" si="3"/>
        <v/>
      </c>
      <c r="K34" s="17" t="str">
        <f t="shared" si="4"/>
        <v/>
      </c>
      <c r="L34" s="59" t="str">
        <f>IF(C34="","",IF(OR(K34&lt;=0,F34=""),"",F34-EOMONTH(应付跟进!$B$2,0)))</f>
        <v/>
      </c>
      <c r="M34" t="str">
        <f t="shared" si="5"/>
        <v/>
      </c>
      <c r="N34" t="str">
        <f t="shared" si="6"/>
        <v/>
      </c>
      <c r="O34" t="str">
        <f>IF(采购录入!A24="","",采购录入!L24)</f>
        <v/>
      </c>
      <c r="P34" t="str">
        <f>IF(采购录入!A24="","",采购录入!M24)</f>
        <v/>
      </c>
    </row>
    <row r="35" spans="1:16">
      <c r="A35" t="str">
        <f>IF(采购录入!A25="","","采购")</f>
        <v/>
      </c>
      <c r="B35" s="5" t="str">
        <f>IF(采购录入!A25="","",采购录入!A25)</f>
        <v/>
      </c>
      <c r="C35" t="str">
        <f>IF(采购录入!A25="","",采购录入!C25)</f>
        <v/>
      </c>
      <c r="D35" t="str">
        <f>IF(采购录入!A25="","",采购录入!D25)</f>
        <v/>
      </c>
      <c r="E35" s="17" t="str">
        <f>IF(采购录入!A25="","",采购录入!I25)</f>
        <v/>
      </c>
      <c r="F35" s="5" t="str">
        <f>IF(采购录入!A25="","",采购录入!J25)</f>
        <v/>
      </c>
      <c r="G35" s="17" t="str">
        <f>IF(C35="","",SUMIFS(资金流水!$K$4:$K$203,资金流水!$F$4:$F$203,C35,资金流水!$D$4:$D$203,"供应商付款",资金流水!$A$4:$A$203,"&lt;="&amp;EOMONTH(应付跟进!$B$2,0)))</f>
        <v/>
      </c>
      <c r="H35" s="17" t="str">
        <f>IF(C35="","",SUMIFS($E$4:E34,$C$4:C34,C35))</f>
        <v/>
      </c>
      <c r="I35" s="17" t="str">
        <f t="shared" si="2"/>
        <v/>
      </c>
      <c r="J35" s="17" t="str">
        <f t="shared" si="3"/>
        <v/>
      </c>
      <c r="K35" s="17" t="str">
        <f t="shared" si="4"/>
        <v/>
      </c>
      <c r="L35" s="59" t="str">
        <f>IF(C35="","",IF(OR(K35&lt;=0,F35=""),"",F35-EOMONTH(应付跟进!$B$2,0)))</f>
        <v/>
      </c>
      <c r="M35" t="str">
        <f t="shared" si="5"/>
        <v/>
      </c>
      <c r="N35" t="str">
        <f t="shared" si="6"/>
        <v/>
      </c>
      <c r="O35" t="str">
        <f>IF(采购录入!A25="","",采购录入!L25)</f>
        <v/>
      </c>
      <c r="P35" t="str">
        <f>IF(采购录入!A25="","",采购录入!M25)</f>
        <v/>
      </c>
    </row>
    <row r="36" spans="1:16">
      <c r="A36" t="str">
        <f>IF(采购录入!A26="","","采购")</f>
        <v/>
      </c>
      <c r="B36" s="5" t="str">
        <f>IF(采购录入!A26="","",采购录入!A26)</f>
        <v/>
      </c>
      <c r="C36" t="str">
        <f>IF(采购录入!A26="","",采购录入!C26)</f>
        <v/>
      </c>
      <c r="D36" t="str">
        <f>IF(采购录入!A26="","",采购录入!D26)</f>
        <v/>
      </c>
      <c r="E36" s="17" t="str">
        <f>IF(采购录入!A26="","",采购录入!I26)</f>
        <v/>
      </c>
      <c r="F36" s="5" t="str">
        <f>IF(采购录入!A26="","",采购录入!J26)</f>
        <v/>
      </c>
      <c r="G36" s="17" t="str">
        <f>IF(C36="","",SUMIFS(资金流水!$K$4:$K$203,资金流水!$F$4:$F$203,C36,资金流水!$D$4:$D$203,"供应商付款",资金流水!$A$4:$A$203,"&lt;="&amp;EOMONTH(应付跟进!$B$2,0)))</f>
        <v/>
      </c>
      <c r="H36" s="17" t="str">
        <f>IF(C36="","",SUMIFS($E$4:E35,$C$4:C35,C36))</f>
        <v/>
      </c>
      <c r="I36" s="17" t="str">
        <f t="shared" si="2"/>
        <v/>
      </c>
      <c r="J36" s="17" t="str">
        <f t="shared" si="3"/>
        <v/>
      </c>
      <c r="K36" s="17" t="str">
        <f t="shared" si="4"/>
        <v/>
      </c>
      <c r="L36" s="59" t="str">
        <f>IF(C36="","",IF(OR(K36&lt;=0,F36=""),"",F36-EOMONTH(应付跟进!$B$2,0)))</f>
        <v/>
      </c>
      <c r="M36" t="str">
        <f t="shared" si="5"/>
        <v/>
      </c>
      <c r="N36" t="str">
        <f t="shared" si="6"/>
        <v/>
      </c>
      <c r="O36" t="str">
        <f>IF(采购录入!A26="","",采购录入!L26)</f>
        <v/>
      </c>
      <c r="P36" t="str">
        <f>IF(采购录入!A26="","",采购录入!M26)</f>
        <v/>
      </c>
    </row>
    <row r="37" spans="1:16">
      <c r="A37" t="str">
        <f>IF(采购录入!A27="","","采购")</f>
        <v/>
      </c>
      <c r="B37" s="5" t="str">
        <f>IF(采购录入!A27="","",采购录入!A27)</f>
        <v/>
      </c>
      <c r="C37" t="str">
        <f>IF(采购录入!A27="","",采购录入!C27)</f>
        <v/>
      </c>
      <c r="D37" t="str">
        <f>IF(采购录入!A27="","",采购录入!D27)</f>
        <v/>
      </c>
      <c r="E37" s="17" t="str">
        <f>IF(采购录入!A27="","",采购录入!I27)</f>
        <v/>
      </c>
      <c r="F37" s="5" t="str">
        <f>IF(采购录入!A27="","",采购录入!J27)</f>
        <v/>
      </c>
      <c r="G37" s="17" t="str">
        <f>IF(C37="","",SUMIFS(资金流水!$K$4:$K$203,资金流水!$F$4:$F$203,C37,资金流水!$D$4:$D$203,"供应商付款",资金流水!$A$4:$A$203,"&lt;="&amp;EOMONTH(应付跟进!$B$2,0)))</f>
        <v/>
      </c>
      <c r="H37" s="17" t="str">
        <f>IF(C37="","",SUMIFS($E$4:E36,$C$4:C36,C37))</f>
        <v/>
      </c>
      <c r="I37" s="17" t="str">
        <f t="shared" si="2"/>
        <v/>
      </c>
      <c r="J37" s="17" t="str">
        <f t="shared" si="3"/>
        <v/>
      </c>
      <c r="K37" s="17" t="str">
        <f t="shared" si="4"/>
        <v/>
      </c>
      <c r="L37" s="59" t="str">
        <f>IF(C37="","",IF(OR(K37&lt;=0,F37=""),"",F37-EOMONTH(应付跟进!$B$2,0)))</f>
        <v/>
      </c>
      <c r="M37" t="str">
        <f t="shared" si="5"/>
        <v/>
      </c>
      <c r="N37" t="str">
        <f t="shared" si="6"/>
        <v/>
      </c>
      <c r="O37" t="str">
        <f>IF(采购录入!A27="","",采购录入!L27)</f>
        <v/>
      </c>
      <c r="P37" t="str">
        <f>IF(采购录入!A27="","",采购录入!M27)</f>
        <v/>
      </c>
    </row>
    <row r="38" spans="1:16">
      <c r="A38" t="str">
        <f>IF(采购录入!A28="","","采购")</f>
        <v/>
      </c>
      <c r="B38" s="5" t="str">
        <f>IF(采购录入!A28="","",采购录入!A28)</f>
        <v/>
      </c>
      <c r="C38" t="str">
        <f>IF(采购录入!A28="","",采购录入!C28)</f>
        <v/>
      </c>
      <c r="D38" t="str">
        <f>IF(采购录入!A28="","",采购录入!D28)</f>
        <v/>
      </c>
      <c r="E38" s="17" t="str">
        <f>IF(采购录入!A28="","",采购录入!I28)</f>
        <v/>
      </c>
      <c r="F38" s="5" t="str">
        <f>IF(采购录入!A28="","",采购录入!J28)</f>
        <v/>
      </c>
      <c r="G38" s="17" t="str">
        <f>IF(C38="","",SUMIFS(资金流水!$K$4:$K$203,资金流水!$F$4:$F$203,C38,资金流水!$D$4:$D$203,"供应商付款",资金流水!$A$4:$A$203,"&lt;="&amp;EOMONTH(应付跟进!$B$2,0)))</f>
        <v/>
      </c>
      <c r="H38" s="17" t="str">
        <f>IF(C38="","",SUMIFS($E$4:E37,$C$4:C37,C38))</f>
        <v/>
      </c>
      <c r="I38" s="17" t="str">
        <f t="shared" si="2"/>
        <v/>
      </c>
      <c r="J38" s="17" t="str">
        <f t="shared" si="3"/>
        <v/>
      </c>
      <c r="K38" s="17" t="str">
        <f t="shared" si="4"/>
        <v/>
      </c>
      <c r="L38" s="59" t="str">
        <f>IF(C38="","",IF(OR(K38&lt;=0,F38=""),"",F38-EOMONTH(应付跟进!$B$2,0)))</f>
        <v/>
      </c>
      <c r="M38" t="str">
        <f t="shared" si="5"/>
        <v/>
      </c>
      <c r="N38" t="str">
        <f t="shared" si="6"/>
        <v/>
      </c>
      <c r="O38" t="str">
        <f>IF(采购录入!A28="","",采购录入!L28)</f>
        <v/>
      </c>
      <c r="P38" t="str">
        <f>IF(采购录入!A28="","",采购录入!M28)</f>
        <v/>
      </c>
    </row>
    <row r="39" spans="1:16">
      <c r="A39" t="str">
        <f>IF(采购录入!A29="","","采购")</f>
        <v/>
      </c>
      <c r="B39" s="5" t="str">
        <f>IF(采购录入!A29="","",采购录入!A29)</f>
        <v/>
      </c>
      <c r="C39" t="str">
        <f>IF(采购录入!A29="","",采购录入!C29)</f>
        <v/>
      </c>
      <c r="D39" t="str">
        <f>IF(采购录入!A29="","",采购录入!D29)</f>
        <v/>
      </c>
      <c r="E39" s="17" t="str">
        <f>IF(采购录入!A29="","",采购录入!I29)</f>
        <v/>
      </c>
      <c r="F39" s="5" t="str">
        <f>IF(采购录入!A29="","",采购录入!J29)</f>
        <v/>
      </c>
      <c r="G39" s="17" t="str">
        <f>IF(C39="","",SUMIFS(资金流水!$K$4:$K$203,资金流水!$F$4:$F$203,C39,资金流水!$D$4:$D$203,"供应商付款",资金流水!$A$4:$A$203,"&lt;="&amp;EOMONTH(应付跟进!$B$2,0)))</f>
        <v/>
      </c>
      <c r="H39" s="17" t="str">
        <f>IF(C39="","",SUMIFS($E$4:E38,$C$4:C38,C39))</f>
        <v/>
      </c>
      <c r="I39" s="17" t="str">
        <f t="shared" si="2"/>
        <v/>
      </c>
      <c r="J39" s="17" t="str">
        <f t="shared" si="3"/>
        <v/>
      </c>
      <c r="K39" s="17" t="str">
        <f t="shared" si="4"/>
        <v/>
      </c>
      <c r="L39" s="59" t="str">
        <f>IF(C39="","",IF(OR(K39&lt;=0,F39=""),"",F39-EOMONTH(应付跟进!$B$2,0)))</f>
        <v/>
      </c>
      <c r="M39" t="str">
        <f t="shared" si="5"/>
        <v/>
      </c>
      <c r="N39" t="str">
        <f t="shared" si="6"/>
        <v/>
      </c>
      <c r="O39" t="str">
        <f>IF(采购录入!A29="","",采购录入!L29)</f>
        <v/>
      </c>
      <c r="P39" t="str">
        <f>IF(采购录入!A29="","",采购录入!M29)</f>
        <v/>
      </c>
    </row>
    <row r="40" spans="1:16">
      <c r="A40" t="str">
        <f>IF(采购录入!A30="","","采购")</f>
        <v/>
      </c>
      <c r="B40" s="5" t="str">
        <f>IF(采购录入!A30="","",采购录入!A30)</f>
        <v/>
      </c>
      <c r="C40" t="str">
        <f>IF(采购录入!A30="","",采购录入!C30)</f>
        <v/>
      </c>
      <c r="D40" t="str">
        <f>IF(采购录入!A30="","",采购录入!D30)</f>
        <v/>
      </c>
      <c r="E40" s="17" t="str">
        <f>IF(采购录入!A30="","",采购录入!I30)</f>
        <v/>
      </c>
      <c r="F40" s="5" t="str">
        <f>IF(采购录入!A30="","",采购录入!J30)</f>
        <v/>
      </c>
      <c r="G40" s="17" t="str">
        <f>IF(C40="","",SUMIFS(资金流水!$K$4:$K$203,资金流水!$F$4:$F$203,C40,资金流水!$D$4:$D$203,"供应商付款",资金流水!$A$4:$A$203,"&lt;="&amp;EOMONTH(应付跟进!$B$2,0)))</f>
        <v/>
      </c>
      <c r="H40" s="17" t="str">
        <f>IF(C40="","",SUMIFS($E$4:E39,$C$4:C39,C40))</f>
        <v/>
      </c>
      <c r="I40" s="17" t="str">
        <f t="shared" si="2"/>
        <v/>
      </c>
      <c r="J40" s="17" t="str">
        <f t="shared" si="3"/>
        <v/>
      </c>
      <c r="K40" s="17" t="str">
        <f t="shared" si="4"/>
        <v/>
      </c>
      <c r="L40" s="59" t="str">
        <f>IF(C40="","",IF(OR(K40&lt;=0,F40=""),"",F40-EOMONTH(应付跟进!$B$2,0)))</f>
        <v/>
      </c>
      <c r="M40" t="str">
        <f t="shared" si="5"/>
        <v/>
      </c>
      <c r="N40" t="str">
        <f t="shared" si="6"/>
        <v/>
      </c>
      <c r="O40" t="str">
        <f>IF(采购录入!A30="","",采购录入!L30)</f>
        <v/>
      </c>
      <c r="P40" t="str">
        <f>IF(采购录入!A30="","",采购录入!M30)</f>
        <v/>
      </c>
    </row>
    <row r="41" spans="1:16">
      <c r="A41" t="str">
        <f>IF(采购录入!A31="","","采购")</f>
        <v/>
      </c>
      <c r="B41" s="5" t="str">
        <f>IF(采购录入!A31="","",采购录入!A31)</f>
        <v/>
      </c>
      <c r="C41" t="str">
        <f>IF(采购录入!A31="","",采购录入!C31)</f>
        <v/>
      </c>
      <c r="D41" t="str">
        <f>IF(采购录入!A31="","",采购录入!D31)</f>
        <v/>
      </c>
      <c r="E41" s="17" t="str">
        <f>IF(采购录入!A31="","",采购录入!I31)</f>
        <v/>
      </c>
      <c r="F41" s="5" t="str">
        <f>IF(采购录入!A31="","",采购录入!J31)</f>
        <v/>
      </c>
      <c r="G41" s="17" t="str">
        <f>IF(C41="","",SUMIFS(资金流水!$K$4:$K$203,资金流水!$F$4:$F$203,C41,资金流水!$D$4:$D$203,"供应商付款",资金流水!$A$4:$A$203,"&lt;="&amp;EOMONTH(应付跟进!$B$2,0)))</f>
        <v/>
      </c>
      <c r="H41" s="17" t="str">
        <f>IF(C41="","",SUMIFS($E$4:E40,$C$4:C40,C41))</f>
        <v/>
      </c>
      <c r="I41" s="17" t="str">
        <f t="shared" si="2"/>
        <v/>
      </c>
      <c r="J41" s="17" t="str">
        <f t="shared" si="3"/>
        <v/>
      </c>
      <c r="K41" s="17" t="str">
        <f t="shared" si="4"/>
        <v/>
      </c>
      <c r="L41" s="59" t="str">
        <f>IF(C41="","",IF(OR(K41&lt;=0,F41=""),"",F41-EOMONTH(应付跟进!$B$2,0)))</f>
        <v/>
      </c>
      <c r="M41" t="str">
        <f t="shared" si="5"/>
        <v/>
      </c>
      <c r="N41" t="str">
        <f t="shared" si="6"/>
        <v/>
      </c>
      <c r="O41" t="str">
        <f>IF(采购录入!A31="","",采购录入!L31)</f>
        <v/>
      </c>
      <c r="P41" t="str">
        <f>IF(采购录入!A31="","",采购录入!M31)</f>
        <v/>
      </c>
    </row>
    <row r="42" spans="1:16">
      <c r="A42" t="str">
        <f>IF(采购录入!A32="","","采购")</f>
        <v/>
      </c>
      <c r="B42" s="5" t="str">
        <f>IF(采购录入!A32="","",采购录入!A32)</f>
        <v/>
      </c>
      <c r="C42" t="str">
        <f>IF(采购录入!A32="","",采购录入!C32)</f>
        <v/>
      </c>
      <c r="D42" t="str">
        <f>IF(采购录入!A32="","",采购录入!D32)</f>
        <v/>
      </c>
      <c r="E42" s="17" t="str">
        <f>IF(采购录入!A32="","",采购录入!I32)</f>
        <v/>
      </c>
      <c r="F42" s="5" t="str">
        <f>IF(采购录入!A32="","",采购录入!J32)</f>
        <v/>
      </c>
      <c r="G42" s="17" t="str">
        <f>IF(C42="","",SUMIFS(资金流水!$K$4:$K$203,资金流水!$F$4:$F$203,C42,资金流水!$D$4:$D$203,"供应商付款",资金流水!$A$4:$A$203,"&lt;="&amp;EOMONTH(应付跟进!$B$2,0)))</f>
        <v/>
      </c>
      <c r="H42" s="17" t="str">
        <f>IF(C42="","",SUMIFS($E$4:E41,$C$4:C41,C42))</f>
        <v/>
      </c>
      <c r="I42" s="17" t="str">
        <f t="shared" si="2"/>
        <v/>
      </c>
      <c r="J42" s="17" t="str">
        <f t="shared" si="3"/>
        <v/>
      </c>
      <c r="K42" s="17" t="str">
        <f t="shared" si="4"/>
        <v/>
      </c>
      <c r="L42" s="59" t="str">
        <f>IF(C42="","",IF(OR(K42&lt;=0,F42=""),"",F42-EOMONTH(应付跟进!$B$2,0)))</f>
        <v/>
      </c>
      <c r="M42" t="str">
        <f t="shared" si="5"/>
        <v/>
      </c>
      <c r="N42" t="str">
        <f t="shared" si="6"/>
        <v/>
      </c>
      <c r="O42" t="str">
        <f>IF(采购录入!A32="","",采购录入!L32)</f>
        <v/>
      </c>
      <c r="P42" t="str">
        <f>IF(采购录入!A32="","",采购录入!M32)</f>
        <v/>
      </c>
    </row>
    <row r="43" spans="1:16">
      <c r="A43" t="str">
        <f>IF(采购录入!A33="","","采购")</f>
        <v/>
      </c>
      <c r="B43" s="5" t="str">
        <f>IF(采购录入!A33="","",采购录入!A33)</f>
        <v/>
      </c>
      <c r="C43" t="str">
        <f>IF(采购录入!A33="","",采购录入!C33)</f>
        <v/>
      </c>
      <c r="D43" t="str">
        <f>IF(采购录入!A33="","",采购录入!D33)</f>
        <v/>
      </c>
      <c r="E43" s="17" t="str">
        <f>IF(采购录入!A33="","",采购录入!I33)</f>
        <v/>
      </c>
      <c r="F43" s="5" t="str">
        <f>IF(采购录入!A33="","",采购录入!J33)</f>
        <v/>
      </c>
      <c r="G43" s="17" t="str">
        <f>IF(C43="","",SUMIFS(资金流水!$K$4:$K$203,资金流水!$F$4:$F$203,C43,资金流水!$D$4:$D$203,"供应商付款",资金流水!$A$4:$A$203,"&lt;="&amp;EOMONTH(应付跟进!$B$2,0)))</f>
        <v/>
      </c>
      <c r="H43" s="17" t="str">
        <f>IF(C43="","",SUMIFS($E$4:E42,$C$4:C42,C43))</f>
        <v/>
      </c>
      <c r="I43" s="17" t="str">
        <f t="shared" si="2"/>
        <v/>
      </c>
      <c r="J43" s="17" t="str">
        <f t="shared" si="3"/>
        <v/>
      </c>
      <c r="K43" s="17" t="str">
        <f t="shared" si="4"/>
        <v/>
      </c>
      <c r="L43" s="59" t="str">
        <f>IF(C43="","",IF(OR(K43&lt;=0,F43=""),"",F43-EOMONTH(应付跟进!$B$2,0)))</f>
        <v/>
      </c>
      <c r="M43" t="str">
        <f t="shared" si="5"/>
        <v/>
      </c>
      <c r="N43" t="str">
        <f t="shared" si="6"/>
        <v/>
      </c>
      <c r="O43" t="str">
        <f>IF(采购录入!A33="","",采购录入!L33)</f>
        <v/>
      </c>
      <c r="P43" t="str">
        <f>IF(采购录入!A33="","",采购录入!M33)</f>
        <v/>
      </c>
    </row>
    <row r="44" spans="1:16">
      <c r="A44" t="str">
        <f>IF(采购录入!A34="","","采购")</f>
        <v/>
      </c>
      <c r="B44" s="5" t="str">
        <f>IF(采购录入!A34="","",采购录入!A34)</f>
        <v/>
      </c>
      <c r="C44" t="str">
        <f>IF(采购录入!A34="","",采购录入!C34)</f>
        <v/>
      </c>
      <c r="D44" t="str">
        <f>IF(采购录入!A34="","",采购录入!D34)</f>
        <v/>
      </c>
      <c r="E44" s="17" t="str">
        <f>IF(采购录入!A34="","",采购录入!I34)</f>
        <v/>
      </c>
      <c r="F44" s="5" t="str">
        <f>IF(采购录入!A34="","",采购录入!J34)</f>
        <v/>
      </c>
      <c r="G44" s="17" t="str">
        <f>IF(C44="","",SUMIFS(资金流水!$K$4:$K$203,资金流水!$F$4:$F$203,C44,资金流水!$D$4:$D$203,"供应商付款",资金流水!$A$4:$A$203,"&lt;="&amp;EOMONTH(应付跟进!$B$2,0)))</f>
        <v/>
      </c>
      <c r="H44" s="17" t="str">
        <f>IF(C44="","",SUMIFS($E$4:E43,$C$4:C43,C44))</f>
        <v/>
      </c>
      <c r="I44" s="17" t="str">
        <f t="shared" si="2"/>
        <v/>
      </c>
      <c r="J44" s="17" t="str">
        <f t="shared" si="3"/>
        <v/>
      </c>
      <c r="K44" s="17" t="str">
        <f t="shared" si="4"/>
        <v/>
      </c>
      <c r="L44" s="59" t="str">
        <f>IF(C44="","",IF(OR(K44&lt;=0,F44=""),"",F44-EOMONTH(应付跟进!$B$2,0)))</f>
        <v/>
      </c>
      <c r="M44" t="str">
        <f t="shared" si="5"/>
        <v/>
      </c>
      <c r="N44" t="str">
        <f t="shared" si="6"/>
        <v/>
      </c>
      <c r="O44" t="str">
        <f>IF(采购录入!A34="","",采购录入!L34)</f>
        <v/>
      </c>
      <c r="P44" t="str">
        <f>IF(采购录入!A34="","",采购录入!M34)</f>
        <v/>
      </c>
    </row>
    <row r="45" spans="1:16">
      <c r="A45" t="str">
        <f>IF(采购录入!A35="","","采购")</f>
        <v/>
      </c>
      <c r="B45" s="5" t="str">
        <f>IF(采购录入!A35="","",采购录入!A35)</f>
        <v/>
      </c>
      <c r="C45" t="str">
        <f>IF(采购录入!A35="","",采购录入!C35)</f>
        <v/>
      </c>
      <c r="D45" t="str">
        <f>IF(采购录入!A35="","",采购录入!D35)</f>
        <v/>
      </c>
      <c r="E45" s="17" t="str">
        <f>IF(采购录入!A35="","",采购录入!I35)</f>
        <v/>
      </c>
      <c r="F45" s="5" t="str">
        <f>IF(采购录入!A35="","",采购录入!J35)</f>
        <v/>
      </c>
      <c r="G45" s="17" t="str">
        <f>IF(C45="","",SUMIFS(资金流水!$K$4:$K$203,资金流水!$F$4:$F$203,C45,资金流水!$D$4:$D$203,"供应商付款",资金流水!$A$4:$A$203,"&lt;="&amp;EOMONTH(应付跟进!$B$2,0)))</f>
        <v/>
      </c>
      <c r="H45" s="17" t="str">
        <f>IF(C45="","",SUMIFS($E$4:E44,$C$4:C44,C45))</f>
        <v/>
      </c>
      <c r="I45" s="17" t="str">
        <f t="shared" si="2"/>
        <v/>
      </c>
      <c r="J45" s="17" t="str">
        <f t="shared" si="3"/>
        <v/>
      </c>
      <c r="K45" s="17" t="str">
        <f t="shared" si="4"/>
        <v/>
      </c>
      <c r="L45" s="59" t="str">
        <f>IF(C45="","",IF(OR(K45&lt;=0,F45=""),"",F45-EOMONTH(应付跟进!$B$2,0)))</f>
        <v/>
      </c>
      <c r="M45" t="str">
        <f t="shared" si="5"/>
        <v/>
      </c>
      <c r="N45" t="str">
        <f t="shared" si="6"/>
        <v/>
      </c>
      <c r="O45" t="str">
        <f>IF(采购录入!A35="","",采购录入!L35)</f>
        <v/>
      </c>
      <c r="P45" t="str">
        <f>IF(采购录入!A35="","",采购录入!M35)</f>
        <v/>
      </c>
    </row>
    <row r="46" spans="1:16">
      <c r="A46" t="str">
        <f>IF(采购录入!A36="","","采购")</f>
        <v/>
      </c>
      <c r="B46" s="5" t="str">
        <f>IF(采购录入!A36="","",采购录入!A36)</f>
        <v/>
      </c>
      <c r="C46" t="str">
        <f>IF(采购录入!A36="","",采购录入!C36)</f>
        <v/>
      </c>
      <c r="D46" t="str">
        <f>IF(采购录入!A36="","",采购录入!D36)</f>
        <v/>
      </c>
      <c r="E46" s="17" t="str">
        <f>IF(采购录入!A36="","",采购录入!I36)</f>
        <v/>
      </c>
      <c r="F46" s="5" t="str">
        <f>IF(采购录入!A36="","",采购录入!J36)</f>
        <v/>
      </c>
      <c r="G46" s="17" t="str">
        <f>IF(C46="","",SUMIFS(资金流水!$K$4:$K$203,资金流水!$F$4:$F$203,C46,资金流水!$D$4:$D$203,"供应商付款",资金流水!$A$4:$A$203,"&lt;="&amp;EOMONTH(应付跟进!$B$2,0)))</f>
        <v/>
      </c>
      <c r="H46" s="17" t="str">
        <f>IF(C46="","",SUMIFS($E$4:E45,$C$4:C45,C46))</f>
        <v/>
      </c>
      <c r="I46" s="17" t="str">
        <f t="shared" si="2"/>
        <v/>
      </c>
      <c r="J46" s="17" t="str">
        <f t="shared" si="3"/>
        <v/>
      </c>
      <c r="K46" s="17" t="str">
        <f t="shared" si="4"/>
        <v/>
      </c>
      <c r="L46" s="59" t="str">
        <f>IF(C46="","",IF(OR(K46&lt;=0,F46=""),"",F46-EOMONTH(应付跟进!$B$2,0)))</f>
        <v/>
      </c>
      <c r="M46" t="str">
        <f t="shared" si="5"/>
        <v/>
      </c>
      <c r="N46" t="str">
        <f t="shared" si="6"/>
        <v/>
      </c>
      <c r="O46" t="str">
        <f>IF(采购录入!A36="","",采购录入!L36)</f>
        <v/>
      </c>
      <c r="P46" t="str">
        <f>IF(采购录入!A36="","",采购录入!M36)</f>
        <v/>
      </c>
    </row>
    <row r="47" spans="1:16">
      <c r="A47" t="str">
        <f>IF(采购录入!A37="","","采购")</f>
        <v/>
      </c>
      <c r="B47" s="5" t="str">
        <f>IF(采购录入!A37="","",采购录入!A37)</f>
        <v/>
      </c>
      <c r="C47" t="str">
        <f>IF(采购录入!A37="","",采购录入!C37)</f>
        <v/>
      </c>
      <c r="D47" t="str">
        <f>IF(采购录入!A37="","",采购录入!D37)</f>
        <v/>
      </c>
      <c r="E47" s="17" t="str">
        <f>IF(采购录入!A37="","",采购录入!I37)</f>
        <v/>
      </c>
      <c r="F47" s="5" t="str">
        <f>IF(采购录入!A37="","",采购录入!J37)</f>
        <v/>
      </c>
      <c r="G47" s="17" t="str">
        <f>IF(C47="","",SUMIFS(资金流水!$K$4:$K$203,资金流水!$F$4:$F$203,C47,资金流水!$D$4:$D$203,"供应商付款",资金流水!$A$4:$A$203,"&lt;="&amp;EOMONTH(应付跟进!$B$2,0)))</f>
        <v/>
      </c>
      <c r="H47" s="17" t="str">
        <f>IF(C47="","",SUMIFS($E$4:E46,$C$4:C46,C47))</f>
        <v/>
      </c>
      <c r="I47" s="17" t="str">
        <f t="shared" si="2"/>
        <v/>
      </c>
      <c r="J47" s="17" t="str">
        <f t="shared" si="3"/>
        <v/>
      </c>
      <c r="K47" s="17" t="str">
        <f t="shared" si="4"/>
        <v/>
      </c>
      <c r="L47" s="59" t="str">
        <f>IF(C47="","",IF(OR(K47&lt;=0,F47=""),"",F47-EOMONTH(应付跟进!$B$2,0)))</f>
        <v/>
      </c>
      <c r="M47" t="str">
        <f t="shared" si="5"/>
        <v/>
      </c>
      <c r="N47" t="str">
        <f t="shared" si="6"/>
        <v/>
      </c>
      <c r="O47" t="str">
        <f>IF(采购录入!A37="","",采购录入!L37)</f>
        <v/>
      </c>
      <c r="P47" t="str">
        <f>IF(采购录入!A37="","",采购录入!M37)</f>
        <v/>
      </c>
    </row>
    <row r="48" spans="1:16">
      <c r="A48" t="str">
        <f>IF(采购录入!A38="","","采购")</f>
        <v/>
      </c>
      <c r="B48" s="5" t="str">
        <f>IF(采购录入!A38="","",采购录入!A38)</f>
        <v/>
      </c>
      <c r="C48" t="str">
        <f>IF(采购录入!A38="","",采购录入!C38)</f>
        <v/>
      </c>
      <c r="D48" t="str">
        <f>IF(采购录入!A38="","",采购录入!D38)</f>
        <v/>
      </c>
      <c r="E48" s="17" t="str">
        <f>IF(采购录入!A38="","",采购录入!I38)</f>
        <v/>
      </c>
      <c r="F48" s="5" t="str">
        <f>IF(采购录入!A38="","",采购录入!J38)</f>
        <v/>
      </c>
      <c r="G48" s="17" t="str">
        <f>IF(C48="","",SUMIFS(资金流水!$K$4:$K$203,资金流水!$F$4:$F$203,C48,资金流水!$D$4:$D$203,"供应商付款",资金流水!$A$4:$A$203,"&lt;="&amp;EOMONTH(应付跟进!$B$2,0)))</f>
        <v/>
      </c>
      <c r="H48" s="17" t="str">
        <f>IF(C48="","",SUMIFS($E$4:E47,$C$4:C47,C48))</f>
        <v/>
      </c>
      <c r="I48" s="17" t="str">
        <f t="shared" si="2"/>
        <v/>
      </c>
      <c r="J48" s="17" t="str">
        <f t="shared" si="3"/>
        <v/>
      </c>
      <c r="K48" s="17" t="str">
        <f t="shared" si="4"/>
        <v/>
      </c>
      <c r="L48" s="59" t="str">
        <f>IF(C48="","",IF(OR(K48&lt;=0,F48=""),"",F48-EOMONTH(应付跟进!$B$2,0)))</f>
        <v/>
      </c>
      <c r="M48" t="str">
        <f t="shared" si="5"/>
        <v/>
      </c>
      <c r="N48" t="str">
        <f t="shared" si="6"/>
        <v/>
      </c>
      <c r="O48" t="str">
        <f>IF(采购录入!A38="","",采购录入!L38)</f>
        <v/>
      </c>
      <c r="P48" t="str">
        <f>IF(采购录入!A38="","",采购录入!M38)</f>
        <v/>
      </c>
    </row>
    <row r="49" spans="1:16">
      <c r="A49" t="str">
        <f>IF(采购录入!A39="","","采购")</f>
        <v/>
      </c>
      <c r="B49" s="5" t="str">
        <f>IF(采购录入!A39="","",采购录入!A39)</f>
        <v/>
      </c>
      <c r="C49" t="str">
        <f>IF(采购录入!A39="","",采购录入!C39)</f>
        <v/>
      </c>
      <c r="D49" t="str">
        <f>IF(采购录入!A39="","",采购录入!D39)</f>
        <v/>
      </c>
      <c r="E49" s="17" t="str">
        <f>IF(采购录入!A39="","",采购录入!I39)</f>
        <v/>
      </c>
      <c r="F49" s="5" t="str">
        <f>IF(采购录入!A39="","",采购录入!J39)</f>
        <v/>
      </c>
      <c r="G49" s="17" t="str">
        <f>IF(C49="","",SUMIFS(资金流水!$K$4:$K$203,资金流水!$F$4:$F$203,C49,资金流水!$D$4:$D$203,"供应商付款",资金流水!$A$4:$A$203,"&lt;="&amp;EOMONTH(应付跟进!$B$2,0)))</f>
        <v/>
      </c>
      <c r="H49" s="17" t="str">
        <f>IF(C49="","",SUMIFS($E$4:E48,$C$4:C48,C49))</f>
        <v/>
      </c>
      <c r="I49" s="17" t="str">
        <f t="shared" si="2"/>
        <v/>
      </c>
      <c r="J49" s="17" t="str">
        <f t="shared" si="3"/>
        <v/>
      </c>
      <c r="K49" s="17" t="str">
        <f t="shared" si="4"/>
        <v/>
      </c>
      <c r="L49" s="59" t="str">
        <f>IF(C49="","",IF(OR(K49&lt;=0,F49=""),"",F49-EOMONTH(应付跟进!$B$2,0)))</f>
        <v/>
      </c>
      <c r="M49" t="str">
        <f t="shared" si="5"/>
        <v/>
      </c>
      <c r="N49" t="str">
        <f t="shared" si="6"/>
        <v/>
      </c>
      <c r="O49" t="str">
        <f>IF(采购录入!A39="","",采购录入!L39)</f>
        <v/>
      </c>
      <c r="P49" t="str">
        <f>IF(采购录入!A39="","",采购录入!M39)</f>
        <v/>
      </c>
    </row>
    <row r="50" spans="1:16">
      <c r="A50" t="str">
        <f>IF(采购录入!A40="","","采购")</f>
        <v/>
      </c>
      <c r="B50" s="5" t="str">
        <f>IF(采购录入!A40="","",采购录入!A40)</f>
        <v/>
      </c>
      <c r="C50" t="str">
        <f>IF(采购录入!A40="","",采购录入!C40)</f>
        <v/>
      </c>
      <c r="D50" t="str">
        <f>IF(采购录入!A40="","",采购录入!D40)</f>
        <v/>
      </c>
      <c r="E50" s="17" t="str">
        <f>IF(采购录入!A40="","",采购录入!I40)</f>
        <v/>
      </c>
      <c r="F50" s="5" t="str">
        <f>IF(采购录入!A40="","",采购录入!J40)</f>
        <v/>
      </c>
      <c r="G50" s="17" t="str">
        <f>IF(C50="","",SUMIFS(资金流水!$K$4:$K$203,资金流水!$F$4:$F$203,C50,资金流水!$D$4:$D$203,"供应商付款",资金流水!$A$4:$A$203,"&lt;="&amp;EOMONTH(应付跟进!$B$2,0)))</f>
        <v/>
      </c>
      <c r="H50" s="17" t="str">
        <f>IF(C50="","",SUMIFS($E$4:E49,$C$4:C49,C50))</f>
        <v/>
      </c>
      <c r="I50" s="17" t="str">
        <f t="shared" si="2"/>
        <v/>
      </c>
      <c r="J50" s="17" t="str">
        <f t="shared" si="3"/>
        <v/>
      </c>
      <c r="K50" s="17" t="str">
        <f t="shared" si="4"/>
        <v/>
      </c>
      <c r="L50" s="59" t="str">
        <f>IF(C50="","",IF(OR(K50&lt;=0,F50=""),"",F50-EOMONTH(应付跟进!$B$2,0)))</f>
        <v/>
      </c>
      <c r="M50" t="str">
        <f t="shared" si="5"/>
        <v/>
      </c>
      <c r="N50" t="str">
        <f t="shared" si="6"/>
        <v/>
      </c>
      <c r="O50" t="str">
        <f>IF(采购录入!A40="","",采购录入!L40)</f>
        <v/>
      </c>
      <c r="P50" t="str">
        <f>IF(采购录入!A40="","",采购录入!M40)</f>
        <v/>
      </c>
    </row>
    <row r="51" spans="1:16">
      <c r="A51" t="str">
        <f>IF(采购录入!A41="","","采购")</f>
        <v/>
      </c>
      <c r="B51" s="5" t="str">
        <f>IF(采购录入!A41="","",采购录入!A41)</f>
        <v/>
      </c>
      <c r="C51" t="str">
        <f>IF(采购录入!A41="","",采购录入!C41)</f>
        <v/>
      </c>
      <c r="D51" t="str">
        <f>IF(采购录入!A41="","",采购录入!D41)</f>
        <v/>
      </c>
      <c r="E51" s="17" t="str">
        <f>IF(采购录入!A41="","",采购录入!I41)</f>
        <v/>
      </c>
      <c r="F51" s="5" t="str">
        <f>IF(采购录入!A41="","",采购录入!J41)</f>
        <v/>
      </c>
      <c r="G51" s="17" t="str">
        <f>IF(C51="","",SUMIFS(资金流水!$K$4:$K$203,资金流水!$F$4:$F$203,C51,资金流水!$D$4:$D$203,"供应商付款",资金流水!$A$4:$A$203,"&lt;="&amp;EOMONTH(应付跟进!$B$2,0)))</f>
        <v/>
      </c>
      <c r="H51" s="17" t="str">
        <f>IF(C51="","",SUMIFS($E$4:E50,$C$4:C50,C51))</f>
        <v/>
      </c>
      <c r="I51" s="17" t="str">
        <f t="shared" si="2"/>
        <v/>
      </c>
      <c r="J51" s="17" t="str">
        <f t="shared" si="3"/>
        <v/>
      </c>
      <c r="K51" s="17" t="str">
        <f t="shared" si="4"/>
        <v/>
      </c>
      <c r="L51" s="59" t="str">
        <f>IF(C51="","",IF(OR(K51&lt;=0,F51=""),"",F51-EOMONTH(应付跟进!$B$2,0)))</f>
        <v/>
      </c>
      <c r="M51" t="str">
        <f t="shared" si="5"/>
        <v/>
      </c>
      <c r="N51" t="str">
        <f t="shared" si="6"/>
        <v/>
      </c>
      <c r="O51" t="str">
        <f>IF(采购录入!A41="","",采购录入!L41)</f>
        <v/>
      </c>
      <c r="P51" t="str">
        <f>IF(采购录入!A41="","",采购录入!M41)</f>
        <v/>
      </c>
    </row>
    <row r="52" spans="1:16">
      <c r="A52" t="str">
        <f>IF(采购录入!A42="","","采购")</f>
        <v/>
      </c>
      <c r="B52" s="5" t="str">
        <f>IF(采购录入!A42="","",采购录入!A42)</f>
        <v/>
      </c>
      <c r="C52" t="str">
        <f>IF(采购录入!A42="","",采购录入!C42)</f>
        <v/>
      </c>
      <c r="D52" t="str">
        <f>IF(采购录入!A42="","",采购录入!D42)</f>
        <v/>
      </c>
      <c r="E52" s="17" t="str">
        <f>IF(采购录入!A42="","",采购录入!I42)</f>
        <v/>
      </c>
      <c r="F52" s="5" t="str">
        <f>IF(采购录入!A42="","",采购录入!J42)</f>
        <v/>
      </c>
      <c r="G52" s="17" t="str">
        <f>IF(C52="","",SUMIFS(资金流水!$K$4:$K$203,资金流水!$F$4:$F$203,C52,资金流水!$D$4:$D$203,"供应商付款",资金流水!$A$4:$A$203,"&lt;="&amp;EOMONTH(应付跟进!$B$2,0)))</f>
        <v/>
      </c>
      <c r="H52" s="17" t="str">
        <f>IF(C52="","",SUMIFS($E$4:E51,$C$4:C51,C52))</f>
        <v/>
      </c>
      <c r="I52" s="17" t="str">
        <f t="shared" si="2"/>
        <v/>
      </c>
      <c r="J52" s="17" t="str">
        <f t="shared" si="3"/>
        <v/>
      </c>
      <c r="K52" s="17" t="str">
        <f t="shared" si="4"/>
        <v/>
      </c>
      <c r="L52" s="59" t="str">
        <f>IF(C52="","",IF(OR(K52&lt;=0,F52=""),"",F52-EOMONTH(应付跟进!$B$2,0)))</f>
        <v/>
      </c>
      <c r="M52" t="str">
        <f t="shared" si="5"/>
        <v/>
      </c>
      <c r="N52" t="str">
        <f t="shared" si="6"/>
        <v/>
      </c>
      <c r="O52" t="str">
        <f>IF(采购录入!A42="","",采购录入!L42)</f>
        <v/>
      </c>
      <c r="P52" t="str">
        <f>IF(采购录入!A42="","",采购录入!M42)</f>
        <v/>
      </c>
    </row>
    <row r="53" spans="1:16">
      <c r="A53" t="str">
        <f>IF(采购录入!A43="","","采购")</f>
        <v/>
      </c>
      <c r="B53" s="5" t="str">
        <f>IF(采购录入!A43="","",采购录入!A43)</f>
        <v/>
      </c>
      <c r="C53" t="str">
        <f>IF(采购录入!A43="","",采购录入!C43)</f>
        <v/>
      </c>
      <c r="D53" t="str">
        <f>IF(采购录入!A43="","",采购录入!D43)</f>
        <v/>
      </c>
      <c r="E53" s="17" t="str">
        <f>IF(采购录入!A43="","",采购录入!I43)</f>
        <v/>
      </c>
      <c r="F53" s="5" t="str">
        <f>IF(采购录入!A43="","",采购录入!J43)</f>
        <v/>
      </c>
      <c r="G53" s="17" t="str">
        <f>IF(C53="","",SUMIFS(资金流水!$K$4:$K$203,资金流水!$F$4:$F$203,C53,资金流水!$D$4:$D$203,"供应商付款",资金流水!$A$4:$A$203,"&lt;="&amp;EOMONTH(应付跟进!$B$2,0)))</f>
        <v/>
      </c>
      <c r="H53" s="17" t="str">
        <f>IF(C53="","",SUMIFS($E$4:E52,$C$4:C52,C53))</f>
        <v/>
      </c>
      <c r="I53" s="17" t="str">
        <f t="shared" si="2"/>
        <v/>
      </c>
      <c r="J53" s="17" t="str">
        <f t="shared" si="3"/>
        <v/>
      </c>
      <c r="K53" s="17" t="str">
        <f t="shared" si="4"/>
        <v/>
      </c>
      <c r="L53" s="59" t="str">
        <f>IF(C53="","",IF(OR(K53&lt;=0,F53=""),"",F53-EOMONTH(应付跟进!$B$2,0)))</f>
        <v/>
      </c>
      <c r="M53" t="str">
        <f t="shared" si="5"/>
        <v/>
      </c>
      <c r="N53" t="str">
        <f t="shared" si="6"/>
        <v/>
      </c>
      <c r="O53" t="str">
        <f>IF(采购录入!A43="","",采购录入!L43)</f>
        <v/>
      </c>
      <c r="P53" t="str">
        <f>IF(采购录入!A43="","",采购录入!M43)</f>
        <v/>
      </c>
    </row>
    <row r="54" spans="1:16">
      <c r="A54" t="str">
        <f>IF(采购录入!A44="","","采购")</f>
        <v/>
      </c>
      <c r="B54" s="5" t="str">
        <f>IF(采购录入!A44="","",采购录入!A44)</f>
        <v/>
      </c>
      <c r="C54" t="str">
        <f>IF(采购录入!A44="","",采购录入!C44)</f>
        <v/>
      </c>
      <c r="D54" t="str">
        <f>IF(采购录入!A44="","",采购录入!D44)</f>
        <v/>
      </c>
      <c r="E54" s="17" t="str">
        <f>IF(采购录入!A44="","",采购录入!I44)</f>
        <v/>
      </c>
      <c r="F54" s="5" t="str">
        <f>IF(采购录入!A44="","",采购录入!J44)</f>
        <v/>
      </c>
      <c r="G54" s="17" t="str">
        <f>IF(C54="","",SUMIFS(资金流水!$K$4:$K$203,资金流水!$F$4:$F$203,C54,资金流水!$D$4:$D$203,"供应商付款",资金流水!$A$4:$A$203,"&lt;="&amp;EOMONTH(应付跟进!$B$2,0)))</f>
        <v/>
      </c>
      <c r="H54" s="17" t="str">
        <f>IF(C54="","",SUMIFS($E$4:E53,$C$4:C53,C54))</f>
        <v/>
      </c>
      <c r="I54" s="17" t="str">
        <f t="shared" si="2"/>
        <v/>
      </c>
      <c r="J54" s="17" t="str">
        <f t="shared" si="3"/>
        <v/>
      </c>
      <c r="K54" s="17" t="str">
        <f t="shared" si="4"/>
        <v/>
      </c>
      <c r="L54" s="59" t="str">
        <f>IF(C54="","",IF(OR(K54&lt;=0,F54=""),"",F54-EOMONTH(应付跟进!$B$2,0)))</f>
        <v/>
      </c>
      <c r="M54" t="str">
        <f t="shared" si="5"/>
        <v/>
      </c>
      <c r="N54" t="str">
        <f t="shared" si="6"/>
        <v/>
      </c>
      <c r="O54" t="str">
        <f>IF(采购录入!A44="","",采购录入!L44)</f>
        <v/>
      </c>
      <c r="P54" t="str">
        <f>IF(采购录入!A44="","",采购录入!M44)</f>
        <v/>
      </c>
    </row>
    <row r="55" spans="1:16">
      <c r="A55" t="str">
        <f>IF(采购录入!A45="","","采购")</f>
        <v/>
      </c>
      <c r="B55" s="5" t="str">
        <f>IF(采购录入!A45="","",采购录入!A45)</f>
        <v/>
      </c>
      <c r="C55" t="str">
        <f>IF(采购录入!A45="","",采购录入!C45)</f>
        <v/>
      </c>
      <c r="D55" t="str">
        <f>IF(采购录入!A45="","",采购录入!D45)</f>
        <v/>
      </c>
      <c r="E55" s="17" t="str">
        <f>IF(采购录入!A45="","",采购录入!I45)</f>
        <v/>
      </c>
      <c r="F55" s="5" t="str">
        <f>IF(采购录入!A45="","",采购录入!J45)</f>
        <v/>
      </c>
      <c r="G55" s="17" t="str">
        <f>IF(C55="","",SUMIFS(资金流水!$K$4:$K$203,资金流水!$F$4:$F$203,C55,资金流水!$D$4:$D$203,"供应商付款",资金流水!$A$4:$A$203,"&lt;="&amp;EOMONTH(应付跟进!$B$2,0)))</f>
        <v/>
      </c>
      <c r="H55" s="17" t="str">
        <f>IF(C55="","",SUMIFS($E$4:E54,$C$4:C54,C55))</f>
        <v/>
      </c>
      <c r="I55" s="17" t="str">
        <f t="shared" si="2"/>
        <v/>
      </c>
      <c r="J55" s="17" t="str">
        <f t="shared" si="3"/>
        <v/>
      </c>
      <c r="K55" s="17" t="str">
        <f t="shared" si="4"/>
        <v/>
      </c>
      <c r="L55" s="59" t="str">
        <f>IF(C55="","",IF(OR(K55&lt;=0,F55=""),"",F55-EOMONTH(应付跟进!$B$2,0)))</f>
        <v/>
      </c>
      <c r="M55" t="str">
        <f t="shared" si="5"/>
        <v/>
      </c>
      <c r="N55" t="str">
        <f t="shared" si="6"/>
        <v/>
      </c>
      <c r="O55" t="str">
        <f>IF(采购录入!A45="","",采购录入!L45)</f>
        <v/>
      </c>
      <c r="P55" t="str">
        <f>IF(采购录入!A45="","",采购录入!M45)</f>
        <v/>
      </c>
    </row>
    <row r="56" spans="1:16">
      <c r="A56" t="str">
        <f>IF(采购录入!A46="","","采购")</f>
        <v/>
      </c>
      <c r="B56" s="5" t="str">
        <f>IF(采购录入!A46="","",采购录入!A46)</f>
        <v/>
      </c>
      <c r="C56" t="str">
        <f>IF(采购录入!A46="","",采购录入!C46)</f>
        <v/>
      </c>
      <c r="D56" t="str">
        <f>IF(采购录入!A46="","",采购录入!D46)</f>
        <v/>
      </c>
      <c r="E56" s="17" t="str">
        <f>IF(采购录入!A46="","",采购录入!I46)</f>
        <v/>
      </c>
      <c r="F56" s="5" t="str">
        <f>IF(采购录入!A46="","",采购录入!J46)</f>
        <v/>
      </c>
      <c r="G56" s="17" t="str">
        <f>IF(C56="","",SUMIFS(资金流水!$K$4:$K$203,资金流水!$F$4:$F$203,C56,资金流水!$D$4:$D$203,"供应商付款",资金流水!$A$4:$A$203,"&lt;="&amp;EOMONTH(应付跟进!$B$2,0)))</f>
        <v/>
      </c>
      <c r="H56" s="17" t="str">
        <f>IF(C56="","",SUMIFS($E$4:E55,$C$4:C55,C56))</f>
        <v/>
      </c>
      <c r="I56" s="17" t="str">
        <f t="shared" si="2"/>
        <v/>
      </c>
      <c r="J56" s="17" t="str">
        <f t="shared" si="3"/>
        <v/>
      </c>
      <c r="K56" s="17" t="str">
        <f t="shared" si="4"/>
        <v/>
      </c>
      <c r="L56" s="59" t="str">
        <f>IF(C56="","",IF(OR(K56&lt;=0,F56=""),"",F56-EOMONTH(应付跟进!$B$2,0)))</f>
        <v/>
      </c>
      <c r="M56" t="str">
        <f t="shared" si="5"/>
        <v/>
      </c>
      <c r="N56" t="str">
        <f t="shared" si="6"/>
        <v/>
      </c>
      <c r="O56" t="str">
        <f>IF(采购录入!A46="","",采购录入!L46)</f>
        <v/>
      </c>
      <c r="P56" t="str">
        <f>IF(采购录入!A46="","",采购录入!M46)</f>
        <v/>
      </c>
    </row>
    <row r="57" spans="1:16">
      <c r="A57" t="str">
        <f>IF(采购录入!A47="","","采购")</f>
        <v/>
      </c>
      <c r="B57" s="5" t="str">
        <f>IF(采购录入!A47="","",采购录入!A47)</f>
        <v/>
      </c>
      <c r="C57" t="str">
        <f>IF(采购录入!A47="","",采购录入!C47)</f>
        <v/>
      </c>
      <c r="D57" t="str">
        <f>IF(采购录入!A47="","",采购录入!D47)</f>
        <v/>
      </c>
      <c r="E57" s="17" t="str">
        <f>IF(采购录入!A47="","",采购录入!I47)</f>
        <v/>
      </c>
      <c r="F57" s="5" t="str">
        <f>IF(采购录入!A47="","",采购录入!J47)</f>
        <v/>
      </c>
      <c r="G57" s="17" t="str">
        <f>IF(C57="","",SUMIFS(资金流水!$K$4:$K$203,资金流水!$F$4:$F$203,C57,资金流水!$D$4:$D$203,"供应商付款",资金流水!$A$4:$A$203,"&lt;="&amp;EOMONTH(应付跟进!$B$2,0)))</f>
        <v/>
      </c>
      <c r="H57" s="17" t="str">
        <f>IF(C57="","",SUMIFS($E$4:E56,$C$4:C56,C57))</f>
        <v/>
      </c>
      <c r="I57" s="17" t="str">
        <f t="shared" si="2"/>
        <v/>
      </c>
      <c r="J57" s="17" t="str">
        <f t="shared" si="3"/>
        <v/>
      </c>
      <c r="K57" s="17" t="str">
        <f t="shared" si="4"/>
        <v/>
      </c>
      <c r="L57" s="59" t="str">
        <f>IF(C57="","",IF(OR(K57&lt;=0,F57=""),"",F57-EOMONTH(应付跟进!$B$2,0)))</f>
        <v/>
      </c>
      <c r="M57" t="str">
        <f t="shared" si="5"/>
        <v/>
      </c>
      <c r="N57" t="str">
        <f t="shared" si="6"/>
        <v/>
      </c>
      <c r="O57" t="str">
        <f>IF(采购录入!A47="","",采购录入!L47)</f>
        <v/>
      </c>
      <c r="P57" t="str">
        <f>IF(采购录入!A47="","",采购录入!M47)</f>
        <v/>
      </c>
    </row>
    <row r="58" spans="1:16">
      <c r="A58" t="str">
        <f>IF(采购录入!A48="","","采购")</f>
        <v/>
      </c>
      <c r="B58" s="5" t="str">
        <f>IF(采购录入!A48="","",采购录入!A48)</f>
        <v/>
      </c>
      <c r="C58" t="str">
        <f>IF(采购录入!A48="","",采购录入!C48)</f>
        <v/>
      </c>
      <c r="D58" t="str">
        <f>IF(采购录入!A48="","",采购录入!D48)</f>
        <v/>
      </c>
      <c r="E58" s="17" t="str">
        <f>IF(采购录入!A48="","",采购录入!I48)</f>
        <v/>
      </c>
      <c r="F58" s="5" t="str">
        <f>IF(采购录入!A48="","",采购录入!J48)</f>
        <v/>
      </c>
      <c r="G58" s="17" t="str">
        <f>IF(C58="","",SUMIFS(资金流水!$K$4:$K$203,资金流水!$F$4:$F$203,C58,资金流水!$D$4:$D$203,"供应商付款",资金流水!$A$4:$A$203,"&lt;="&amp;EOMONTH(应付跟进!$B$2,0)))</f>
        <v/>
      </c>
      <c r="H58" s="17" t="str">
        <f>IF(C58="","",SUMIFS($E$4:E57,$C$4:C57,C58))</f>
        <v/>
      </c>
      <c r="I58" s="17" t="str">
        <f t="shared" si="2"/>
        <v/>
      </c>
      <c r="J58" s="17" t="str">
        <f t="shared" si="3"/>
        <v/>
      </c>
      <c r="K58" s="17" t="str">
        <f t="shared" si="4"/>
        <v/>
      </c>
      <c r="L58" s="59" t="str">
        <f>IF(C58="","",IF(OR(K58&lt;=0,F58=""),"",F58-EOMONTH(应付跟进!$B$2,0)))</f>
        <v/>
      </c>
      <c r="M58" t="str">
        <f t="shared" si="5"/>
        <v/>
      </c>
      <c r="N58" t="str">
        <f t="shared" si="6"/>
        <v/>
      </c>
      <c r="O58" t="str">
        <f>IF(采购录入!A48="","",采购录入!L48)</f>
        <v/>
      </c>
      <c r="P58" t="str">
        <f>IF(采购录入!A48="","",采购录入!M48)</f>
        <v/>
      </c>
    </row>
    <row r="59" spans="1:16">
      <c r="A59" t="str">
        <f>IF(采购录入!A49="","","采购")</f>
        <v/>
      </c>
      <c r="B59" s="5" t="str">
        <f>IF(采购录入!A49="","",采购录入!A49)</f>
        <v/>
      </c>
      <c r="C59" t="str">
        <f>IF(采购录入!A49="","",采购录入!C49)</f>
        <v/>
      </c>
      <c r="D59" t="str">
        <f>IF(采购录入!A49="","",采购录入!D49)</f>
        <v/>
      </c>
      <c r="E59" s="17" t="str">
        <f>IF(采购录入!A49="","",采购录入!I49)</f>
        <v/>
      </c>
      <c r="F59" s="5" t="str">
        <f>IF(采购录入!A49="","",采购录入!J49)</f>
        <v/>
      </c>
      <c r="G59" s="17" t="str">
        <f>IF(C59="","",SUMIFS(资金流水!$K$4:$K$203,资金流水!$F$4:$F$203,C59,资金流水!$D$4:$D$203,"供应商付款",资金流水!$A$4:$A$203,"&lt;="&amp;EOMONTH(应付跟进!$B$2,0)))</f>
        <v/>
      </c>
      <c r="H59" s="17" t="str">
        <f>IF(C59="","",SUMIFS($E$4:E58,$C$4:C58,C59))</f>
        <v/>
      </c>
      <c r="I59" s="17" t="str">
        <f t="shared" si="2"/>
        <v/>
      </c>
      <c r="J59" s="17" t="str">
        <f t="shared" si="3"/>
        <v/>
      </c>
      <c r="K59" s="17" t="str">
        <f t="shared" si="4"/>
        <v/>
      </c>
      <c r="L59" s="59" t="str">
        <f>IF(C59="","",IF(OR(K59&lt;=0,F59=""),"",F59-EOMONTH(应付跟进!$B$2,0)))</f>
        <v/>
      </c>
      <c r="M59" t="str">
        <f t="shared" si="5"/>
        <v/>
      </c>
      <c r="N59" t="str">
        <f t="shared" si="6"/>
        <v/>
      </c>
      <c r="O59" t="str">
        <f>IF(采购录入!A49="","",采购录入!L49)</f>
        <v/>
      </c>
      <c r="P59" t="str">
        <f>IF(采购录入!A49="","",采购录入!M49)</f>
        <v/>
      </c>
    </row>
    <row r="60" spans="1:16">
      <c r="A60" t="str">
        <f>IF(采购录入!A50="","","采购")</f>
        <v/>
      </c>
      <c r="B60" s="5" t="str">
        <f>IF(采购录入!A50="","",采购录入!A50)</f>
        <v/>
      </c>
      <c r="C60" t="str">
        <f>IF(采购录入!A50="","",采购录入!C50)</f>
        <v/>
      </c>
      <c r="D60" t="str">
        <f>IF(采购录入!A50="","",采购录入!D50)</f>
        <v/>
      </c>
      <c r="E60" s="17" t="str">
        <f>IF(采购录入!A50="","",采购录入!I50)</f>
        <v/>
      </c>
      <c r="F60" s="5" t="str">
        <f>IF(采购录入!A50="","",采购录入!J50)</f>
        <v/>
      </c>
      <c r="G60" s="17" t="str">
        <f>IF(C60="","",SUMIFS(资金流水!$K$4:$K$203,资金流水!$F$4:$F$203,C60,资金流水!$D$4:$D$203,"供应商付款",资金流水!$A$4:$A$203,"&lt;="&amp;EOMONTH(应付跟进!$B$2,0)))</f>
        <v/>
      </c>
      <c r="H60" s="17" t="str">
        <f>IF(C60="","",SUMIFS($E$4:E59,$C$4:C59,C60))</f>
        <v/>
      </c>
      <c r="I60" s="17" t="str">
        <f t="shared" si="2"/>
        <v/>
      </c>
      <c r="J60" s="17" t="str">
        <f t="shared" si="3"/>
        <v/>
      </c>
      <c r="K60" s="17" t="str">
        <f t="shared" si="4"/>
        <v/>
      </c>
      <c r="L60" s="59" t="str">
        <f>IF(C60="","",IF(OR(K60&lt;=0,F60=""),"",F60-EOMONTH(应付跟进!$B$2,0)))</f>
        <v/>
      </c>
      <c r="M60" t="str">
        <f t="shared" si="5"/>
        <v/>
      </c>
      <c r="N60" t="str">
        <f t="shared" si="6"/>
        <v/>
      </c>
      <c r="O60" t="str">
        <f>IF(采购录入!A50="","",采购录入!L50)</f>
        <v/>
      </c>
      <c r="P60" t="str">
        <f>IF(采购录入!A50="","",采购录入!M50)</f>
        <v/>
      </c>
    </row>
    <row r="61" spans="1:16">
      <c r="A61" t="str">
        <f>IF(采购录入!A51="","","采购")</f>
        <v/>
      </c>
      <c r="B61" s="5" t="str">
        <f>IF(采购录入!A51="","",采购录入!A51)</f>
        <v/>
      </c>
      <c r="C61" t="str">
        <f>IF(采购录入!A51="","",采购录入!C51)</f>
        <v/>
      </c>
      <c r="D61" t="str">
        <f>IF(采购录入!A51="","",采购录入!D51)</f>
        <v/>
      </c>
      <c r="E61" s="17" t="str">
        <f>IF(采购录入!A51="","",采购录入!I51)</f>
        <v/>
      </c>
      <c r="F61" s="5" t="str">
        <f>IF(采购录入!A51="","",采购录入!J51)</f>
        <v/>
      </c>
      <c r="G61" s="17" t="str">
        <f>IF(C61="","",SUMIFS(资金流水!$K$4:$K$203,资金流水!$F$4:$F$203,C61,资金流水!$D$4:$D$203,"供应商付款",资金流水!$A$4:$A$203,"&lt;="&amp;EOMONTH(应付跟进!$B$2,0)))</f>
        <v/>
      </c>
      <c r="H61" s="17" t="str">
        <f>IF(C61="","",SUMIFS($E$4:E60,$C$4:C60,C61))</f>
        <v/>
      </c>
      <c r="I61" s="17" t="str">
        <f t="shared" si="2"/>
        <v/>
      </c>
      <c r="J61" s="17" t="str">
        <f t="shared" si="3"/>
        <v/>
      </c>
      <c r="K61" s="17" t="str">
        <f t="shared" si="4"/>
        <v/>
      </c>
      <c r="L61" s="59" t="str">
        <f>IF(C61="","",IF(OR(K61&lt;=0,F61=""),"",F61-EOMONTH(应付跟进!$B$2,0)))</f>
        <v/>
      </c>
      <c r="M61" t="str">
        <f t="shared" si="5"/>
        <v/>
      </c>
      <c r="N61" t="str">
        <f t="shared" si="6"/>
        <v/>
      </c>
      <c r="O61" t="str">
        <f>IF(采购录入!A51="","",采购录入!L51)</f>
        <v/>
      </c>
      <c r="P61" t="str">
        <f>IF(采购录入!A51="","",采购录入!M51)</f>
        <v/>
      </c>
    </row>
    <row r="62" spans="1:16">
      <c r="A62" t="str">
        <f>IF(采购录入!A52="","","采购")</f>
        <v/>
      </c>
      <c r="B62" s="5" t="str">
        <f>IF(采购录入!A52="","",采购录入!A52)</f>
        <v/>
      </c>
      <c r="C62" t="str">
        <f>IF(采购录入!A52="","",采购录入!C52)</f>
        <v/>
      </c>
      <c r="D62" t="str">
        <f>IF(采购录入!A52="","",采购录入!D52)</f>
        <v/>
      </c>
      <c r="E62" s="17" t="str">
        <f>IF(采购录入!A52="","",采购录入!I52)</f>
        <v/>
      </c>
      <c r="F62" s="5" t="str">
        <f>IF(采购录入!A52="","",采购录入!J52)</f>
        <v/>
      </c>
      <c r="G62" s="17" t="str">
        <f>IF(C62="","",SUMIFS(资金流水!$K$4:$K$203,资金流水!$F$4:$F$203,C62,资金流水!$D$4:$D$203,"供应商付款",资金流水!$A$4:$A$203,"&lt;="&amp;EOMONTH(应付跟进!$B$2,0)))</f>
        <v/>
      </c>
      <c r="H62" s="17" t="str">
        <f>IF(C62="","",SUMIFS($E$4:E61,$C$4:C61,C62))</f>
        <v/>
      </c>
      <c r="I62" s="17" t="str">
        <f t="shared" si="2"/>
        <v/>
      </c>
      <c r="J62" s="17" t="str">
        <f t="shared" si="3"/>
        <v/>
      </c>
      <c r="K62" s="17" t="str">
        <f t="shared" si="4"/>
        <v/>
      </c>
      <c r="L62" s="59" t="str">
        <f>IF(C62="","",IF(OR(K62&lt;=0,F62=""),"",F62-EOMONTH(应付跟进!$B$2,0)))</f>
        <v/>
      </c>
      <c r="M62" t="str">
        <f t="shared" si="5"/>
        <v/>
      </c>
      <c r="N62" t="str">
        <f t="shared" si="6"/>
        <v/>
      </c>
      <c r="O62" t="str">
        <f>IF(采购录入!A52="","",采购录入!L52)</f>
        <v/>
      </c>
      <c r="P62" t="str">
        <f>IF(采购录入!A52="","",采购录入!M52)</f>
        <v/>
      </c>
    </row>
    <row r="63" spans="1:16">
      <c r="A63" t="str">
        <f>IF(采购录入!A53="","","采购")</f>
        <v/>
      </c>
      <c r="B63" s="5" t="str">
        <f>IF(采购录入!A53="","",采购录入!A53)</f>
        <v/>
      </c>
      <c r="C63" t="str">
        <f>IF(采购录入!A53="","",采购录入!C53)</f>
        <v/>
      </c>
      <c r="D63" t="str">
        <f>IF(采购录入!A53="","",采购录入!D53)</f>
        <v/>
      </c>
      <c r="E63" s="17" t="str">
        <f>IF(采购录入!A53="","",采购录入!I53)</f>
        <v/>
      </c>
      <c r="F63" s="5" t="str">
        <f>IF(采购录入!A53="","",采购录入!J53)</f>
        <v/>
      </c>
      <c r="G63" s="17" t="str">
        <f>IF(C63="","",SUMIFS(资金流水!$K$4:$K$203,资金流水!$F$4:$F$203,C63,资金流水!$D$4:$D$203,"供应商付款",资金流水!$A$4:$A$203,"&lt;="&amp;EOMONTH(应付跟进!$B$2,0)))</f>
        <v/>
      </c>
      <c r="H63" s="17" t="str">
        <f>IF(C63="","",SUMIFS($E$4:E62,$C$4:C62,C63))</f>
        <v/>
      </c>
      <c r="I63" s="17" t="str">
        <f t="shared" si="2"/>
        <v/>
      </c>
      <c r="J63" s="17" t="str">
        <f t="shared" si="3"/>
        <v/>
      </c>
      <c r="K63" s="17" t="str">
        <f t="shared" si="4"/>
        <v/>
      </c>
      <c r="L63" s="59" t="str">
        <f>IF(C63="","",IF(OR(K63&lt;=0,F63=""),"",F63-EOMONTH(应付跟进!$B$2,0)))</f>
        <v/>
      </c>
      <c r="M63" t="str">
        <f t="shared" si="5"/>
        <v/>
      </c>
      <c r="N63" t="str">
        <f t="shared" si="6"/>
        <v/>
      </c>
      <c r="O63" t="str">
        <f>IF(采购录入!A53="","",采购录入!L53)</f>
        <v/>
      </c>
      <c r="P63" t="str">
        <f>IF(采购录入!A53="","",采购录入!M53)</f>
        <v/>
      </c>
    </row>
    <row r="64" spans="1:16">
      <c r="A64" t="str">
        <f>IF(采购录入!A54="","","采购")</f>
        <v/>
      </c>
      <c r="B64" s="5" t="str">
        <f>IF(采购录入!A54="","",采购录入!A54)</f>
        <v/>
      </c>
      <c r="C64" t="str">
        <f>IF(采购录入!A54="","",采购录入!C54)</f>
        <v/>
      </c>
      <c r="D64" t="str">
        <f>IF(采购录入!A54="","",采购录入!D54)</f>
        <v/>
      </c>
      <c r="E64" s="17" t="str">
        <f>IF(采购录入!A54="","",采购录入!I54)</f>
        <v/>
      </c>
      <c r="F64" s="5" t="str">
        <f>IF(采购录入!A54="","",采购录入!J54)</f>
        <v/>
      </c>
      <c r="G64" s="17" t="str">
        <f>IF(C64="","",SUMIFS(资金流水!$K$4:$K$203,资金流水!$F$4:$F$203,C64,资金流水!$D$4:$D$203,"供应商付款",资金流水!$A$4:$A$203,"&lt;="&amp;EOMONTH(应付跟进!$B$2,0)))</f>
        <v/>
      </c>
      <c r="H64" s="17" t="str">
        <f>IF(C64="","",SUMIFS($E$4:E63,$C$4:C63,C64))</f>
        <v/>
      </c>
      <c r="I64" s="17" t="str">
        <f t="shared" si="2"/>
        <v/>
      </c>
      <c r="J64" s="17" t="str">
        <f t="shared" si="3"/>
        <v/>
      </c>
      <c r="K64" s="17" t="str">
        <f t="shared" si="4"/>
        <v/>
      </c>
      <c r="L64" s="59" t="str">
        <f>IF(C64="","",IF(OR(K64&lt;=0,F64=""),"",F64-EOMONTH(应付跟进!$B$2,0)))</f>
        <v/>
      </c>
      <c r="M64" t="str">
        <f t="shared" si="5"/>
        <v/>
      </c>
      <c r="N64" t="str">
        <f t="shared" si="6"/>
        <v/>
      </c>
      <c r="O64" t="str">
        <f>IF(采购录入!A54="","",采购录入!L54)</f>
        <v/>
      </c>
      <c r="P64" t="str">
        <f>IF(采购录入!A54="","",采购录入!M54)</f>
        <v/>
      </c>
    </row>
    <row r="65" spans="1:16">
      <c r="A65" t="str">
        <f>IF(采购录入!A55="","","采购")</f>
        <v/>
      </c>
      <c r="B65" s="5" t="str">
        <f>IF(采购录入!A55="","",采购录入!A55)</f>
        <v/>
      </c>
      <c r="C65" t="str">
        <f>IF(采购录入!A55="","",采购录入!C55)</f>
        <v/>
      </c>
      <c r="D65" t="str">
        <f>IF(采购录入!A55="","",采购录入!D55)</f>
        <v/>
      </c>
      <c r="E65" s="17" t="str">
        <f>IF(采购录入!A55="","",采购录入!I55)</f>
        <v/>
      </c>
      <c r="F65" s="5" t="str">
        <f>IF(采购录入!A55="","",采购录入!J55)</f>
        <v/>
      </c>
      <c r="G65" s="17" t="str">
        <f>IF(C65="","",SUMIFS(资金流水!$K$4:$K$203,资金流水!$F$4:$F$203,C65,资金流水!$D$4:$D$203,"供应商付款",资金流水!$A$4:$A$203,"&lt;="&amp;EOMONTH(应付跟进!$B$2,0)))</f>
        <v/>
      </c>
      <c r="H65" s="17" t="str">
        <f>IF(C65="","",SUMIFS($E$4:E64,$C$4:C64,C65))</f>
        <v/>
      </c>
      <c r="I65" s="17" t="str">
        <f t="shared" si="2"/>
        <v/>
      </c>
      <c r="J65" s="17" t="str">
        <f t="shared" si="3"/>
        <v/>
      </c>
      <c r="K65" s="17" t="str">
        <f t="shared" si="4"/>
        <v/>
      </c>
      <c r="L65" s="59" t="str">
        <f>IF(C65="","",IF(OR(K65&lt;=0,F65=""),"",F65-EOMONTH(应付跟进!$B$2,0)))</f>
        <v/>
      </c>
      <c r="M65" t="str">
        <f t="shared" si="5"/>
        <v/>
      </c>
      <c r="N65" t="str">
        <f t="shared" si="6"/>
        <v/>
      </c>
      <c r="O65" t="str">
        <f>IF(采购录入!A55="","",采购录入!L55)</f>
        <v/>
      </c>
      <c r="P65" t="str">
        <f>IF(采购录入!A55="","",采购录入!M55)</f>
        <v/>
      </c>
    </row>
    <row r="66" spans="1:16">
      <c r="A66" t="str">
        <f>IF(采购录入!A56="","","采购")</f>
        <v/>
      </c>
      <c r="B66" s="5" t="str">
        <f>IF(采购录入!A56="","",采购录入!A56)</f>
        <v/>
      </c>
      <c r="C66" t="str">
        <f>IF(采购录入!A56="","",采购录入!C56)</f>
        <v/>
      </c>
      <c r="D66" t="str">
        <f>IF(采购录入!A56="","",采购录入!D56)</f>
        <v/>
      </c>
      <c r="E66" s="17" t="str">
        <f>IF(采购录入!A56="","",采购录入!I56)</f>
        <v/>
      </c>
      <c r="F66" s="5" t="str">
        <f>IF(采购录入!A56="","",采购录入!J56)</f>
        <v/>
      </c>
      <c r="G66" s="17" t="str">
        <f>IF(C66="","",SUMIFS(资金流水!$K$4:$K$203,资金流水!$F$4:$F$203,C66,资金流水!$D$4:$D$203,"供应商付款",资金流水!$A$4:$A$203,"&lt;="&amp;EOMONTH(应付跟进!$B$2,0)))</f>
        <v/>
      </c>
      <c r="H66" s="17" t="str">
        <f>IF(C66="","",SUMIFS($E$4:E65,$C$4:C65,C66))</f>
        <v/>
      </c>
      <c r="I66" s="17" t="str">
        <f t="shared" si="2"/>
        <v/>
      </c>
      <c r="J66" s="17" t="str">
        <f t="shared" si="3"/>
        <v/>
      </c>
      <c r="K66" s="17" t="str">
        <f t="shared" si="4"/>
        <v/>
      </c>
      <c r="L66" s="59" t="str">
        <f>IF(C66="","",IF(OR(K66&lt;=0,F66=""),"",F66-EOMONTH(应付跟进!$B$2,0)))</f>
        <v/>
      </c>
      <c r="M66" t="str">
        <f t="shared" si="5"/>
        <v/>
      </c>
      <c r="N66" t="str">
        <f t="shared" si="6"/>
        <v/>
      </c>
      <c r="O66" t="str">
        <f>IF(采购录入!A56="","",采购录入!L56)</f>
        <v/>
      </c>
      <c r="P66" t="str">
        <f>IF(采购录入!A56="","",采购录入!M56)</f>
        <v/>
      </c>
    </row>
    <row r="67" spans="1:16">
      <c r="A67" t="str">
        <f>IF(采购录入!A57="","","采购")</f>
        <v/>
      </c>
      <c r="B67" s="5" t="str">
        <f>IF(采购录入!A57="","",采购录入!A57)</f>
        <v/>
      </c>
      <c r="C67" t="str">
        <f>IF(采购录入!A57="","",采购录入!C57)</f>
        <v/>
      </c>
      <c r="D67" t="str">
        <f>IF(采购录入!A57="","",采购录入!D57)</f>
        <v/>
      </c>
      <c r="E67" s="17" t="str">
        <f>IF(采购录入!A57="","",采购录入!I57)</f>
        <v/>
      </c>
      <c r="F67" s="5" t="str">
        <f>IF(采购录入!A57="","",采购录入!J57)</f>
        <v/>
      </c>
      <c r="G67" s="17" t="str">
        <f>IF(C67="","",SUMIFS(资金流水!$K$4:$K$203,资金流水!$F$4:$F$203,C67,资金流水!$D$4:$D$203,"供应商付款",资金流水!$A$4:$A$203,"&lt;="&amp;EOMONTH(应付跟进!$B$2,0)))</f>
        <v/>
      </c>
      <c r="H67" s="17" t="str">
        <f>IF(C67="","",SUMIFS($E$4:E66,$C$4:C66,C67))</f>
        <v/>
      </c>
      <c r="I67" s="17" t="str">
        <f t="shared" si="2"/>
        <v/>
      </c>
      <c r="J67" s="17" t="str">
        <f t="shared" si="3"/>
        <v/>
      </c>
      <c r="K67" s="17" t="str">
        <f t="shared" si="4"/>
        <v/>
      </c>
      <c r="L67" s="59" t="str">
        <f>IF(C67="","",IF(OR(K67&lt;=0,F67=""),"",F67-EOMONTH(应付跟进!$B$2,0)))</f>
        <v/>
      </c>
      <c r="M67" t="str">
        <f t="shared" si="5"/>
        <v/>
      </c>
      <c r="N67" t="str">
        <f t="shared" si="6"/>
        <v/>
      </c>
      <c r="O67" t="str">
        <f>IF(采购录入!A57="","",采购录入!L57)</f>
        <v/>
      </c>
      <c r="P67" t="str">
        <f>IF(采购录入!A57="","",采购录入!M57)</f>
        <v/>
      </c>
    </row>
    <row r="68" spans="1:16">
      <c r="A68" t="str">
        <f>IF(采购录入!A58="","","采购")</f>
        <v/>
      </c>
      <c r="B68" s="5" t="str">
        <f>IF(采购录入!A58="","",采购录入!A58)</f>
        <v/>
      </c>
      <c r="C68" t="str">
        <f>IF(采购录入!A58="","",采购录入!C58)</f>
        <v/>
      </c>
      <c r="D68" t="str">
        <f>IF(采购录入!A58="","",采购录入!D58)</f>
        <v/>
      </c>
      <c r="E68" s="17" t="str">
        <f>IF(采购录入!A58="","",采购录入!I58)</f>
        <v/>
      </c>
      <c r="F68" s="5" t="str">
        <f>IF(采购录入!A58="","",采购录入!J58)</f>
        <v/>
      </c>
      <c r="G68" s="17" t="str">
        <f>IF(C68="","",SUMIFS(资金流水!$K$4:$K$203,资金流水!$F$4:$F$203,C68,资金流水!$D$4:$D$203,"供应商付款",资金流水!$A$4:$A$203,"&lt;="&amp;EOMONTH(应付跟进!$B$2,0)))</f>
        <v/>
      </c>
      <c r="H68" s="17" t="str">
        <f>IF(C68="","",SUMIFS($E$4:E67,$C$4:C67,C68))</f>
        <v/>
      </c>
      <c r="I68" s="17" t="str">
        <f t="shared" ref="I68:I113" si="8">IF(C68="","",MIN(E68,MAX(0,G68-H68)))</f>
        <v/>
      </c>
      <c r="J68" s="17" t="str">
        <f t="shared" ref="J68:J113" si="9">IF(C68="","",I68)</f>
        <v/>
      </c>
      <c r="K68" s="17" t="str">
        <f t="shared" ref="K68:K113" si="10">IF(C68="","",MAX(0,E68-J68))</f>
        <v/>
      </c>
      <c r="L68" s="59" t="str">
        <f>IF(C68="","",IF(OR(K68&lt;=0,F68=""),"",F68-EOMONTH(应付跟进!$B$2,0)))</f>
        <v/>
      </c>
      <c r="M68" t="str">
        <f t="shared" ref="M68:M113" si="11">IF(C68="","",IF(K68&lt;=0,"已付清",IF(L68&gt;30,"30天后到期",IF(L68&gt;0,"未来30天到期",IF(L68&gt;=-30,"逾期1-30天",IF(L68&gt;=-60,"逾期31-60天",IF(L68&gt;=-90,"逾期61-90天","逾期90天以上")))))))</f>
        <v/>
      </c>
      <c r="N68" t="str">
        <f t="shared" ref="N68:N113" si="12">IF(C68="","",IF(K68&lt;=0,"已付清",IF(L68&lt;=-90,"紧急",IF(L68&lt;=0,"高",IF(L68&lt;=30,"中","低")))))</f>
        <v/>
      </c>
      <c r="O68" t="str">
        <f>IF(采购录入!A58="","",采购录入!L58)</f>
        <v/>
      </c>
      <c r="P68" t="str">
        <f>IF(采购录入!A58="","",采购录入!M58)</f>
        <v/>
      </c>
    </row>
    <row r="69" spans="1:16">
      <c r="A69" t="str">
        <f>IF(采购录入!A59="","","采购")</f>
        <v/>
      </c>
      <c r="B69" s="5" t="str">
        <f>IF(采购录入!A59="","",采购录入!A59)</f>
        <v/>
      </c>
      <c r="C69" t="str">
        <f>IF(采购录入!A59="","",采购录入!C59)</f>
        <v/>
      </c>
      <c r="D69" t="str">
        <f>IF(采购录入!A59="","",采购录入!D59)</f>
        <v/>
      </c>
      <c r="E69" s="17" t="str">
        <f>IF(采购录入!A59="","",采购录入!I59)</f>
        <v/>
      </c>
      <c r="F69" s="5" t="str">
        <f>IF(采购录入!A59="","",采购录入!J59)</f>
        <v/>
      </c>
      <c r="G69" s="17" t="str">
        <f>IF(C69="","",SUMIFS(资金流水!$K$4:$K$203,资金流水!$F$4:$F$203,C69,资金流水!$D$4:$D$203,"供应商付款",资金流水!$A$4:$A$203,"&lt;="&amp;EOMONTH(应付跟进!$B$2,0)))</f>
        <v/>
      </c>
      <c r="H69" s="17" t="str">
        <f>IF(C69="","",SUMIFS($E$4:E68,$C$4:C68,C69))</f>
        <v/>
      </c>
      <c r="I69" s="17" t="str">
        <f t="shared" si="8"/>
        <v/>
      </c>
      <c r="J69" s="17" t="str">
        <f t="shared" si="9"/>
        <v/>
      </c>
      <c r="K69" s="17" t="str">
        <f t="shared" si="10"/>
        <v/>
      </c>
      <c r="L69" s="59" t="str">
        <f>IF(C69="","",IF(OR(K69&lt;=0,F69=""),"",F69-EOMONTH(应付跟进!$B$2,0)))</f>
        <v/>
      </c>
      <c r="M69" t="str">
        <f t="shared" si="11"/>
        <v/>
      </c>
      <c r="N69" t="str">
        <f t="shared" si="12"/>
        <v/>
      </c>
      <c r="O69" t="str">
        <f>IF(采购录入!A59="","",采购录入!L59)</f>
        <v/>
      </c>
      <c r="P69" t="str">
        <f>IF(采购录入!A59="","",采购录入!M59)</f>
        <v/>
      </c>
    </row>
    <row r="70" spans="1:16">
      <c r="A70" t="str">
        <f>IF(采购录入!A60="","","采购")</f>
        <v/>
      </c>
      <c r="B70" s="5" t="str">
        <f>IF(采购录入!A60="","",采购录入!A60)</f>
        <v/>
      </c>
      <c r="C70" t="str">
        <f>IF(采购录入!A60="","",采购录入!C60)</f>
        <v/>
      </c>
      <c r="D70" t="str">
        <f>IF(采购录入!A60="","",采购录入!D60)</f>
        <v/>
      </c>
      <c r="E70" s="17" t="str">
        <f>IF(采购录入!A60="","",采购录入!I60)</f>
        <v/>
      </c>
      <c r="F70" s="5" t="str">
        <f>IF(采购录入!A60="","",采购录入!J60)</f>
        <v/>
      </c>
      <c r="G70" s="17" t="str">
        <f>IF(C70="","",SUMIFS(资金流水!$K$4:$K$203,资金流水!$F$4:$F$203,C70,资金流水!$D$4:$D$203,"供应商付款",资金流水!$A$4:$A$203,"&lt;="&amp;EOMONTH(应付跟进!$B$2,0)))</f>
        <v/>
      </c>
      <c r="H70" s="17" t="str">
        <f>IF(C70="","",SUMIFS($E$4:E69,$C$4:C69,C70))</f>
        <v/>
      </c>
      <c r="I70" s="17" t="str">
        <f t="shared" si="8"/>
        <v/>
      </c>
      <c r="J70" s="17" t="str">
        <f t="shared" si="9"/>
        <v/>
      </c>
      <c r="K70" s="17" t="str">
        <f t="shared" si="10"/>
        <v/>
      </c>
      <c r="L70" s="59" t="str">
        <f>IF(C70="","",IF(OR(K70&lt;=0,F70=""),"",F70-EOMONTH(应付跟进!$B$2,0)))</f>
        <v/>
      </c>
      <c r="M70" t="str">
        <f t="shared" si="11"/>
        <v/>
      </c>
      <c r="N70" t="str">
        <f t="shared" si="12"/>
        <v/>
      </c>
      <c r="O70" t="str">
        <f>IF(采购录入!A60="","",采购录入!L60)</f>
        <v/>
      </c>
      <c r="P70" t="str">
        <f>IF(采购录入!A60="","",采购录入!M60)</f>
        <v/>
      </c>
    </row>
    <row r="71" spans="1:16">
      <c r="A71" t="str">
        <f>IF(采购录入!A61="","","采购")</f>
        <v/>
      </c>
      <c r="B71" s="5" t="str">
        <f>IF(采购录入!A61="","",采购录入!A61)</f>
        <v/>
      </c>
      <c r="C71" t="str">
        <f>IF(采购录入!A61="","",采购录入!C61)</f>
        <v/>
      </c>
      <c r="D71" t="str">
        <f>IF(采购录入!A61="","",采购录入!D61)</f>
        <v/>
      </c>
      <c r="E71" s="17" t="str">
        <f>IF(采购录入!A61="","",采购录入!I61)</f>
        <v/>
      </c>
      <c r="F71" s="5" t="str">
        <f>IF(采购录入!A61="","",采购录入!J61)</f>
        <v/>
      </c>
      <c r="G71" s="17" t="str">
        <f>IF(C71="","",SUMIFS(资金流水!$K$4:$K$203,资金流水!$F$4:$F$203,C71,资金流水!$D$4:$D$203,"供应商付款",资金流水!$A$4:$A$203,"&lt;="&amp;EOMONTH(应付跟进!$B$2,0)))</f>
        <v/>
      </c>
      <c r="H71" s="17" t="str">
        <f>IF(C71="","",SUMIFS($E$4:E70,$C$4:C70,C71))</f>
        <v/>
      </c>
      <c r="I71" s="17" t="str">
        <f t="shared" si="8"/>
        <v/>
      </c>
      <c r="J71" s="17" t="str">
        <f t="shared" si="9"/>
        <v/>
      </c>
      <c r="K71" s="17" t="str">
        <f t="shared" si="10"/>
        <v/>
      </c>
      <c r="L71" s="59" t="str">
        <f>IF(C71="","",IF(OR(K71&lt;=0,F71=""),"",F71-EOMONTH(应付跟进!$B$2,0)))</f>
        <v/>
      </c>
      <c r="M71" t="str">
        <f t="shared" si="11"/>
        <v/>
      </c>
      <c r="N71" t="str">
        <f t="shared" si="12"/>
        <v/>
      </c>
      <c r="O71" t="str">
        <f>IF(采购录入!A61="","",采购录入!L61)</f>
        <v/>
      </c>
      <c r="P71" t="str">
        <f>IF(采购录入!A61="","",采购录入!M61)</f>
        <v/>
      </c>
    </row>
    <row r="72" spans="1:16">
      <c r="A72" t="str">
        <f>IF(采购录入!A62="","","采购")</f>
        <v/>
      </c>
      <c r="B72" s="5" t="str">
        <f>IF(采购录入!A62="","",采购录入!A62)</f>
        <v/>
      </c>
      <c r="C72" t="str">
        <f>IF(采购录入!A62="","",采购录入!C62)</f>
        <v/>
      </c>
      <c r="D72" t="str">
        <f>IF(采购录入!A62="","",采购录入!D62)</f>
        <v/>
      </c>
      <c r="E72" s="17" t="str">
        <f>IF(采购录入!A62="","",采购录入!I62)</f>
        <v/>
      </c>
      <c r="F72" s="5" t="str">
        <f>IF(采购录入!A62="","",采购录入!J62)</f>
        <v/>
      </c>
      <c r="G72" s="17" t="str">
        <f>IF(C72="","",SUMIFS(资金流水!$K$4:$K$203,资金流水!$F$4:$F$203,C72,资金流水!$D$4:$D$203,"供应商付款",资金流水!$A$4:$A$203,"&lt;="&amp;EOMONTH(应付跟进!$B$2,0)))</f>
        <v/>
      </c>
      <c r="H72" s="17" t="str">
        <f>IF(C72="","",SUMIFS($E$4:E71,$C$4:C71,C72))</f>
        <v/>
      </c>
      <c r="I72" s="17" t="str">
        <f t="shared" si="8"/>
        <v/>
      </c>
      <c r="J72" s="17" t="str">
        <f t="shared" si="9"/>
        <v/>
      </c>
      <c r="K72" s="17" t="str">
        <f t="shared" si="10"/>
        <v/>
      </c>
      <c r="L72" s="59" t="str">
        <f>IF(C72="","",IF(OR(K72&lt;=0,F72=""),"",F72-EOMONTH(应付跟进!$B$2,0)))</f>
        <v/>
      </c>
      <c r="M72" t="str">
        <f t="shared" si="11"/>
        <v/>
      </c>
      <c r="N72" t="str">
        <f t="shared" si="12"/>
        <v/>
      </c>
      <c r="O72" t="str">
        <f>IF(采购录入!A62="","",采购录入!L62)</f>
        <v/>
      </c>
      <c r="P72" t="str">
        <f>IF(采购录入!A62="","",采购录入!M62)</f>
        <v/>
      </c>
    </row>
    <row r="73" spans="1:16">
      <c r="A73" t="str">
        <f>IF(采购录入!A63="","","采购")</f>
        <v/>
      </c>
      <c r="B73" s="5" t="str">
        <f>IF(采购录入!A63="","",采购录入!A63)</f>
        <v/>
      </c>
      <c r="C73" t="str">
        <f>IF(采购录入!A63="","",采购录入!C63)</f>
        <v/>
      </c>
      <c r="D73" t="str">
        <f>IF(采购录入!A63="","",采购录入!D63)</f>
        <v/>
      </c>
      <c r="E73" s="17" t="str">
        <f>IF(采购录入!A63="","",采购录入!I63)</f>
        <v/>
      </c>
      <c r="F73" s="5" t="str">
        <f>IF(采购录入!A63="","",采购录入!J63)</f>
        <v/>
      </c>
      <c r="G73" s="17" t="str">
        <f>IF(C73="","",SUMIFS(资金流水!$K$4:$K$203,资金流水!$F$4:$F$203,C73,资金流水!$D$4:$D$203,"供应商付款",资金流水!$A$4:$A$203,"&lt;="&amp;EOMONTH(应付跟进!$B$2,0)))</f>
        <v/>
      </c>
      <c r="H73" s="17" t="str">
        <f>IF(C73="","",SUMIFS($E$4:E72,$C$4:C72,C73))</f>
        <v/>
      </c>
      <c r="I73" s="17" t="str">
        <f t="shared" si="8"/>
        <v/>
      </c>
      <c r="J73" s="17" t="str">
        <f t="shared" si="9"/>
        <v/>
      </c>
      <c r="K73" s="17" t="str">
        <f t="shared" si="10"/>
        <v/>
      </c>
      <c r="L73" s="59" t="str">
        <f>IF(C73="","",IF(OR(K73&lt;=0,F73=""),"",F73-EOMONTH(应付跟进!$B$2,0)))</f>
        <v/>
      </c>
      <c r="M73" t="str">
        <f t="shared" si="11"/>
        <v/>
      </c>
      <c r="N73" t="str">
        <f t="shared" si="12"/>
        <v/>
      </c>
      <c r="O73" t="str">
        <f>IF(采购录入!A63="","",采购录入!L63)</f>
        <v/>
      </c>
      <c r="P73" t="str">
        <f>IF(采购录入!A63="","",采购录入!M63)</f>
        <v/>
      </c>
    </row>
    <row r="74" spans="1:16">
      <c r="A74" t="str">
        <f>IF(采购录入!A64="","","采购")</f>
        <v/>
      </c>
      <c r="B74" s="5" t="str">
        <f>IF(采购录入!A64="","",采购录入!A64)</f>
        <v/>
      </c>
      <c r="C74" t="str">
        <f>IF(采购录入!A64="","",采购录入!C64)</f>
        <v/>
      </c>
      <c r="D74" t="str">
        <f>IF(采购录入!A64="","",采购录入!D64)</f>
        <v/>
      </c>
      <c r="E74" s="17" t="str">
        <f>IF(采购录入!A64="","",采购录入!I64)</f>
        <v/>
      </c>
      <c r="F74" s="5" t="str">
        <f>IF(采购录入!A64="","",采购录入!J64)</f>
        <v/>
      </c>
      <c r="G74" s="17" t="str">
        <f>IF(C74="","",SUMIFS(资金流水!$K$4:$K$203,资金流水!$F$4:$F$203,C74,资金流水!$D$4:$D$203,"供应商付款",资金流水!$A$4:$A$203,"&lt;="&amp;EOMONTH(应付跟进!$B$2,0)))</f>
        <v/>
      </c>
      <c r="H74" s="17" t="str">
        <f>IF(C74="","",SUMIFS($E$4:E73,$C$4:C73,C74))</f>
        <v/>
      </c>
      <c r="I74" s="17" t="str">
        <f t="shared" si="8"/>
        <v/>
      </c>
      <c r="J74" s="17" t="str">
        <f t="shared" si="9"/>
        <v/>
      </c>
      <c r="K74" s="17" t="str">
        <f t="shared" si="10"/>
        <v/>
      </c>
      <c r="L74" s="59" t="str">
        <f>IF(C74="","",IF(OR(K74&lt;=0,F74=""),"",F74-EOMONTH(应付跟进!$B$2,0)))</f>
        <v/>
      </c>
      <c r="M74" t="str">
        <f t="shared" si="11"/>
        <v/>
      </c>
      <c r="N74" t="str">
        <f t="shared" si="12"/>
        <v/>
      </c>
      <c r="O74" t="str">
        <f>IF(采购录入!A64="","",采购录入!L64)</f>
        <v/>
      </c>
      <c r="P74" t="str">
        <f>IF(采购录入!A64="","",采购录入!M64)</f>
        <v/>
      </c>
    </row>
    <row r="75" spans="1:16">
      <c r="A75" t="str">
        <f>IF(采购录入!A65="","","采购")</f>
        <v/>
      </c>
      <c r="B75" s="5" t="str">
        <f>IF(采购录入!A65="","",采购录入!A65)</f>
        <v/>
      </c>
      <c r="C75" t="str">
        <f>IF(采购录入!A65="","",采购录入!C65)</f>
        <v/>
      </c>
      <c r="D75" t="str">
        <f>IF(采购录入!A65="","",采购录入!D65)</f>
        <v/>
      </c>
      <c r="E75" s="17" t="str">
        <f>IF(采购录入!A65="","",采购录入!I65)</f>
        <v/>
      </c>
      <c r="F75" s="5" t="str">
        <f>IF(采购录入!A65="","",采购录入!J65)</f>
        <v/>
      </c>
      <c r="G75" s="17" t="str">
        <f>IF(C75="","",SUMIFS(资金流水!$K$4:$K$203,资金流水!$F$4:$F$203,C75,资金流水!$D$4:$D$203,"供应商付款",资金流水!$A$4:$A$203,"&lt;="&amp;EOMONTH(应付跟进!$B$2,0)))</f>
        <v/>
      </c>
      <c r="H75" s="17" t="str">
        <f>IF(C75="","",SUMIFS($E$4:E74,$C$4:C74,C75))</f>
        <v/>
      </c>
      <c r="I75" s="17" t="str">
        <f t="shared" si="8"/>
        <v/>
      </c>
      <c r="J75" s="17" t="str">
        <f t="shared" si="9"/>
        <v/>
      </c>
      <c r="K75" s="17" t="str">
        <f t="shared" si="10"/>
        <v/>
      </c>
      <c r="L75" s="59" t="str">
        <f>IF(C75="","",IF(OR(K75&lt;=0,F75=""),"",F75-EOMONTH(应付跟进!$B$2,0)))</f>
        <v/>
      </c>
      <c r="M75" t="str">
        <f t="shared" si="11"/>
        <v/>
      </c>
      <c r="N75" t="str">
        <f t="shared" si="12"/>
        <v/>
      </c>
      <c r="O75" t="str">
        <f>IF(采购录入!A65="","",采购录入!L65)</f>
        <v/>
      </c>
      <c r="P75" t="str">
        <f>IF(采购录入!A65="","",采购录入!M65)</f>
        <v/>
      </c>
    </row>
    <row r="76" spans="1:16">
      <c r="A76" t="str">
        <f>IF(采购录入!A66="","","采购")</f>
        <v/>
      </c>
      <c r="B76" s="5" t="str">
        <f>IF(采购录入!A66="","",采购录入!A66)</f>
        <v/>
      </c>
      <c r="C76" t="str">
        <f>IF(采购录入!A66="","",采购录入!C66)</f>
        <v/>
      </c>
      <c r="D76" t="str">
        <f>IF(采购录入!A66="","",采购录入!D66)</f>
        <v/>
      </c>
      <c r="E76" s="17" t="str">
        <f>IF(采购录入!A66="","",采购录入!I66)</f>
        <v/>
      </c>
      <c r="F76" s="5" t="str">
        <f>IF(采购录入!A66="","",采购录入!J66)</f>
        <v/>
      </c>
      <c r="G76" s="17" t="str">
        <f>IF(C76="","",SUMIFS(资金流水!$K$4:$K$203,资金流水!$F$4:$F$203,C76,资金流水!$D$4:$D$203,"供应商付款",资金流水!$A$4:$A$203,"&lt;="&amp;EOMONTH(应付跟进!$B$2,0)))</f>
        <v/>
      </c>
      <c r="H76" s="17" t="str">
        <f>IF(C76="","",SUMIFS($E$4:E75,$C$4:C75,C76))</f>
        <v/>
      </c>
      <c r="I76" s="17" t="str">
        <f t="shared" si="8"/>
        <v/>
      </c>
      <c r="J76" s="17" t="str">
        <f t="shared" si="9"/>
        <v/>
      </c>
      <c r="K76" s="17" t="str">
        <f t="shared" si="10"/>
        <v/>
      </c>
      <c r="L76" s="59" t="str">
        <f>IF(C76="","",IF(OR(K76&lt;=0,F76=""),"",F76-EOMONTH(应付跟进!$B$2,0)))</f>
        <v/>
      </c>
      <c r="M76" t="str">
        <f t="shared" si="11"/>
        <v/>
      </c>
      <c r="N76" t="str">
        <f t="shared" si="12"/>
        <v/>
      </c>
      <c r="O76" t="str">
        <f>IF(采购录入!A66="","",采购录入!L66)</f>
        <v/>
      </c>
      <c r="P76" t="str">
        <f>IF(采购录入!A66="","",采购录入!M66)</f>
        <v/>
      </c>
    </row>
    <row r="77" spans="1:16">
      <c r="A77" t="str">
        <f>IF(采购录入!A67="","","采购")</f>
        <v/>
      </c>
      <c r="B77" s="5" t="str">
        <f>IF(采购录入!A67="","",采购录入!A67)</f>
        <v/>
      </c>
      <c r="C77" t="str">
        <f>IF(采购录入!A67="","",采购录入!C67)</f>
        <v/>
      </c>
      <c r="D77" t="str">
        <f>IF(采购录入!A67="","",采购录入!D67)</f>
        <v/>
      </c>
      <c r="E77" s="17" t="str">
        <f>IF(采购录入!A67="","",采购录入!I67)</f>
        <v/>
      </c>
      <c r="F77" s="5" t="str">
        <f>IF(采购录入!A67="","",采购录入!J67)</f>
        <v/>
      </c>
      <c r="G77" s="17" t="str">
        <f>IF(C77="","",SUMIFS(资金流水!$K$4:$K$203,资金流水!$F$4:$F$203,C77,资金流水!$D$4:$D$203,"供应商付款",资金流水!$A$4:$A$203,"&lt;="&amp;EOMONTH(应付跟进!$B$2,0)))</f>
        <v/>
      </c>
      <c r="H77" s="17" t="str">
        <f>IF(C77="","",SUMIFS($E$4:E76,$C$4:C76,C77))</f>
        <v/>
      </c>
      <c r="I77" s="17" t="str">
        <f t="shared" si="8"/>
        <v/>
      </c>
      <c r="J77" s="17" t="str">
        <f t="shared" si="9"/>
        <v/>
      </c>
      <c r="K77" s="17" t="str">
        <f t="shared" si="10"/>
        <v/>
      </c>
      <c r="L77" s="59" t="str">
        <f>IF(C77="","",IF(OR(K77&lt;=0,F77=""),"",F77-EOMONTH(应付跟进!$B$2,0)))</f>
        <v/>
      </c>
      <c r="M77" t="str">
        <f t="shared" si="11"/>
        <v/>
      </c>
      <c r="N77" t="str">
        <f t="shared" si="12"/>
        <v/>
      </c>
      <c r="O77" t="str">
        <f>IF(采购录入!A67="","",采购录入!L67)</f>
        <v/>
      </c>
      <c r="P77" t="str">
        <f>IF(采购录入!A67="","",采购录入!M67)</f>
        <v/>
      </c>
    </row>
    <row r="78" spans="1:16">
      <c r="A78" t="str">
        <f>IF(采购录入!A68="","","采购")</f>
        <v/>
      </c>
      <c r="B78" s="5" t="str">
        <f>IF(采购录入!A68="","",采购录入!A68)</f>
        <v/>
      </c>
      <c r="C78" t="str">
        <f>IF(采购录入!A68="","",采购录入!C68)</f>
        <v/>
      </c>
      <c r="D78" t="str">
        <f>IF(采购录入!A68="","",采购录入!D68)</f>
        <v/>
      </c>
      <c r="E78" s="17" t="str">
        <f>IF(采购录入!A68="","",采购录入!I68)</f>
        <v/>
      </c>
      <c r="F78" s="5" t="str">
        <f>IF(采购录入!A68="","",采购录入!J68)</f>
        <v/>
      </c>
      <c r="G78" s="17" t="str">
        <f>IF(C78="","",SUMIFS(资金流水!$K$4:$K$203,资金流水!$F$4:$F$203,C78,资金流水!$D$4:$D$203,"供应商付款",资金流水!$A$4:$A$203,"&lt;="&amp;EOMONTH(应付跟进!$B$2,0)))</f>
        <v/>
      </c>
      <c r="H78" s="17" t="str">
        <f>IF(C78="","",SUMIFS($E$4:E77,$C$4:C77,C78))</f>
        <v/>
      </c>
      <c r="I78" s="17" t="str">
        <f t="shared" si="8"/>
        <v/>
      </c>
      <c r="J78" s="17" t="str">
        <f t="shared" si="9"/>
        <v/>
      </c>
      <c r="K78" s="17" t="str">
        <f t="shared" si="10"/>
        <v/>
      </c>
      <c r="L78" s="59" t="str">
        <f>IF(C78="","",IF(OR(K78&lt;=0,F78=""),"",F78-EOMONTH(应付跟进!$B$2,0)))</f>
        <v/>
      </c>
      <c r="M78" t="str">
        <f t="shared" si="11"/>
        <v/>
      </c>
      <c r="N78" t="str">
        <f t="shared" si="12"/>
        <v/>
      </c>
      <c r="O78" t="str">
        <f>IF(采购录入!A68="","",采购录入!L68)</f>
        <v/>
      </c>
      <c r="P78" t="str">
        <f>IF(采购录入!A68="","",采购录入!M68)</f>
        <v/>
      </c>
    </row>
    <row r="79" spans="1:16">
      <c r="A79" t="str">
        <f>IF(采购录入!A69="","","采购")</f>
        <v/>
      </c>
      <c r="B79" s="5" t="str">
        <f>IF(采购录入!A69="","",采购录入!A69)</f>
        <v/>
      </c>
      <c r="C79" t="str">
        <f>IF(采购录入!A69="","",采购录入!C69)</f>
        <v/>
      </c>
      <c r="D79" t="str">
        <f>IF(采购录入!A69="","",采购录入!D69)</f>
        <v/>
      </c>
      <c r="E79" s="17" t="str">
        <f>IF(采购录入!A69="","",采购录入!I69)</f>
        <v/>
      </c>
      <c r="F79" s="5" t="str">
        <f>IF(采购录入!A69="","",采购录入!J69)</f>
        <v/>
      </c>
      <c r="G79" s="17" t="str">
        <f>IF(C79="","",SUMIFS(资金流水!$K$4:$K$203,资金流水!$F$4:$F$203,C79,资金流水!$D$4:$D$203,"供应商付款",资金流水!$A$4:$A$203,"&lt;="&amp;EOMONTH(应付跟进!$B$2,0)))</f>
        <v/>
      </c>
      <c r="H79" s="17" t="str">
        <f>IF(C79="","",SUMIFS($E$4:E78,$C$4:C78,C79))</f>
        <v/>
      </c>
      <c r="I79" s="17" t="str">
        <f t="shared" si="8"/>
        <v/>
      </c>
      <c r="J79" s="17" t="str">
        <f t="shared" si="9"/>
        <v/>
      </c>
      <c r="K79" s="17" t="str">
        <f t="shared" si="10"/>
        <v/>
      </c>
      <c r="L79" s="59" t="str">
        <f>IF(C79="","",IF(OR(K79&lt;=0,F79=""),"",F79-EOMONTH(应付跟进!$B$2,0)))</f>
        <v/>
      </c>
      <c r="M79" t="str">
        <f t="shared" si="11"/>
        <v/>
      </c>
      <c r="N79" t="str">
        <f t="shared" si="12"/>
        <v/>
      </c>
      <c r="O79" t="str">
        <f>IF(采购录入!A69="","",采购录入!L69)</f>
        <v/>
      </c>
      <c r="P79" t="str">
        <f>IF(采购录入!A69="","",采购录入!M69)</f>
        <v/>
      </c>
    </row>
    <row r="80" spans="1:16">
      <c r="A80" t="str">
        <f>IF(采购录入!A70="","","采购")</f>
        <v/>
      </c>
      <c r="B80" s="5" t="str">
        <f>IF(采购录入!A70="","",采购录入!A70)</f>
        <v/>
      </c>
      <c r="C80" t="str">
        <f>IF(采购录入!A70="","",采购录入!C70)</f>
        <v/>
      </c>
      <c r="D80" t="str">
        <f>IF(采购录入!A70="","",采购录入!D70)</f>
        <v/>
      </c>
      <c r="E80" s="17" t="str">
        <f>IF(采购录入!A70="","",采购录入!I70)</f>
        <v/>
      </c>
      <c r="F80" s="5" t="str">
        <f>IF(采购录入!A70="","",采购录入!J70)</f>
        <v/>
      </c>
      <c r="G80" s="17" t="str">
        <f>IF(C80="","",SUMIFS(资金流水!$K$4:$K$203,资金流水!$F$4:$F$203,C80,资金流水!$D$4:$D$203,"供应商付款",资金流水!$A$4:$A$203,"&lt;="&amp;EOMONTH(应付跟进!$B$2,0)))</f>
        <v/>
      </c>
      <c r="H80" s="17" t="str">
        <f>IF(C80="","",SUMIFS($E$4:E79,$C$4:C79,C80))</f>
        <v/>
      </c>
      <c r="I80" s="17" t="str">
        <f t="shared" si="8"/>
        <v/>
      </c>
      <c r="J80" s="17" t="str">
        <f t="shared" si="9"/>
        <v/>
      </c>
      <c r="K80" s="17" t="str">
        <f t="shared" si="10"/>
        <v/>
      </c>
      <c r="L80" s="59" t="str">
        <f>IF(C80="","",IF(OR(K80&lt;=0,F80=""),"",F80-EOMONTH(应付跟进!$B$2,0)))</f>
        <v/>
      </c>
      <c r="M80" t="str">
        <f t="shared" si="11"/>
        <v/>
      </c>
      <c r="N80" t="str">
        <f t="shared" si="12"/>
        <v/>
      </c>
      <c r="O80" t="str">
        <f>IF(采购录入!A70="","",采购录入!L70)</f>
        <v/>
      </c>
      <c r="P80" t="str">
        <f>IF(采购录入!A70="","",采购录入!M70)</f>
        <v/>
      </c>
    </row>
    <row r="81" spans="1:16">
      <c r="A81" t="str">
        <f>IF(采购录入!A71="","","采购")</f>
        <v/>
      </c>
      <c r="B81" s="5" t="str">
        <f>IF(采购录入!A71="","",采购录入!A71)</f>
        <v/>
      </c>
      <c r="C81" t="str">
        <f>IF(采购录入!A71="","",采购录入!C71)</f>
        <v/>
      </c>
      <c r="D81" t="str">
        <f>IF(采购录入!A71="","",采购录入!D71)</f>
        <v/>
      </c>
      <c r="E81" s="17" t="str">
        <f>IF(采购录入!A71="","",采购录入!I71)</f>
        <v/>
      </c>
      <c r="F81" s="5" t="str">
        <f>IF(采购录入!A71="","",采购录入!J71)</f>
        <v/>
      </c>
      <c r="G81" s="17" t="str">
        <f>IF(C81="","",SUMIFS(资金流水!$K$4:$K$203,资金流水!$F$4:$F$203,C81,资金流水!$D$4:$D$203,"供应商付款",资金流水!$A$4:$A$203,"&lt;="&amp;EOMONTH(应付跟进!$B$2,0)))</f>
        <v/>
      </c>
      <c r="H81" s="17" t="str">
        <f>IF(C81="","",SUMIFS($E$4:E80,$C$4:C80,C81))</f>
        <v/>
      </c>
      <c r="I81" s="17" t="str">
        <f t="shared" si="8"/>
        <v/>
      </c>
      <c r="J81" s="17" t="str">
        <f t="shared" si="9"/>
        <v/>
      </c>
      <c r="K81" s="17" t="str">
        <f t="shared" si="10"/>
        <v/>
      </c>
      <c r="L81" s="59" t="str">
        <f>IF(C81="","",IF(OR(K81&lt;=0,F81=""),"",F81-EOMONTH(应付跟进!$B$2,0)))</f>
        <v/>
      </c>
      <c r="M81" t="str">
        <f t="shared" si="11"/>
        <v/>
      </c>
      <c r="N81" t="str">
        <f t="shared" si="12"/>
        <v/>
      </c>
      <c r="O81" t="str">
        <f>IF(采购录入!A71="","",采购录入!L71)</f>
        <v/>
      </c>
      <c r="P81" t="str">
        <f>IF(采购录入!A71="","",采购录入!M71)</f>
        <v/>
      </c>
    </row>
    <row r="82" spans="1:16">
      <c r="A82" t="str">
        <f>IF(采购录入!A72="","","采购")</f>
        <v/>
      </c>
      <c r="B82" s="5" t="str">
        <f>IF(采购录入!A72="","",采购录入!A72)</f>
        <v/>
      </c>
      <c r="C82" t="str">
        <f>IF(采购录入!A72="","",采购录入!C72)</f>
        <v/>
      </c>
      <c r="D82" t="str">
        <f>IF(采购录入!A72="","",采购录入!D72)</f>
        <v/>
      </c>
      <c r="E82" s="17" t="str">
        <f>IF(采购录入!A72="","",采购录入!I72)</f>
        <v/>
      </c>
      <c r="F82" s="5" t="str">
        <f>IF(采购录入!A72="","",采购录入!J72)</f>
        <v/>
      </c>
      <c r="G82" s="17" t="str">
        <f>IF(C82="","",SUMIFS(资金流水!$K$4:$K$203,资金流水!$F$4:$F$203,C82,资金流水!$D$4:$D$203,"供应商付款",资金流水!$A$4:$A$203,"&lt;="&amp;EOMONTH(应付跟进!$B$2,0)))</f>
        <v/>
      </c>
      <c r="H82" s="17" t="str">
        <f>IF(C82="","",SUMIFS($E$4:E81,$C$4:C81,C82))</f>
        <v/>
      </c>
      <c r="I82" s="17" t="str">
        <f t="shared" si="8"/>
        <v/>
      </c>
      <c r="J82" s="17" t="str">
        <f t="shared" si="9"/>
        <v/>
      </c>
      <c r="K82" s="17" t="str">
        <f t="shared" si="10"/>
        <v/>
      </c>
      <c r="L82" s="59" t="str">
        <f>IF(C82="","",IF(OR(K82&lt;=0,F82=""),"",F82-EOMONTH(应付跟进!$B$2,0)))</f>
        <v/>
      </c>
      <c r="M82" t="str">
        <f t="shared" si="11"/>
        <v/>
      </c>
      <c r="N82" t="str">
        <f t="shared" si="12"/>
        <v/>
      </c>
      <c r="O82" t="str">
        <f>IF(采购录入!A72="","",采购录入!L72)</f>
        <v/>
      </c>
      <c r="P82" t="str">
        <f>IF(采购录入!A72="","",采购录入!M72)</f>
        <v/>
      </c>
    </row>
    <row r="83" spans="1:16">
      <c r="A83" t="str">
        <f>IF(采购录入!A73="","","采购")</f>
        <v/>
      </c>
      <c r="B83" s="5" t="str">
        <f>IF(采购录入!A73="","",采购录入!A73)</f>
        <v/>
      </c>
      <c r="C83" t="str">
        <f>IF(采购录入!A73="","",采购录入!C73)</f>
        <v/>
      </c>
      <c r="D83" t="str">
        <f>IF(采购录入!A73="","",采购录入!D73)</f>
        <v/>
      </c>
      <c r="E83" s="17" t="str">
        <f>IF(采购录入!A73="","",采购录入!I73)</f>
        <v/>
      </c>
      <c r="F83" s="5" t="str">
        <f>IF(采购录入!A73="","",采购录入!J73)</f>
        <v/>
      </c>
      <c r="G83" s="17" t="str">
        <f>IF(C83="","",SUMIFS(资金流水!$K$4:$K$203,资金流水!$F$4:$F$203,C83,资金流水!$D$4:$D$203,"供应商付款",资金流水!$A$4:$A$203,"&lt;="&amp;EOMONTH(应付跟进!$B$2,0)))</f>
        <v/>
      </c>
      <c r="H83" s="17" t="str">
        <f>IF(C83="","",SUMIFS($E$4:E82,$C$4:C82,C83))</f>
        <v/>
      </c>
      <c r="I83" s="17" t="str">
        <f t="shared" si="8"/>
        <v/>
      </c>
      <c r="J83" s="17" t="str">
        <f t="shared" si="9"/>
        <v/>
      </c>
      <c r="K83" s="17" t="str">
        <f t="shared" si="10"/>
        <v/>
      </c>
      <c r="L83" s="59" t="str">
        <f>IF(C83="","",IF(OR(K83&lt;=0,F83=""),"",F83-EOMONTH(应付跟进!$B$2,0)))</f>
        <v/>
      </c>
      <c r="M83" t="str">
        <f t="shared" si="11"/>
        <v/>
      </c>
      <c r="N83" t="str">
        <f t="shared" si="12"/>
        <v/>
      </c>
      <c r="O83" t="str">
        <f>IF(采购录入!A73="","",采购录入!L73)</f>
        <v/>
      </c>
      <c r="P83" t="str">
        <f>IF(采购录入!A73="","",采购录入!M73)</f>
        <v/>
      </c>
    </row>
    <row r="84" spans="1:16">
      <c r="A84" t="str">
        <f>IF(采购录入!A74="","","采购")</f>
        <v/>
      </c>
      <c r="B84" s="5" t="str">
        <f>IF(采购录入!A74="","",采购录入!A74)</f>
        <v/>
      </c>
      <c r="C84" t="str">
        <f>IF(采购录入!A74="","",采购录入!C74)</f>
        <v/>
      </c>
      <c r="D84" t="str">
        <f>IF(采购录入!A74="","",采购录入!D74)</f>
        <v/>
      </c>
      <c r="E84" s="17" t="str">
        <f>IF(采购录入!A74="","",采购录入!I74)</f>
        <v/>
      </c>
      <c r="F84" s="5" t="str">
        <f>IF(采购录入!A74="","",采购录入!J74)</f>
        <v/>
      </c>
      <c r="G84" s="17" t="str">
        <f>IF(C84="","",SUMIFS(资金流水!$K$4:$K$203,资金流水!$F$4:$F$203,C84,资金流水!$D$4:$D$203,"供应商付款",资金流水!$A$4:$A$203,"&lt;="&amp;EOMONTH(应付跟进!$B$2,0)))</f>
        <v/>
      </c>
      <c r="H84" s="17" t="str">
        <f>IF(C84="","",SUMIFS($E$4:E83,$C$4:C83,C84))</f>
        <v/>
      </c>
      <c r="I84" s="17" t="str">
        <f t="shared" si="8"/>
        <v/>
      </c>
      <c r="J84" s="17" t="str">
        <f t="shared" si="9"/>
        <v/>
      </c>
      <c r="K84" s="17" t="str">
        <f t="shared" si="10"/>
        <v/>
      </c>
      <c r="L84" s="59" t="str">
        <f>IF(C84="","",IF(OR(K84&lt;=0,F84=""),"",F84-EOMONTH(应付跟进!$B$2,0)))</f>
        <v/>
      </c>
      <c r="M84" t="str">
        <f t="shared" si="11"/>
        <v/>
      </c>
      <c r="N84" t="str">
        <f t="shared" si="12"/>
        <v/>
      </c>
      <c r="O84" t="str">
        <f>IF(采购录入!A74="","",采购录入!L74)</f>
        <v/>
      </c>
      <c r="P84" t="str">
        <f>IF(采购录入!A74="","",采购录入!M74)</f>
        <v/>
      </c>
    </row>
    <row r="85" spans="1:16">
      <c r="A85" t="str">
        <f>IF(采购录入!A75="","","采购")</f>
        <v/>
      </c>
      <c r="B85" s="5" t="str">
        <f>IF(采购录入!A75="","",采购录入!A75)</f>
        <v/>
      </c>
      <c r="C85" t="str">
        <f>IF(采购录入!A75="","",采购录入!C75)</f>
        <v/>
      </c>
      <c r="D85" t="str">
        <f>IF(采购录入!A75="","",采购录入!D75)</f>
        <v/>
      </c>
      <c r="E85" s="17" t="str">
        <f>IF(采购录入!A75="","",采购录入!I75)</f>
        <v/>
      </c>
      <c r="F85" s="5" t="str">
        <f>IF(采购录入!A75="","",采购录入!J75)</f>
        <v/>
      </c>
      <c r="G85" s="17" t="str">
        <f>IF(C85="","",SUMIFS(资金流水!$K$4:$K$203,资金流水!$F$4:$F$203,C85,资金流水!$D$4:$D$203,"供应商付款",资金流水!$A$4:$A$203,"&lt;="&amp;EOMONTH(应付跟进!$B$2,0)))</f>
        <v/>
      </c>
      <c r="H85" s="17" t="str">
        <f>IF(C85="","",SUMIFS($E$4:E84,$C$4:C84,C85))</f>
        <v/>
      </c>
      <c r="I85" s="17" t="str">
        <f t="shared" si="8"/>
        <v/>
      </c>
      <c r="J85" s="17" t="str">
        <f t="shared" si="9"/>
        <v/>
      </c>
      <c r="K85" s="17" t="str">
        <f t="shared" si="10"/>
        <v/>
      </c>
      <c r="L85" s="59" t="str">
        <f>IF(C85="","",IF(OR(K85&lt;=0,F85=""),"",F85-EOMONTH(应付跟进!$B$2,0)))</f>
        <v/>
      </c>
      <c r="M85" t="str">
        <f t="shared" si="11"/>
        <v/>
      </c>
      <c r="N85" t="str">
        <f t="shared" si="12"/>
        <v/>
      </c>
      <c r="O85" t="str">
        <f>IF(采购录入!A75="","",采购录入!L75)</f>
        <v/>
      </c>
      <c r="P85" t="str">
        <f>IF(采购录入!A75="","",采购录入!M75)</f>
        <v/>
      </c>
    </row>
    <row r="86" spans="1:16">
      <c r="A86" t="str">
        <f>IF(采购录入!A76="","","采购")</f>
        <v/>
      </c>
      <c r="B86" s="5" t="str">
        <f>IF(采购录入!A76="","",采购录入!A76)</f>
        <v/>
      </c>
      <c r="C86" t="str">
        <f>IF(采购录入!A76="","",采购录入!C76)</f>
        <v/>
      </c>
      <c r="D86" t="str">
        <f>IF(采购录入!A76="","",采购录入!D76)</f>
        <v/>
      </c>
      <c r="E86" s="17" t="str">
        <f>IF(采购录入!A76="","",采购录入!I76)</f>
        <v/>
      </c>
      <c r="F86" s="5" t="str">
        <f>IF(采购录入!A76="","",采购录入!J76)</f>
        <v/>
      </c>
      <c r="G86" s="17" t="str">
        <f>IF(C86="","",SUMIFS(资金流水!$K$4:$K$203,资金流水!$F$4:$F$203,C86,资金流水!$D$4:$D$203,"供应商付款",资金流水!$A$4:$A$203,"&lt;="&amp;EOMONTH(应付跟进!$B$2,0)))</f>
        <v/>
      </c>
      <c r="H86" s="17" t="str">
        <f>IF(C86="","",SUMIFS($E$4:E85,$C$4:C85,C86))</f>
        <v/>
      </c>
      <c r="I86" s="17" t="str">
        <f t="shared" si="8"/>
        <v/>
      </c>
      <c r="J86" s="17" t="str">
        <f t="shared" si="9"/>
        <v/>
      </c>
      <c r="K86" s="17" t="str">
        <f t="shared" si="10"/>
        <v/>
      </c>
      <c r="L86" s="59" t="str">
        <f>IF(C86="","",IF(OR(K86&lt;=0,F86=""),"",F86-EOMONTH(应付跟进!$B$2,0)))</f>
        <v/>
      </c>
      <c r="M86" t="str">
        <f t="shared" si="11"/>
        <v/>
      </c>
      <c r="N86" t="str">
        <f t="shared" si="12"/>
        <v/>
      </c>
      <c r="O86" t="str">
        <f>IF(采购录入!A76="","",采购录入!L76)</f>
        <v/>
      </c>
      <c r="P86" t="str">
        <f>IF(采购录入!A76="","",采购录入!M76)</f>
        <v/>
      </c>
    </row>
    <row r="87" spans="1:16">
      <c r="A87" t="str">
        <f>IF(采购录入!A77="","","采购")</f>
        <v/>
      </c>
      <c r="B87" s="5" t="str">
        <f>IF(采购录入!A77="","",采购录入!A77)</f>
        <v/>
      </c>
      <c r="C87" t="str">
        <f>IF(采购录入!A77="","",采购录入!C77)</f>
        <v/>
      </c>
      <c r="D87" t="str">
        <f>IF(采购录入!A77="","",采购录入!D77)</f>
        <v/>
      </c>
      <c r="E87" s="17" t="str">
        <f>IF(采购录入!A77="","",采购录入!I77)</f>
        <v/>
      </c>
      <c r="F87" s="5" t="str">
        <f>IF(采购录入!A77="","",采购录入!J77)</f>
        <v/>
      </c>
      <c r="G87" s="17" t="str">
        <f>IF(C87="","",SUMIFS(资金流水!$K$4:$K$203,资金流水!$F$4:$F$203,C87,资金流水!$D$4:$D$203,"供应商付款",资金流水!$A$4:$A$203,"&lt;="&amp;EOMONTH(应付跟进!$B$2,0)))</f>
        <v/>
      </c>
      <c r="H87" s="17" t="str">
        <f>IF(C87="","",SUMIFS($E$4:E86,$C$4:C86,C87))</f>
        <v/>
      </c>
      <c r="I87" s="17" t="str">
        <f t="shared" si="8"/>
        <v/>
      </c>
      <c r="J87" s="17" t="str">
        <f t="shared" si="9"/>
        <v/>
      </c>
      <c r="K87" s="17" t="str">
        <f t="shared" si="10"/>
        <v/>
      </c>
      <c r="L87" s="59" t="str">
        <f>IF(C87="","",IF(OR(K87&lt;=0,F87=""),"",F87-EOMONTH(应付跟进!$B$2,0)))</f>
        <v/>
      </c>
      <c r="M87" t="str">
        <f t="shared" si="11"/>
        <v/>
      </c>
      <c r="N87" t="str">
        <f t="shared" si="12"/>
        <v/>
      </c>
      <c r="O87" t="str">
        <f>IF(采购录入!A77="","",采购录入!L77)</f>
        <v/>
      </c>
      <c r="P87" t="str">
        <f>IF(采购录入!A77="","",采购录入!M77)</f>
        <v/>
      </c>
    </row>
    <row r="88" spans="1:16">
      <c r="A88" t="str">
        <f>IF(采购录入!A78="","","采购")</f>
        <v/>
      </c>
      <c r="B88" s="5" t="str">
        <f>IF(采购录入!A78="","",采购录入!A78)</f>
        <v/>
      </c>
      <c r="C88" t="str">
        <f>IF(采购录入!A78="","",采购录入!C78)</f>
        <v/>
      </c>
      <c r="D88" t="str">
        <f>IF(采购录入!A78="","",采购录入!D78)</f>
        <v/>
      </c>
      <c r="E88" s="17" t="str">
        <f>IF(采购录入!A78="","",采购录入!I78)</f>
        <v/>
      </c>
      <c r="F88" s="5" t="str">
        <f>IF(采购录入!A78="","",采购录入!J78)</f>
        <v/>
      </c>
      <c r="G88" s="17" t="str">
        <f>IF(C88="","",SUMIFS(资金流水!$K$4:$K$203,资金流水!$F$4:$F$203,C88,资金流水!$D$4:$D$203,"供应商付款",资金流水!$A$4:$A$203,"&lt;="&amp;EOMONTH(应付跟进!$B$2,0)))</f>
        <v/>
      </c>
      <c r="H88" s="17" t="str">
        <f>IF(C88="","",SUMIFS($E$4:E87,$C$4:C87,C88))</f>
        <v/>
      </c>
      <c r="I88" s="17" t="str">
        <f t="shared" si="8"/>
        <v/>
      </c>
      <c r="J88" s="17" t="str">
        <f t="shared" si="9"/>
        <v/>
      </c>
      <c r="K88" s="17" t="str">
        <f t="shared" si="10"/>
        <v/>
      </c>
      <c r="L88" s="59" t="str">
        <f>IF(C88="","",IF(OR(K88&lt;=0,F88=""),"",F88-EOMONTH(应付跟进!$B$2,0)))</f>
        <v/>
      </c>
      <c r="M88" t="str">
        <f t="shared" si="11"/>
        <v/>
      </c>
      <c r="N88" t="str">
        <f t="shared" si="12"/>
        <v/>
      </c>
      <c r="O88" t="str">
        <f>IF(采购录入!A78="","",采购录入!L78)</f>
        <v/>
      </c>
      <c r="P88" t="str">
        <f>IF(采购录入!A78="","",采购录入!M78)</f>
        <v/>
      </c>
    </row>
    <row r="89" spans="1:16">
      <c r="A89" t="str">
        <f>IF(采购录入!A79="","","采购")</f>
        <v/>
      </c>
      <c r="B89" s="5" t="str">
        <f>IF(采购录入!A79="","",采购录入!A79)</f>
        <v/>
      </c>
      <c r="C89" t="str">
        <f>IF(采购录入!A79="","",采购录入!C79)</f>
        <v/>
      </c>
      <c r="D89" t="str">
        <f>IF(采购录入!A79="","",采购录入!D79)</f>
        <v/>
      </c>
      <c r="E89" s="17" t="str">
        <f>IF(采购录入!A79="","",采购录入!I79)</f>
        <v/>
      </c>
      <c r="F89" s="5" t="str">
        <f>IF(采购录入!A79="","",采购录入!J79)</f>
        <v/>
      </c>
      <c r="G89" s="17" t="str">
        <f>IF(C89="","",SUMIFS(资金流水!$K$4:$K$203,资金流水!$F$4:$F$203,C89,资金流水!$D$4:$D$203,"供应商付款",资金流水!$A$4:$A$203,"&lt;="&amp;EOMONTH(应付跟进!$B$2,0)))</f>
        <v/>
      </c>
      <c r="H89" s="17" t="str">
        <f>IF(C89="","",SUMIFS($E$4:E88,$C$4:C88,C89))</f>
        <v/>
      </c>
      <c r="I89" s="17" t="str">
        <f t="shared" si="8"/>
        <v/>
      </c>
      <c r="J89" s="17" t="str">
        <f t="shared" si="9"/>
        <v/>
      </c>
      <c r="K89" s="17" t="str">
        <f t="shared" si="10"/>
        <v/>
      </c>
      <c r="L89" s="59" t="str">
        <f>IF(C89="","",IF(OR(K89&lt;=0,F89=""),"",F89-EOMONTH(应付跟进!$B$2,0)))</f>
        <v/>
      </c>
      <c r="M89" t="str">
        <f t="shared" si="11"/>
        <v/>
      </c>
      <c r="N89" t="str">
        <f t="shared" si="12"/>
        <v/>
      </c>
      <c r="O89" t="str">
        <f>IF(采购录入!A79="","",采购录入!L79)</f>
        <v/>
      </c>
      <c r="P89" t="str">
        <f>IF(采购录入!A79="","",采购录入!M79)</f>
        <v/>
      </c>
    </row>
    <row r="90" spans="1:16">
      <c r="A90" t="str">
        <f>IF(采购录入!A80="","","采购")</f>
        <v/>
      </c>
      <c r="B90" s="5" t="str">
        <f>IF(采购录入!A80="","",采购录入!A80)</f>
        <v/>
      </c>
      <c r="C90" t="str">
        <f>IF(采购录入!A80="","",采购录入!C80)</f>
        <v/>
      </c>
      <c r="D90" t="str">
        <f>IF(采购录入!A80="","",采购录入!D80)</f>
        <v/>
      </c>
      <c r="E90" s="17" t="str">
        <f>IF(采购录入!A80="","",采购录入!I80)</f>
        <v/>
      </c>
      <c r="F90" s="5" t="str">
        <f>IF(采购录入!A80="","",采购录入!J80)</f>
        <v/>
      </c>
      <c r="G90" s="17" t="str">
        <f>IF(C90="","",SUMIFS(资金流水!$K$4:$K$203,资金流水!$F$4:$F$203,C90,资金流水!$D$4:$D$203,"供应商付款",资金流水!$A$4:$A$203,"&lt;="&amp;EOMONTH(应付跟进!$B$2,0)))</f>
        <v/>
      </c>
      <c r="H90" s="17" t="str">
        <f>IF(C90="","",SUMIFS($E$4:E89,$C$4:C89,C90))</f>
        <v/>
      </c>
      <c r="I90" s="17" t="str">
        <f t="shared" si="8"/>
        <v/>
      </c>
      <c r="J90" s="17" t="str">
        <f t="shared" si="9"/>
        <v/>
      </c>
      <c r="K90" s="17" t="str">
        <f t="shared" si="10"/>
        <v/>
      </c>
      <c r="L90" s="59" t="str">
        <f>IF(C90="","",IF(OR(K90&lt;=0,F90=""),"",F90-EOMONTH(应付跟进!$B$2,0)))</f>
        <v/>
      </c>
      <c r="M90" t="str">
        <f t="shared" si="11"/>
        <v/>
      </c>
      <c r="N90" t="str">
        <f t="shared" si="12"/>
        <v/>
      </c>
      <c r="O90" t="str">
        <f>IF(采购录入!A80="","",采购录入!L80)</f>
        <v/>
      </c>
      <c r="P90" t="str">
        <f>IF(采购录入!A80="","",采购录入!M80)</f>
        <v/>
      </c>
    </row>
    <row r="91" spans="1:16">
      <c r="A91" t="str">
        <f>IF(采购录入!A81="","","采购")</f>
        <v/>
      </c>
      <c r="B91" s="5" t="str">
        <f>IF(采购录入!A81="","",采购录入!A81)</f>
        <v/>
      </c>
      <c r="C91" t="str">
        <f>IF(采购录入!A81="","",采购录入!C81)</f>
        <v/>
      </c>
      <c r="D91" t="str">
        <f>IF(采购录入!A81="","",采购录入!D81)</f>
        <v/>
      </c>
      <c r="E91" s="17" t="str">
        <f>IF(采购录入!A81="","",采购录入!I81)</f>
        <v/>
      </c>
      <c r="F91" s="5" t="str">
        <f>IF(采购录入!A81="","",采购录入!J81)</f>
        <v/>
      </c>
      <c r="G91" s="17" t="str">
        <f>IF(C91="","",SUMIFS(资金流水!$K$4:$K$203,资金流水!$F$4:$F$203,C91,资金流水!$D$4:$D$203,"供应商付款",资金流水!$A$4:$A$203,"&lt;="&amp;EOMONTH(应付跟进!$B$2,0)))</f>
        <v/>
      </c>
      <c r="H91" s="17" t="str">
        <f>IF(C91="","",SUMIFS($E$4:E90,$C$4:C90,C91))</f>
        <v/>
      </c>
      <c r="I91" s="17" t="str">
        <f t="shared" si="8"/>
        <v/>
      </c>
      <c r="J91" s="17" t="str">
        <f t="shared" si="9"/>
        <v/>
      </c>
      <c r="K91" s="17" t="str">
        <f t="shared" si="10"/>
        <v/>
      </c>
      <c r="L91" s="59" t="str">
        <f>IF(C91="","",IF(OR(K91&lt;=0,F91=""),"",F91-EOMONTH(应付跟进!$B$2,0)))</f>
        <v/>
      </c>
      <c r="M91" t="str">
        <f t="shared" si="11"/>
        <v/>
      </c>
      <c r="N91" t="str">
        <f t="shared" si="12"/>
        <v/>
      </c>
      <c r="O91" t="str">
        <f>IF(采购录入!A81="","",采购录入!L81)</f>
        <v/>
      </c>
      <c r="P91" t="str">
        <f>IF(采购录入!A81="","",采购录入!M81)</f>
        <v/>
      </c>
    </row>
    <row r="92" spans="1:16">
      <c r="A92" t="str">
        <f>IF(采购录入!A82="","","采购")</f>
        <v/>
      </c>
      <c r="B92" s="5" t="str">
        <f>IF(采购录入!A82="","",采购录入!A82)</f>
        <v/>
      </c>
      <c r="C92" t="str">
        <f>IF(采购录入!A82="","",采购录入!C82)</f>
        <v/>
      </c>
      <c r="D92" t="str">
        <f>IF(采购录入!A82="","",采购录入!D82)</f>
        <v/>
      </c>
      <c r="E92" s="17" t="str">
        <f>IF(采购录入!A82="","",采购录入!I82)</f>
        <v/>
      </c>
      <c r="F92" s="5" t="str">
        <f>IF(采购录入!A82="","",采购录入!J82)</f>
        <v/>
      </c>
      <c r="G92" s="17" t="str">
        <f>IF(C92="","",SUMIFS(资金流水!$K$4:$K$203,资金流水!$F$4:$F$203,C92,资金流水!$D$4:$D$203,"供应商付款",资金流水!$A$4:$A$203,"&lt;="&amp;EOMONTH(应付跟进!$B$2,0)))</f>
        <v/>
      </c>
      <c r="H92" s="17" t="str">
        <f>IF(C92="","",SUMIFS($E$4:E91,$C$4:C91,C92))</f>
        <v/>
      </c>
      <c r="I92" s="17" t="str">
        <f t="shared" si="8"/>
        <v/>
      </c>
      <c r="J92" s="17" t="str">
        <f t="shared" si="9"/>
        <v/>
      </c>
      <c r="K92" s="17" t="str">
        <f t="shared" si="10"/>
        <v/>
      </c>
      <c r="L92" s="59" t="str">
        <f>IF(C92="","",IF(OR(K92&lt;=0,F92=""),"",F92-EOMONTH(应付跟进!$B$2,0)))</f>
        <v/>
      </c>
      <c r="M92" t="str">
        <f t="shared" si="11"/>
        <v/>
      </c>
      <c r="N92" t="str">
        <f t="shared" si="12"/>
        <v/>
      </c>
      <c r="O92" t="str">
        <f>IF(采购录入!A82="","",采购录入!L82)</f>
        <v/>
      </c>
      <c r="P92" t="str">
        <f>IF(采购录入!A82="","",采购录入!M82)</f>
        <v/>
      </c>
    </row>
    <row r="93" spans="1:16">
      <c r="A93" t="str">
        <f>IF(采购录入!A83="","","采购")</f>
        <v/>
      </c>
      <c r="B93" s="5" t="str">
        <f>IF(采购录入!A83="","",采购录入!A83)</f>
        <v/>
      </c>
      <c r="C93" t="str">
        <f>IF(采购录入!A83="","",采购录入!C83)</f>
        <v/>
      </c>
      <c r="D93" t="str">
        <f>IF(采购录入!A83="","",采购录入!D83)</f>
        <v/>
      </c>
      <c r="E93" s="17" t="str">
        <f>IF(采购录入!A83="","",采购录入!I83)</f>
        <v/>
      </c>
      <c r="F93" s="5" t="str">
        <f>IF(采购录入!A83="","",采购录入!J83)</f>
        <v/>
      </c>
      <c r="G93" s="17" t="str">
        <f>IF(C93="","",SUMIFS(资金流水!$K$4:$K$203,资金流水!$F$4:$F$203,C93,资金流水!$D$4:$D$203,"供应商付款",资金流水!$A$4:$A$203,"&lt;="&amp;EOMONTH(应付跟进!$B$2,0)))</f>
        <v/>
      </c>
      <c r="H93" s="17" t="str">
        <f>IF(C93="","",SUMIFS($E$4:E92,$C$4:C92,C93))</f>
        <v/>
      </c>
      <c r="I93" s="17" t="str">
        <f t="shared" si="8"/>
        <v/>
      </c>
      <c r="J93" s="17" t="str">
        <f t="shared" si="9"/>
        <v/>
      </c>
      <c r="K93" s="17" t="str">
        <f t="shared" si="10"/>
        <v/>
      </c>
      <c r="L93" s="59" t="str">
        <f>IF(C93="","",IF(OR(K93&lt;=0,F93=""),"",F93-EOMONTH(应付跟进!$B$2,0)))</f>
        <v/>
      </c>
      <c r="M93" t="str">
        <f t="shared" si="11"/>
        <v/>
      </c>
      <c r="N93" t="str">
        <f t="shared" si="12"/>
        <v/>
      </c>
      <c r="O93" t="str">
        <f>IF(采购录入!A83="","",采购录入!L83)</f>
        <v/>
      </c>
      <c r="P93" t="str">
        <f>IF(采购录入!A83="","",采购录入!M83)</f>
        <v/>
      </c>
    </row>
    <row r="94" spans="1:16">
      <c r="A94" t="str">
        <f>IF(采购录入!A84="","","采购")</f>
        <v/>
      </c>
      <c r="B94" s="5" t="str">
        <f>IF(采购录入!A84="","",采购录入!A84)</f>
        <v/>
      </c>
      <c r="C94" t="str">
        <f>IF(采购录入!A84="","",采购录入!C84)</f>
        <v/>
      </c>
      <c r="D94" t="str">
        <f>IF(采购录入!A84="","",采购录入!D84)</f>
        <v/>
      </c>
      <c r="E94" s="17" t="str">
        <f>IF(采购录入!A84="","",采购录入!I84)</f>
        <v/>
      </c>
      <c r="F94" s="5" t="str">
        <f>IF(采购录入!A84="","",采购录入!J84)</f>
        <v/>
      </c>
      <c r="G94" s="17" t="str">
        <f>IF(C94="","",SUMIFS(资金流水!$K$4:$K$203,资金流水!$F$4:$F$203,C94,资金流水!$D$4:$D$203,"供应商付款",资金流水!$A$4:$A$203,"&lt;="&amp;EOMONTH(应付跟进!$B$2,0)))</f>
        <v/>
      </c>
      <c r="H94" s="17" t="str">
        <f>IF(C94="","",SUMIFS($E$4:E93,$C$4:C93,C94))</f>
        <v/>
      </c>
      <c r="I94" s="17" t="str">
        <f t="shared" si="8"/>
        <v/>
      </c>
      <c r="J94" s="17" t="str">
        <f t="shared" si="9"/>
        <v/>
      </c>
      <c r="K94" s="17" t="str">
        <f t="shared" si="10"/>
        <v/>
      </c>
      <c r="L94" s="59" t="str">
        <f>IF(C94="","",IF(OR(K94&lt;=0,F94=""),"",F94-EOMONTH(应付跟进!$B$2,0)))</f>
        <v/>
      </c>
      <c r="M94" t="str">
        <f t="shared" si="11"/>
        <v/>
      </c>
      <c r="N94" t="str">
        <f t="shared" si="12"/>
        <v/>
      </c>
      <c r="O94" t="str">
        <f>IF(采购录入!A84="","",采购录入!L84)</f>
        <v/>
      </c>
      <c r="P94" t="str">
        <f>IF(采购录入!A84="","",采购录入!M84)</f>
        <v/>
      </c>
    </row>
    <row r="95" spans="1:16">
      <c r="A95" t="str">
        <f>IF(采购录入!A85="","","采购")</f>
        <v/>
      </c>
      <c r="B95" s="5" t="str">
        <f>IF(采购录入!A85="","",采购录入!A85)</f>
        <v/>
      </c>
      <c r="C95" t="str">
        <f>IF(采购录入!A85="","",采购录入!C85)</f>
        <v/>
      </c>
      <c r="D95" t="str">
        <f>IF(采购录入!A85="","",采购录入!D85)</f>
        <v/>
      </c>
      <c r="E95" s="17" t="str">
        <f>IF(采购录入!A85="","",采购录入!I85)</f>
        <v/>
      </c>
      <c r="F95" s="5" t="str">
        <f>IF(采购录入!A85="","",采购录入!J85)</f>
        <v/>
      </c>
      <c r="G95" s="17" t="str">
        <f>IF(C95="","",SUMIFS(资金流水!$K$4:$K$203,资金流水!$F$4:$F$203,C95,资金流水!$D$4:$D$203,"供应商付款",资金流水!$A$4:$A$203,"&lt;="&amp;EOMONTH(应付跟进!$B$2,0)))</f>
        <v/>
      </c>
      <c r="H95" s="17" t="str">
        <f>IF(C95="","",SUMIFS($E$4:E94,$C$4:C94,C95))</f>
        <v/>
      </c>
      <c r="I95" s="17" t="str">
        <f t="shared" si="8"/>
        <v/>
      </c>
      <c r="J95" s="17" t="str">
        <f t="shared" si="9"/>
        <v/>
      </c>
      <c r="K95" s="17" t="str">
        <f t="shared" si="10"/>
        <v/>
      </c>
      <c r="L95" s="59" t="str">
        <f>IF(C95="","",IF(OR(K95&lt;=0,F95=""),"",F95-EOMONTH(应付跟进!$B$2,0)))</f>
        <v/>
      </c>
      <c r="M95" t="str">
        <f t="shared" si="11"/>
        <v/>
      </c>
      <c r="N95" t="str">
        <f t="shared" si="12"/>
        <v/>
      </c>
      <c r="O95" t="str">
        <f>IF(采购录入!A85="","",采购录入!L85)</f>
        <v/>
      </c>
      <c r="P95" t="str">
        <f>IF(采购录入!A85="","",采购录入!M85)</f>
        <v/>
      </c>
    </row>
    <row r="96" spans="1:16">
      <c r="A96" t="str">
        <f>IF(采购录入!A86="","","采购")</f>
        <v/>
      </c>
      <c r="B96" s="5" t="str">
        <f>IF(采购录入!A86="","",采购录入!A86)</f>
        <v/>
      </c>
      <c r="C96" t="str">
        <f>IF(采购录入!A86="","",采购录入!C86)</f>
        <v/>
      </c>
      <c r="D96" t="str">
        <f>IF(采购录入!A86="","",采购录入!D86)</f>
        <v/>
      </c>
      <c r="E96" s="17" t="str">
        <f>IF(采购录入!A86="","",采购录入!I86)</f>
        <v/>
      </c>
      <c r="F96" s="5" t="str">
        <f>IF(采购录入!A86="","",采购录入!J86)</f>
        <v/>
      </c>
      <c r="G96" s="17" t="str">
        <f>IF(C96="","",SUMIFS(资金流水!$K$4:$K$203,资金流水!$F$4:$F$203,C96,资金流水!$D$4:$D$203,"供应商付款",资金流水!$A$4:$A$203,"&lt;="&amp;EOMONTH(应付跟进!$B$2,0)))</f>
        <v/>
      </c>
      <c r="H96" s="17" t="str">
        <f>IF(C96="","",SUMIFS($E$4:E95,$C$4:C95,C96))</f>
        <v/>
      </c>
      <c r="I96" s="17" t="str">
        <f t="shared" si="8"/>
        <v/>
      </c>
      <c r="J96" s="17" t="str">
        <f t="shared" si="9"/>
        <v/>
      </c>
      <c r="K96" s="17" t="str">
        <f t="shared" si="10"/>
        <v/>
      </c>
      <c r="L96" s="59" t="str">
        <f>IF(C96="","",IF(OR(K96&lt;=0,F96=""),"",F96-EOMONTH(应付跟进!$B$2,0)))</f>
        <v/>
      </c>
      <c r="M96" t="str">
        <f t="shared" si="11"/>
        <v/>
      </c>
      <c r="N96" t="str">
        <f t="shared" si="12"/>
        <v/>
      </c>
      <c r="O96" t="str">
        <f>IF(采购录入!A86="","",采购录入!L86)</f>
        <v/>
      </c>
      <c r="P96" t="str">
        <f>IF(采购录入!A86="","",采购录入!M86)</f>
        <v/>
      </c>
    </row>
    <row r="97" spans="1:16">
      <c r="A97" t="str">
        <f>IF(采购录入!A87="","","采购")</f>
        <v/>
      </c>
      <c r="B97" s="5" t="str">
        <f>IF(采购录入!A87="","",采购录入!A87)</f>
        <v/>
      </c>
      <c r="C97" t="str">
        <f>IF(采购录入!A87="","",采购录入!C87)</f>
        <v/>
      </c>
      <c r="D97" t="str">
        <f>IF(采购录入!A87="","",采购录入!D87)</f>
        <v/>
      </c>
      <c r="E97" s="17" t="str">
        <f>IF(采购录入!A87="","",采购录入!I87)</f>
        <v/>
      </c>
      <c r="F97" s="5" t="str">
        <f>IF(采购录入!A87="","",采购录入!J87)</f>
        <v/>
      </c>
      <c r="G97" s="17" t="str">
        <f>IF(C97="","",SUMIFS(资金流水!$K$4:$K$203,资金流水!$F$4:$F$203,C97,资金流水!$D$4:$D$203,"供应商付款",资金流水!$A$4:$A$203,"&lt;="&amp;EOMONTH(应付跟进!$B$2,0)))</f>
        <v/>
      </c>
      <c r="H97" s="17" t="str">
        <f>IF(C97="","",SUMIFS($E$4:E96,$C$4:C96,C97))</f>
        <v/>
      </c>
      <c r="I97" s="17" t="str">
        <f t="shared" si="8"/>
        <v/>
      </c>
      <c r="J97" s="17" t="str">
        <f t="shared" si="9"/>
        <v/>
      </c>
      <c r="K97" s="17" t="str">
        <f t="shared" si="10"/>
        <v/>
      </c>
      <c r="L97" s="59" t="str">
        <f>IF(C97="","",IF(OR(K97&lt;=0,F97=""),"",F97-EOMONTH(应付跟进!$B$2,0)))</f>
        <v/>
      </c>
      <c r="M97" t="str">
        <f t="shared" si="11"/>
        <v/>
      </c>
      <c r="N97" t="str">
        <f t="shared" si="12"/>
        <v/>
      </c>
      <c r="O97" t="str">
        <f>IF(采购录入!A87="","",采购录入!L87)</f>
        <v/>
      </c>
      <c r="P97" t="str">
        <f>IF(采购录入!A87="","",采购录入!M87)</f>
        <v/>
      </c>
    </row>
    <row r="98" spans="1:16">
      <c r="A98" t="str">
        <f>IF(采购录入!A88="","","采购")</f>
        <v/>
      </c>
      <c r="B98" s="5" t="str">
        <f>IF(采购录入!A88="","",采购录入!A88)</f>
        <v/>
      </c>
      <c r="C98" t="str">
        <f>IF(采购录入!A88="","",采购录入!C88)</f>
        <v/>
      </c>
      <c r="D98" t="str">
        <f>IF(采购录入!A88="","",采购录入!D88)</f>
        <v/>
      </c>
      <c r="E98" s="17" t="str">
        <f>IF(采购录入!A88="","",采购录入!I88)</f>
        <v/>
      </c>
      <c r="F98" s="5" t="str">
        <f>IF(采购录入!A88="","",采购录入!J88)</f>
        <v/>
      </c>
      <c r="G98" s="17" t="str">
        <f>IF(C98="","",SUMIFS(资金流水!$K$4:$K$203,资金流水!$F$4:$F$203,C98,资金流水!$D$4:$D$203,"供应商付款",资金流水!$A$4:$A$203,"&lt;="&amp;EOMONTH(应付跟进!$B$2,0)))</f>
        <v/>
      </c>
      <c r="H98" s="17" t="str">
        <f>IF(C98="","",SUMIFS($E$4:E97,$C$4:C97,C98))</f>
        <v/>
      </c>
      <c r="I98" s="17" t="str">
        <f t="shared" si="8"/>
        <v/>
      </c>
      <c r="J98" s="17" t="str">
        <f t="shared" si="9"/>
        <v/>
      </c>
      <c r="K98" s="17" t="str">
        <f t="shared" si="10"/>
        <v/>
      </c>
      <c r="L98" s="59" t="str">
        <f>IF(C98="","",IF(OR(K98&lt;=0,F98=""),"",F98-EOMONTH(应付跟进!$B$2,0)))</f>
        <v/>
      </c>
      <c r="M98" t="str">
        <f t="shared" si="11"/>
        <v/>
      </c>
      <c r="N98" t="str">
        <f t="shared" si="12"/>
        <v/>
      </c>
      <c r="O98" t="str">
        <f>IF(采购录入!A88="","",采购录入!L88)</f>
        <v/>
      </c>
      <c r="P98" t="str">
        <f>IF(采购录入!A88="","",采购录入!M88)</f>
        <v/>
      </c>
    </row>
    <row r="99" spans="1:16">
      <c r="A99" t="str">
        <f>IF(采购录入!A89="","","采购")</f>
        <v/>
      </c>
      <c r="B99" s="5" t="str">
        <f>IF(采购录入!A89="","",采购录入!A89)</f>
        <v/>
      </c>
      <c r="C99" t="str">
        <f>IF(采购录入!A89="","",采购录入!C89)</f>
        <v/>
      </c>
      <c r="D99" t="str">
        <f>IF(采购录入!A89="","",采购录入!D89)</f>
        <v/>
      </c>
      <c r="E99" s="17" t="str">
        <f>IF(采购录入!A89="","",采购录入!I89)</f>
        <v/>
      </c>
      <c r="F99" s="5" t="str">
        <f>IF(采购录入!A89="","",采购录入!J89)</f>
        <v/>
      </c>
      <c r="G99" s="17" t="str">
        <f>IF(C99="","",SUMIFS(资金流水!$K$4:$K$203,资金流水!$F$4:$F$203,C99,资金流水!$D$4:$D$203,"供应商付款",资金流水!$A$4:$A$203,"&lt;="&amp;EOMONTH(应付跟进!$B$2,0)))</f>
        <v/>
      </c>
      <c r="H99" s="17" t="str">
        <f>IF(C99="","",SUMIFS($E$4:E98,$C$4:C98,C99))</f>
        <v/>
      </c>
      <c r="I99" s="17" t="str">
        <f t="shared" si="8"/>
        <v/>
      </c>
      <c r="J99" s="17" t="str">
        <f t="shared" si="9"/>
        <v/>
      </c>
      <c r="K99" s="17" t="str">
        <f t="shared" si="10"/>
        <v/>
      </c>
      <c r="L99" s="59" t="str">
        <f>IF(C99="","",IF(OR(K99&lt;=0,F99=""),"",F99-EOMONTH(应付跟进!$B$2,0)))</f>
        <v/>
      </c>
      <c r="M99" t="str">
        <f t="shared" si="11"/>
        <v/>
      </c>
      <c r="N99" t="str">
        <f t="shared" si="12"/>
        <v/>
      </c>
      <c r="O99" t="str">
        <f>IF(采购录入!A89="","",采购录入!L89)</f>
        <v/>
      </c>
      <c r="P99" t="str">
        <f>IF(采购录入!A89="","",采购录入!M89)</f>
        <v/>
      </c>
    </row>
    <row r="100" spans="1:16">
      <c r="A100" t="str">
        <f>IF(采购录入!A90="","","采购")</f>
        <v/>
      </c>
      <c r="B100" s="5" t="str">
        <f>IF(采购录入!A90="","",采购录入!A90)</f>
        <v/>
      </c>
      <c r="C100" t="str">
        <f>IF(采购录入!A90="","",采购录入!C90)</f>
        <v/>
      </c>
      <c r="D100" t="str">
        <f>IF(采购录入!A90="","",采购录入!D90)</f>
        <v/>
      </c>
      <c r="E100" s="17" t="str">
        <f>IF(采购录入!A90="","",采购录入!I90)</f>
        <v/>
      </c>
      <c r="F100" s="5" t="str">
        <f>IF(采购录入!A90="","",采购录入!J90)</f>
        <v/>
      </c>
      <c r="G100" s="17" t="str">
        <f>IF(C100="","",SUMIFS(资金流水!$K$4:$K$203,资金流水!$F$4:$F$203,C100,资金流水!$D$4:$D$203,"供应商付款",资金流水!$A$4:$A$203,"&lt;="&amp;EOMONTH(应付跟进!$B$2,0)))</f>
        <v/>
      </c>
      <c r="H100" s="17" t="str">
        <f>IF(C100="","",SUMIFS($E$4:E99,$C$4:C99,C100))</f>
        <v/>
      </c>
      <c r="I100" s="17" t="str">
        <f t="shared" si="8"/>
        <v/>
      </c>
      <c r="J100" s="17" t="str">
        <f t="shared" si="9"/>
        <v/>
      </c>
      <c r="K100" s="17" t="str">
        <f t="shared" si="10"/>
        <v/>
      </c>
      <c r="L100" s="59" t="str">
        <f>IF(C100="","",IF(OR(K100&lt;=0,F100=""),"",F100-EOMONTH(应付跟进!$B$2,0)))</f>
        <v/>
      </c>
      <c r="M100" t="str">
        <f t="shared" si="11"/>
        <v/>
      </c>
      <c r="N100" t="str">
        <f t="shared" si="12"/>
        <v/>
      </c>
      <c r="O100" t="str">
        <f>IF(采购录入!A90="","",采购录入!L90)</f>
        <v/>
      </c>
      <c r="P100" t="str">
        <f>IF(采购录入!A90="","",采购录入!M90)</f>
        <v/>
      </c>
    </row>
    <row r="101" spans="1:16">
      <c r="A101" t="str">
        <f>IF(采购录入!A91="","","采购")</f>
        <v/>
      </c>
      <c r="B101" s="5" t="str">
        <f>IF(采购录入!A91="","",采购录入!A91)</f>
        <v/>
      </c>
      <c r="C101" t="str">
        <f>IF(采购录入!A91="","",采购录入!C91)</f>
        <v/>
      </c>
      <c r="D101" t="str">
        <f>IF(采购录入!A91="","",采购录入!D91)</f>
        <v/>
      </c>
      <c r="E101" s="17" t="str">
        <f>IF(采购录入!A91="","",采购录入!I91)</f>
        <v/>
      </c>
      <c r="F101" s="5" t="str">
        <f>IF(采购录入!A91="","",采购录入!J91)</f>
        <v/>
      </c>
      <c r="G101" s="17" t="str">
        <f>IF(C101="","",SUMIFS(资金流水!$K$4:$K$203,资金流水!$F$4:$F$203,C101,资金流水!$D$4:$D$203,"供应商付款",资金流水!$A$4:$A$203,"&lt;="&amp;EOMONTH(应付跟进!$B$2,0)))</f>
        <v/>
      </c>
      <c r="H101" s="17" t="str">
        <f>IF(C101="","",SUMIFS($E$4:E100,$C$4:C100,C101))</f>
        <v/>
      </c>
      <c r="I101" s="17" t="str">
        <f t="shared" si="8"/>
        <v/>
      </c>
      <c r="J101" s="17" t="str">
        <f t="shared" si="9"/>
        <v/>
      </c>
      <c r="K101" s="17" t="str">
        <f t="shared" si="10"/>
        <v/>
      </c>
      <c r="L101" s="59" t="str">
        <f>IF(C101="","",IF(OR(K101&lt;=0,F101=""),"",F101-EOMONTH(应付跟进!$B$2,0)))</f>
        <v/>
      </c>
      <c r="M101" t="str">
        <f t="shared" si="11"/>
        <v/>
      </c>
      <c r="N101" t="str">
        <f t="shared" si="12"/>
        <v/>
      </c>
      <c r="O101" t="str">
        <f>IF(采购录入!A91="","",采购录入!L91)</f>
        <v/>
      </c>
      <c r="P101" t="str">
        <f>IF(采购录入!A91="","",采购录入!M91)</f>
        <v/>
      </c>
    </row>
    <row r="102" spans="1:16">
      <c r="A102" t="str">
        <f>IF(采购录入!A92="","","采购")</f>
        <v/>
      </c>
      <c r="B102" s="5" t="str">
        <f>IF(采购录入!A92="","",采购录入!A92)</f>
        <v/>
      </c>
      <c r="C102" t="str">
        <f>IF(采购录入!A92="","",采购录入!C92)</f>
        <v/>
      </c>
      <c r="D102" t="str">
        <f>IF(采购录入!A92="","",采购录入!D92)</f>
        <v/>
      </c>
      <c r="E102" s="17" t="str">
        <f>IF(采购录入!A92="","",采购录入!I92)</f>
        <v/>
      </c>
      <c r="F102" s="5" t="str">
        <f>IF(采购录入!A92="","",采购录入!J92)</f>
        <v/>
      </c>
      <c r="G102" s="17" t="str">
        <f>IF(C102="","",SUMIFS(资金流水!$K$4:$K$203,资金流水!$F$4:$F$203,C102,资金流水!$D$4:$D$203,"供应商付款",资金流水!$A$4:$A$203,"&lt;="&amp;EOMONTH(应付跟进!$B$2,0)))</f>
        <v/>
      </c>
      <c r="H102" s="17" t="str">
        <f>IF(C102="","",SUMIFS($E$4:E101,$C$4:C101,C102))</f>
        <v/>
      </c>
      <c r="I102" s="17" t="str">
        <f t="shared" si="8"/>
        <v/>
      </c>
      <c r="J102" s="17" t="str">
        <f t="shared" si="9"/>
        <v/>
      </c>
      <c r="K102" s="17" t="str">
        <f t="shared" si="10"/>
        <v/>
      </c>
      <c r="L102" s="59" t="str">
        <f>IF(C102="","",IF(OR(K102&lt;=0,F102=""),"",F102-EOMONTH(应付跟进!$B$2,0)))</f>
        <v/>
      </c>
      <c r="M102" t="str">
        <f t="shared" si="11"/>
        <v/>
      </c>
      <c r="N102" t="str">
        <f t="shared" si="12"/>
        <v/>
      </c>
      <c r="O102" t="str">
        <f>IF(采购录入!A92="","",采购录入!L92)</f>
        <v/>
      </c>
      <c r="P102" t="str">
        <f>IF(采购录入!A92="","",采购录入!M92)</f>
        <v/>
      </c>
    </row>
    <row r="103" spans="1:16">
      <c r="A103" t="str">
        <f>IF(采购录入!A93="","","采购")</f>
        <v/>
      </c>
      <c r="B103" s="5" t="str">
        <f>IF(采购录入!A93="","",采购录入!A93)</f>
        <v/>
      </c>
      <c r="C103" t="str">
        <f>IF(采购录入!A93="","",采购录入!C93)</f>
        <v/>
      </c>
      <c r="D103" t="str">
        <f>IF(采购录入!A93="","",采购录入!D93)</f>
        <v/>
      </c>
      <c r="E103" s="17" t="str">
        <f>IF(采购录入!A93="","",采购录入!I93)</f>
        <v/>
      </c>
      <c r="F103" s="5" t="str">
        <f>IF(采购录入!A93="","",采购录入!J93)</f>
        <v/>
      </c>
      <c r="G103" s="17" t="str">
        <f>IF(C103="","",SUMIFS(资金流水!$K$4:$K$203,资金流水!$F$4:$F$203,C103,资金流水!$D$4:$D$203,"供应商付款",资金流水!$A$4:$A$203,"&lt;="&amp;EOMONTH(应付跟进!$B$2,0)))</f>
        <v/>
      </c>
      <c r="H103" s="17" t="str">
        <f>IF(C103="","",SUMIFS($E$4:E102,$C$4:C102,C103))</f>
        <v/>
      </c>
      <c r="I103" s="17" t="str">
        <f t="shared" si="8"/>
        <v/>
      </c>
      <c r="J103" s="17" t="str">
        <f t="shared" si="9"/>
        <v/>
      </c>
      <c r="K103" s="17" t="str">
        <f t="shared" si="10"/>
        <v/>
      </c>
      <c r="L103" s="59" t="str">
        <f>IF(C103="","",IF(OR(K103&lt;=0,F103=""),"",F103-EOMONTH(应付跟进!$B$2,0)))</f>
        <v/>
      </c>
      <c r="M103" t="str">
        <f t="shared" si="11"/>
        <v/>
      </c>
      <c r="N103" t="str">
        <f t="shared" si="12"/>
        <v/>
      </c>
      <c r="O103" t="str">
        <f>IF(采购录入!A93="","",采购录入!L93)</f>
        <v/>
      </c>
      <c r="P103" t="str">
        <f>IF(采购录入!A93="","",采购录入!M93)</f>
        <v/>
      </c>
    </row>
    <row r="104" spans="1:16">
      <c r="A104" t="str">
        <f>IF(采购录入!A94="","","采购")</f>
        <v/>
      </c>
      <c r="B104" s="5" t="str">
        <f>IF(采购录入!A94="","",采购录入!A94)</f>
        <v/>
      </c>
      <c r="C104" t="str">
        <f>IF(采购录入!A94="","",采购录入!C94)</f>
        <v/>
      </c>
      <c r="D104" t="str">
        <f>IF(采购录入!A94="","",采购录入!D94)</f>
        <v/>
      </c>
      <c r="E104" s="17" t="str">
        <f>IF(采购录入!A94="","",采购录入!I94)</f>
        <v/>
      </c>
      <c r="F104" s="5" t="str">
        <f>IF(采购录入!A94="","",采购录入!J94)</f>
        <v/>
      </c>
      <c r="G104" s="17" t="str">
        <f>IF(C104="","",SUMIFS(资金流水!$K$4:$K$203,资金流水!$F$4:$F$203,C104,资金流水!$D$4:$D$203,"供应商付款",资金流水!$A$4:$A$203,"&lt;="&amp;EOMONTH(应付跟进!$B$2,0)))</f>
        <v/>
      </c>
      <c r="H104" s="17" t="str">
        <f>IF(C104="","",SUMIFS($E$4:E103,$C$4:C103,C104))</f>
        <v/>
      </c>
      <c r="I104" s="17" t="str">
        <f t="shared" si="8"/>
        <v/>
      </c>
      <c r="J104" s="17" t="str">
        <f t="shared" si="9"/>
        <v/>
      </c>
      <c r="K104" s="17" t="str">
        <f t="shared" si="10"/>
        <v/>
      </c>
      <c r="L104" s="59" t="str">
        <f>IF(C104="","",IF(OR(K104&lt;=0,F104=""),"",F104-EOMONTH(应付跟进!$B$2,0)))</f>
        <v/>
      </c>
      <c r="M104" t="str">
        <f t="shared" si="11"/>
        <v/>
      </c>
      <c r="N104" t="str">
        <f t="shared" si="12"/>
        <v/>
      </c>
      <c r="O104" t="str">
        <f>IF(采购录入!A94="","",采购录入!L94)</f>
        <v/>
      </c>
      <c r="P104" t="str">
        <f>IF(采购录入!A94="","",采购录入!M94)</f>
        <v/>
      </c>
    </row>
    <row r="105" spans="1:16">
      <c r="A105" t="str">
        <f>IF(采购录入!A95="","","采购")</f>
        <v/>
      </c>
      <c r="B105" s="5" t="str">
        <f>IF(采购录入!A95="","",采购录入!A95)</f>
        <v/>
      </c>
      <c r="C105" t="str">
        <f>IF(采购录入!A95="","",采购录入!C95)</f>
        <v/>
      </c>
      <c r="D105" t="str">
        <f>IF(采购录入!A95="","",采购录入!D95)</f>
        <v/>
      </c>
      <c r="E105" s="17" t="str">
        <f>IF(采购录入!A95="","",采购录入!I95)</f>
        <v/>
      </c>
      <c r="F105" s="5" t="str">
        <f>IF(采购录入!A95="","",采购录入!J95)</f>
        <v/>
      </c>
      <c r="G105" s="17" t="str">
        <f>IF(C105="","",SUMIFS(资金流水!$K$4:$K$203,资金流水!$F$4:$F$203,C105,资金流水!$D$4:$D$203,"供应商付款",资金流水!$A$4:$A$203,"&lt;="&amp;EOMONTH(应付跟进!$B$2,0)))</f>
        <v/>
      </c>
      <c r="H105" s="17" t="str">
        <f>IF(C105="","",SUMIFS($E$4:E104,$C$4:C104,C105))</f>
        <v/>
      </c>
      <c r="I105" s="17" t="str">
        <f t="shared" si="8"/>
        <v/>
      </c>
      <c r="J105" s="17" t="str">
        <f t="shared" si="9"/>
        <v/>
      </c>
      <c r="K105" s="17" t="str">
        <f t="shared" si="10"/>
        <v/>
      </c>
      <c r="L105" s="59" t="str">
        <f>IF(C105="","",IF(OR(K105&lt;=0,F105=""),"",F105-EOMONTH(应付跟进!$B$2,0)))</f>
        <v/>
      </c>
      <c r="M105" t="str">
        <f t="shared" si="11"/>
        <v/>
      </c>
      <c r="N105" t="str">
        <f t="shared" si="12"/>
        <v/>
      </c>
      <c r="O105" t="str">
        <f>IF(采购录入!A95="","",采购录入!L95)</f>
        <v/>
      </c>
      <c r="P105" t="str">
        <f>IF(采购录入!A95="","",采购录入!M95)</f>
        <v/>
      </c>
    </row>
    <row r="106" spans="1:16">
      <c r="A106" t="str">
        <f>IF(采购录入!A96="","","采购")</f>
        <v/>
      </c>
      <c r="B106" s="5" t="str">
        <f>IF(采购录入!A96="","",采购录入!A96)</f>
        <v/>
      </c>
      <c r="C106" t="str">
        <f>IF(采购录入!A96="","",采购录入!C96)</f>
        <v/>
      </c>
      <c r="D106" t="str">
        <f>IF(采购录入!A96="","",采购录入!D96)</f>
        <v/>
      </c>
      <c r="E106" s="17" t="str">
        <f>IF(采购录入!A96="","",采购录入!I96)</f>
        <v/>
      </c>
      <c r="F106" s="5" t="str">
        <f>IF(采购录入!A96="","",采购录入!J96)</f>
        <v/>
      </c>
      <c r="G106" s="17" t="str">
        <f>IF(C106="","",SUMIFS(资金流水!$K$4:$K$203,资金流水!$F$4:$F$203,C106,资金流水!$D$4:$D$203,"供应商付款",资金流水!$A$4:$A$203,"&lt;="&amp;EOMONTH(应付跟进!$B$2,0)))</f>
        <v/>
      </c>
      <c r="H106" s="17" t="str">
        <f>IF(C106="","",SUMIFS($E$4:E105,$C$4:C105,C106))</f>
        <v/>
      </c>
      <c r="I106" s="17" t="str">
        <f t="shared" si="8"/>
        <v/>
      </c>
      <c r="J106" s="17" t="str">
        <f t="shared" si="9"/>
        <v/>
      </c>
      <c r="K106" s="17" t="str">
        <f t="shared" si="10"/>
        <v/>
      </c>
      <c r="L106" s="59" t="str">
        <f>IF(C106="","",IF(OR(K106&lt;=0,F106=""),"",F106-EOMONTH(应付跟进!$B$2,0)))</f>
        <v/>
      </c>
      <c r="M106" t="str">
        <f t="shared" si="11"/>
        <v/>
      </c>
      <c r="N106" t="str">
        <f t="shared" si="12"/>
        <v/>
      </c>
      <c r="O106" t="str">
        <f>IF(采购录入!A96="","",采购录入!L96)</f>
        <v/>
      </c>
      <c r="P106" t="str">
        <f>IF(采购录入!A96="","",采购录入!M96)</f>
        <v/>
      </c>
    </row>
    <row r="107" spans="1:16">
      <c r="A107" t="str">
        <f>IF(采购录入!A97="","","采购")</f>
        <v/>
      </c>
      <c r="B107" s="5" t="str">
        <f>IF(采购录入!A97="","",采购录入!A97)</f>
        <v/>
      </c>
      <c r="C107" t="str">
        <f>IF(采购录入!A97="","",采购录入!C97)</f>
        <v/>
      </c>
      <c r="D107" t="str">
        <f>IF(采购录入!A97="","",采购录入!D97)</f>
        <v/>
      </c>
      <c r="E107" s="17" t="str">
        <f>IF(采购录入!A97="","",采购录入!I97)</f>
        <v/>
      </c>
      <c r="F107" s="5" t="str">
        <f>IF(采购录入!A97="","",采购录入!J97)</f>
        <v/>
      </c>
      <c r="G107" s="17" t="str">
        <f>IF(C107="","",SUMIFS(资金流水!$K$4:$K$203,资金流水!$F$4:$F$203,C107,资金流水!$D$4:$D$203,"供应商付款",资金流水!$A$4:$A$203,"&lt;="&amp;EOMONTH(应付跟进!$B$2,0)))</f>
        <v/>
      </c>
      <c r="H107" s="17" t="str">
        <f>IF(C107="","",SUMIFS($E$4:E106,$C$4:C106,C107))</f>
        <v/>
      </c>
      <c r="I107" s="17" t="str">
        <f t="shared" si="8"/>
        <v/>
      </c>
      <c r="J107" s="17" t="str">
        <f t="shared" si="9"/>
        <v/>
      </c>
      <c r="K107" s="17" t="str">
        <f t="shared" si="10"/>
        <v/>
      </c>
      <c r="L107" s="59" t="str">
        <f>IF(C107="","",IF(OR(K107&lt;=0,F107=""),"",F107-EOMONTH(应付跟进!$B$2,0)))</f>
        <v/>
      </c>
      <c r="M107" t="str">
        <f t="shared" si="11"/>
        <v/>
      </c>
      <c r="N107" t="str">
        <f t="shared" si="12"/>
        <v/>
      </c>
      <c r="O107" t="str">
        <f>IF(采购录入!A97="","",采购录入!L97)</f>
        <v/>
      </c>
      <c r="P107" t="str">
        <f>IF(采购录入!A97="","",采购录入!M97)</f>
        <v/>
      </c>
    </row>
    <row r="108" spans="1:16">
      <c r="A108" t="str">
        <f>IF(采购录入!A98="","","采购")</f>
        <v/>
      </c>
      <c r="B108" s="5" t="str">
        <f>IF(采购录入!A98="","",采购录入!A98)</f>
        <v/>
      </c>
      <c r="C108" t="str">
        <f>IF(采购录入!A98="","",采购录入!C98)</f>
        <v/>
      </c>
      <c r="D108" t="str">
        <f>IF(采购录入!A98="","",采购录入!D98)</f>
        <v/>
      </c>
      <c r="E108" s="17" t="str">
        <f>IF(采购录入!A98="","",采购录入!I98)</f>
        <v/>
      </c>
      <c r="F108" s="5" t="str">
        <f>IF(采购录入!A98="","",采购录入!J98)</f>
        <v/>
      </c>
      <c r="G108" s="17" t="str">
        <f>IF(C108="","",SUMIFS(资金流水!$K$4:$K$203,资金流水!$F$4:$F$203,C108,资金流水!$D$4:$D$203,"供应商付款",资金流水!$A$4:$A$203,"&lt;="&amp;EOMONTH(应付跟进!$B$2,0)))</f>
        <v/>
      </c>
      <c r="H108" s="17" t="str">
        <f>IF(C108="","",SUMIFS($E$4:E107,$C$4:C107,C108))</f>
        <v/>
      </c>
      <c r="I108" s="17" t="str">
        <f t="shared" si="8"/>
        <v/>
      </c>
      <c r="J108" s="17" t="str">
        <f t="shared" si="9"/>
        <v/>
      </c>
      <c r="K108" s="17" t="str">
        <f t="shared" si="10"/>
        <v/>
      </c>
      <c r="L108" s="59" t="str">
        <f>IF(C108="","",IF(OR(K108&lt;=0,F108=""),"",F108-EOMONTH(应付跟进!$B$2,0)))</f>
        <v/>
      </c>
      <c r="M108" t="str">
        <f t="shared" si="11"/>
        <v/>
      </c>
      <c r="N108" t="str">
        <f t="shared" si="12"/>
        <v/>
      </c>
      <c r="O108" t="str">
        <f>IF(采购录入!A98="","",采购录入!L98)</f>
        <v/>
      </c>
      <c r="P108" t="str">
        <f>IF(采购录入!A98="","",采购录入!M98)</f>
        <v/>
      </c>
    </row>
    <row r="109" spans="1:16">
      <c r="A109" t="str">
        <f>IF(采购录入!A99="","","采购")</f>
        <v/>
      </c>
      <c r="B109" s="5" t="str">
        <f>IF(采购录入!A99="","",采购录入!A99)</f>
        <v/>
      </c>
      <c r="C109" t="str">
        <f>IF(采购录入!A99="","",采购录入!C99)</f>
        <v/>
      </c>
      <c r="D109" t="str">
        <f>IF(采购录入!A99="","",采购录入!D99)</f>
        <v/>
      </c>
      <c r="E109" s="17" t="str">
        <f>IF(采购录入!A99="","",采购录入!I99)</f>
        <v/>
      </c>
      <c r="F109" s="5" t="str">
        <f>IF(采购录入!A99="","",采购录入!J99)</f>
        <v/>
      </c>
      <c r="G109" s="17" t="str">
        <f>IF(C109="","",SUMIFS(资金流水!$K$4:$K$203,资金流水!$F$4:$F$203,C109,资金流水!$D$4:$D$203,"供应商付款",资金流水!$A$4:$A$203,"&lt;="&amp;EOMONTH(应付跟进!$B$2,0)))</f>
        <v/>
      </c>
      <c r="H109" s="17" t="str">
        <f>IF(C109="","",SUMIFS($E$4:E108,$C$4:C108,C109))</f>
        <v/>
      </c>
      <c r="I109" s="17" t="str">
        <f t="shared" si="8"/>
        <v/>
      </c>
      <c r="J109" s="17" t="str">
        <f t="shared" si="9"/>
        <v/>
      </c>
      <c r="K109" s="17" t="str">
        <f t="shared" si="10"/>
        <v/>
      </c>
      <c r="L109" s="59" t="str">
        <f>IF(C109="","",IF(OR(K109&lt;=0,F109=""),"",F109-EOMONTH(应付跟进!$B$2,0)))</f>
        <v/>
      </c>
      <c r="M109" t="str">
        <f t="shared" si="11"/>
        <v/>
      </c>
      <c r="N109" t="str">
        <f t="shared" si="12"/>
        <v/>
      </c>
      <c r="O109" t="str">
        <f>IF(采购录入!A99="","",采购录入!L99)</f>
        <v/>
      </c>
      <c r="P109" t="str">
        <f>IF(采购录入!A99="","",采购录入!M99)</f>
        <v/>
      </c>
    </row>
    <row r="110" spans="1:16">
      <c r="A110" t="str">
        <f>IF(采购录入!A100="","","采购")</f>
        <v/>
      </c>
      <c r="B110" s="5" t="str">
        <f>IF(采购录入!A100="","",采购录入!A100)</f>
        <v/>
      </c>
      <c r="C110" t="str">
        <f>IF(采购录入!A100="","",采购录入!C100)</f>
        <v/>
      </c>
      <c r="D110" t="str">
        <f>IF(采购录入!A100="","",采购录入!D100)</f>
        <v/>
      </c>
      <c r="E110" s="17" t="str">
        <f>IF(采购录入!A100="","",采购录入!I100)</f>
        <v/>
      </c>
      <c r="F110" s="5" t="str">
        <f>IF(采购录入!A100="","",采购录入!J100)</f>
        <v/>
      </c>
      <c r="G110" s="17" t="str">
        <f>IF(C110="","",SUMIFS(资金流水!$K$4:$K$203,资金流水!$F$4:$F$203,C110,资金流水!$D$4:$D$203,"供应商付款",资金流水!$A$4:$A$203,"&lt;="&amp;EOMONTH(应付跟进!$B$2,0)))</f>
        <v/>
      </c>
      <c r="H110" s="17" t="str">
        <f>IF(C110="","",SUMIFS($E$4:E109,$C$4:C109,C110))</f>
        <v/>
      </c>
      <c r="I110" s="17" t="str">
        <f t="shared" si="8"/>
        <v/>
      </c>
      <c r="J110" s="17" t="str">
        <f t="shared" si="9"/>
        <v/>
      </c>
      <c r="K110" s="17" t="str">
        <f t="shared" si="10"/>
        <v/>
      </c>
      <c r="L110" s="59" t="str">
        <f>IF(C110="","",IF(OR(K110&lt;=0,F110=""),"",F110-EOMONTH(应付跟进!$B$2,0)))</f>
        <v/>
      </c>
      <c r="M110" t="str">
        <f t="shared" si="11"/>
        <v/>
      </c>
      <c r="N110" t="str">
        <f t="shared" si="12"/>
        <v/>
      </c>
      <c r="O110" t="str">
        <f>IF(采购录入!A100="","",采购录入!L100)</f>
        <v/>
      </c>
      <c r="P110" t="str">
        <f>IF(采购录入!A100="","",采购录入!M100)</f>
        <v/>
      </c>
    </row>
    <row r="111" spans="1:16">
      <c r="A111" t="str">
        <f>IF(采购录入!A101="","","采购")</f>
        <v/>
      </c>
      <c r="B111" s="5" t="str">
        <f>IF(采购录入!A101="","",采购录入!A101)</f>
        <v/>
      </c>
      <c r="C111" t="str">
        <f>IF(采购录入!A101="","",采购录入!C101)</f>
        <v/>
      </c>
      <c r="D111" t="str">
        <f>IF(采购录入!A101="","",采购录入!D101)</f>
        <v/>
      </c>
      <c r="E111" s="17" t="str">
        <f>IF(采购录入!A101="","",采购录入!I101)</f>
        <v/>
      </c>
      <c r="F111" s="5" t="str">
        <f>IF(采购录入!A101="","",采购录入!J101)</f>
        <v/>
      </c>
      <c r="G111" s="17" t="str">
        <f>IF(C111="","",SUMIFS(资金流水!$K$4:$K$203,资金流水!$F$4:$F$203,C111,资金流水!$D$4:$D$203,"供应商付款",资金流水!$A$4:$A$203,"&lt;="&amp;EOMONTH(应付跟进!$B$2,0)))</f>
        <v/>
      </c>
      <c r="H111" s="17" t="str">
        <f>IF(C111="","",SUMIFS($E$4:E110,$C$4:C110,C111))</f>
        <v/>
      </c>
      <c r="I111" s="17" t="str">
        <f t="shared" si="8"/>
        <v/>
      </c>
      <c r="J111" s="17" t="str">
        <f t="shared" si="9"/>
        <v/>
      </c>
      <c r="K111" s="17" t="str">
        <f t="shared" si="10"/>
        <v/>
      </c>
      <c r="L111" s="59" t="str">
        <f>IF(C111="","",IF(OR(K111&lt;=0,F111=""),"",F111-EOMONTH(应付跟进!$B$2,0)))</f>
        <v/>
      </c>
      <c r="M111" t="str">
        <f t="shared" si="11"/>
        <v/>
      </c>
      <c r="N111" t="str">
        <f t="shared" si="12"/>
        <v/>
      </c>
      <c r="O111" t="str">
        <f>IF(采购录入!A101="","",采购录入!L101)</f>
        <v/>
      </c>
      <c r="P111" t="str">
        <f>IF(采购录入!A101="","",采购录入!M101)</f>
        <v/>
      </c>
    </row>
    <row r="112" spans="1:16">
      <c r="A112" t="str">
        <f>IF(采购录入!A102="","","采购")</f>
        <v/>
      </c>
      <c r="B112" s="5" t="str">
        <f>IF(采购录入!A102="","",采购录入!A102)</f>
        <v/>
      </c>
      <c r="C112" t="str">
        <f>IF(采购录入!A102="","",采购录入!C102)</f>
        <v/>
      </c>
      <c r="D112" t="str">
        <f>IF(采购录入!A102="","",采购录入!D102)</f>
        <v/>
      </c>
      <c r="E112" s="17" t="str">
        <f>IF(采购录入!A102="","",采购录入!I102)</f>
        <v/>
      </c>
      <c r="F112" s="5" t="str">
        <f>IF(采购录入!A102="","",采购录入!J102)</f>
        <v/>
      </c>
      <c r="G112" s="17" t="str">
        <f>IF(C112="","",SUMIFS(资金流水!$K$4:$K$203,资金流水!$F$4:$F$203,C112,资金流水!$D$4:$D$203,"供应商付款",资金流水!$A$4:$A$203,"&lt;="&amp;EOMONTH(应付跟进!$B$2,0)))</f>
        <v/>
      </c>
      <c r="H112" s="17" t="str">
        <f>IF(C112="","",SUMIFS($E$4:E111,$C$4:C111,C112))</f>
        <v/>
      </c>
      <c r="I112" s="17" t="str">
        <f t="shared" si="8"/>
        <v/>
      </c>
      <c r="J112" s="17" t="str">
        <f t="shared" si="9"/>
        <v/>
      </c>
      <c r="K112" s="17" t="str">
        <f t="shared" si="10"/>
        <v/>
      </c>
      <c r="L112" s="59" t="str">
        <f>IF(C112="","",IF(OR(K112&lt;=0,F112=""),"",F112-EOMONTH(应付跟进!$B$2,0)))</f>
        <v/>
      </c>
      <c r="M112" t="str">
        <f t="shared" si="11"/>
        <v/>
      </c>
      <c r="N112" t="str">
        <f t="shared" si="12"/>
        <v/>
      </c>
      <c r="O112" t="str">
        <f>IF(采购录入!A102="","",采购录入!L102)</f>
        <v/>
      </c>
      <c r="P112" t="str">
        <f>IF(采购录入!A102="","",采购录入!M102)</f>
        <v/>
      </c>
    </row>
    <row r="113" spans="1:16">
      <c r="A113" t="str">
        <f>IF(采购录入!A103="","","采购")</f>
        <v/>
      </c>
      <c r="B113" s="5" t="str">
        <f>IF(采购录入!A103="","",采购录入!A103)</f>
        <v/>
      </c>
      <c r="C113" t="str">
        <f>IF(采购录入!A103="","",采购录入!C103)</f>
        <v/>
      </c>
      <c r="D113" t="str">
        <f>IF(采购录入!A103="","",采购录入!D103)</f>
        <v/>
      </c>
      <c r="E113" s="17" t="str">
        <f>IF(采购录入!A103="","",采购录入!I103)</f>
        <v/>
      </c>
      <c r="F113" s="5" t="str">
        <f>IF(采购录入!A103="","",采购录入!J103)</f>
        <v/>
      </c>
      <c r="G113" s="17" t="str">
        <f>IF(C113="","",SUMIFS(资金流水!$K$4:$K$203,资金流水!$F$4:$F$203,C113,资金流水!$D$4:$D$203,"供应商付款",资金流水!$A$4:$A$203,"&lt;="&amp;EOMONTH(应付跟进!$B$2,0)))</f>
        <v/>
      </c>
      <c r="H113" s="17" t="str">
        <f>IF(C113="","",SUMIFS($E$4:E112,$C$4:C112,C113))</f>
        <v/>
      </c>
      <c r="I113" s="17" t="str">
        <f t="shared" si="8"/>
        <v/>
      </c>
      <c r="J113" s="17" t="str">
        <f t="shared" si="9"/>
        <v/>
      </c>
      <c r="K113" s="17" t="str">
        <f t="shared" si="10"/>
        <v/>
      </c>
      <c r="L113" s="59" t="str">
        <f>IF(C113="","",IF(OR(K113&lt;=0,F113=""),"",F113-EOMONTH(应付跟进!$B$2,0)))</f>
        <v/>
      </c>
      <c r="M113" t="str">
        <f t="shared" si="11"/>
        <v/>
      </c>
      <c r="N113" t="str">
        <f t="shared" si="12"/>
        <v/>
      </c>
      <c r="O113" t="str">
        <f>IF(采购录入!A103="","",采购录入!L103)</f>
        <v/>
      </c>
      <c r="P113" t="str">
        <f>IF(采购录入!A103="","",采购录入!M103)</f>
        <v/>
      </c>
    </row>
    <row r="114" spans="1:16">
      <c r="A114" t="str">
        <f>IF(采购录入!A104="","","采购")</f>
        <v/>
      </c>
      <c r="B114" t="str">
        <f>IF(采购录入!A104="","",采购录入!A104)</f>
        <v/>
      </c>
      <c r="C114" t="str">
        <f>IF(采购录入!A104="","",采购录入!C104)</f>
        <v/>
      </c>
      <c r="D114" t="str">
        <f>IF(采购录入!A104="","",采购录入!D104)</f>
        <v/>
      </c>
      <c r="E114" t="str">
        <f>IF(采购录入!A104="","",采购录入!I104)</f>
        <v/>
      </c>
      <c r="F114" t="str">
        <f>IF(采购录入!A104="","",采购录入!J104)</f>
        <v/>
      </c>
      <c r="G114" t="str">
        <f>IF(C114="","",SUMIFS(资金流水!$K$4:$K$203,资金流水!$F$4:$F$203,C114,资金流水!$D$4:$D$203,"供应商付款",资金流水!$A$4:$A$203,"&lt;="&amp;EOMONTH(应付跟进!$B$2,0)))</f>
        <v/>
      </c>
      <c r="H114" t="str">
        <f>IF(C114="","",SUMIFS($E$4:E113,$C$4:C113,C114))</f>
        <v/>
      </c>
      <c r="L114" t="str">
        <f>IF(C114="","",IF(OR(K114&lt;=0,F114=""),"",F114-EOMONTH(应付跟进!$B$2,0)))</f>
        <v/>
      </c>
      <c r="O114" t="str">
        <f>IF(采购录入!A104="","",采购录入!L104)</f>
        <v/>
      </c>
      <c r="P114" t="str">
        <f>IF(采购录入!A104="","",采购录入!M104)</f>
        <v/>
      </c>
    </row>
    <row r="115" spans="1:16">
      <c r="A115" t="str">
        <f>IF(采购录入!A105="","","采购")</f>
        <v/>
      </c>
      <c r="B115" t="str">
        <f>IF(采购录入!A105="","",采购录入!A105)</f>
        <v/>
      </c>
      <c r="C115" t="str">
        <f>IF(采购录入!A105="","",采购录入!C105)</f>
        <v/>
      </c>
      <c r="D115" t="str">
        <f>IF(采购录入!A105="","",采购录入!D105)</f>
        <v/>
      </c>
      <c r="E115" t="str">
        <f>IF(采购录入!A105="","",采购录入!I105)</f>
        <v/>
      </c>
      <c r="F115" t="str">
        <f>IF(采购录入!A105="","",采购录入!J105)</f>
        <v/>
      </c>
      <c r="G115" t="str">
        <f>IF(C115="","",SUMIFS(资金流水!$K$4:$K$203,资金流水!$F$4:$F$203,C115,资金流水!$D$4:$D$203,"供应商付款",资金流水!$A$4:$A$203,"&lt;="&amp;EOMONTH(应付跟进!$B$2,0)))</f>
        <v/>
      </c>
      <c r="H115" t="str">
        <f>IF(C115="","",SUMIFS($E$4:E114,$C$4:C114,C115))</f>
        <v/>
      </c>
      <c r="L115" t="str">
        <f>IF(C115="","",IF(OR(K115&lt;=0,F115=""),"",F115-EOMONTH(应付跟进!$B$2,0)))</f>
        <v/>
      </c>
      <c r="O115" t="str">
        <f>IF(采购录入!A105="","",采购录入!L105)</f>
        <v/>
      </c>
      <c r="P115" t="str">
        <f>IF(采购录入!A105="","",采购录入!M105)</f>
        <v/>
      </c>
    </row>
    <row r="116" spans="1:16">
      <c r="A116" t="str">
        <f>IF(采购录入!A106="","","采购")</f>
        <v/>
      </c>
      <c r="B116" t="str">
        <f>IF(采购录入!A106="","",采购录入!A106)</f>
        <v/>
      </c>
      <c r="C116" t="str">
        <f>IF(采购录入!A106="","",采购录入!C106)</f>
        <v/>
      </c>
      <c r="D116" t="str">
        <f>IF(采购录入!A106="","",采购录入!D106)</f>
        <v/>
      </c>
      <c r="E116" t="str">
        <f>IF(采购录入!A106="","",采购录入!I106)</f>
        <v/>
      </c>
      <c r="F116" t="str">
        <f>IF(采购录入!A106="","",采购录入!J106)</f>
        <v/>
      </c>
      <c r="G116" t="str">
        <f>IF(C116="","",SUMIFS(资金流水!$K$4:$K$203,资金流水!$F$4:$F$203,C116,资金流水!$D$4:$D$203,"供应商付款",资金流水!$A$4:$A$203,"&lt;="&amp;EOMONTH(应付跟进!$B$2,0)))</f>
        <v/>
      </c>
      <c r="H116" t="str">
        <f>IF(C116="","",SUMIFS($E$4:E115,$C$4:C115,C116))</f>
        <v/>
      </c>
      <c r="L116" t="str">
        <f>IF(C116="","",IF(OR(K116&lt;=0,F116=""),"",F116-EOMONTH(应付跟进!$B$2,0)))</f>
        <v/>
      </c>
      <c r="O116" t="str">
        <f>IF(采购录入!A106="","",采购录入!L106)</f>
        <v/>
      </c>
      <c r="P116" t="str">
        <f>IF(采购录入!A106="","",采购录入!M106)</f>
        <v/>
      </c>
    </row>
    <row r="117" spans="1:16">
      <c r="A117" t="str">
        <f>IF(采购录入!A107="","","采购")</f>
        <v/>
      </c>
      <c r="B117" t="str">
        <f>IF(采购录入!A107="","",采购录入!A107)</f>
        <v/>
      </c>
      <c r="C117" t="str">
        <f>IF(采购录入!A107="","",采购录入!C107)</f>
        <v/>
      </c>
      <c r="D117" t="str">
        <f>IF(采购录入!A107="","",采购录入!D107)</f>
        <v/>
      </c>
      <c r="E117" t="str">
        <f>IF(采购录入!A107="","",采购录入!I107)</f>
        <v/>
      </c>
      <c r="F117" t="str">
        <f>IF(采购录入!A107="","",采购录入!J107)</f>
        <v/>
      </c>
      <c r="G117" t="str">
        <f>IF(C117="","",SUMIFS(资金流水!$K$4:$K$203,资金流水!$F$4:$F$203,C117,资金流水!$D$4:$D$203,"供应商付款",资金流水!$A$4:$A$203,"&lt;="&amp;EOMONTH(应付跟进!$B$2,0)))</f>
        <v/>
      </c>
      <c r="H117" t="str">
        <f>IF(C117="","",SUMIFS($E$4:E116,$C$4:C116,C117))</f>
        <v/>
      </c>
      <c r="L117" t="str">
        <f>IF(C117="","",IF(OR(K117&lt;=0,F117=""),"",F117-EOMONTH(应付跟进!$B$2,0)))</f>
        <v/>
      </c>
      <c r="O117" t="str">
        <f>IF(采购录入!A107="","",采购录入!L107)</f>
        <v/>
      </c>
      <c r="P117" t="str">
        <f>IF(采购录入!A107="","",采购录入!M107)</f>
        <v/>
      </c>
    </row>
    <row r="118" spans="1:16">
      <c r="A118" t="str">
        <f>IF(采购录入!A108="","","采购")</f>
        <v/>
      </c>
      <c r="B118" t="str">
        <f>IF(采购录入!A108="","",采购录入!A108)</f>
        <v/>
      </c>
      <c r="C118" t="str">
        <f>IF(采购录入!A108="","",采购录入!C108)</f>
        <v/>
      </c>
      <c r="D118" t="str">
        <f>IF(采购录入!A108="","",采购录入!D108)</f>
        <v/>
      </c>
      <c r="E118" t="str">
        <f>IF(采购录入!A108="","",采购录入!I108)</f>
        <v/>
      </c>
      <c r="F118" t="str">
        <f>IF(采购录入!A108="","",采购录入!J108)</f>
        <v/>
      </c>
      <c r="G118" t="str">
        <f>IF(C118="","",SUMIFS(资金流水!$K$4:$K$203,资金流水!$F$4:$F$203,C118,资金流水!$D$4:$D$203,"供应商付款",资金流水!$A$4:$A$203,"&lt;="&amp;EOMONTH(应付跟进!$B$2,0)))</f>
        <v/>
      </c>
      <c r="H118" t="str">
        <f>IF(C118="","",SUMIFS($E$4:E117,$C$4:C117,C118))</f>
        <v/>
      </c>
      <c r="L118" t="str">
        <f>IF(C118="","",IF(OR(K118&lt;=0,F118=""),"",F118-EOMONTH(应付跟进!$B$2,0)))</f>
        <v/>
      </c>
      <c r="O118" t="str">
        <f>IF(采购录入!A108="","",采购录入!L108)</f>
        <v/>
      </c>
      <c r="P118" t="str">
        <f>IF(采购录入!A108="","",采购录入!M108)</f>
        <v/>
      </c>
    </row>
    <row r="119" spans="1:16">
      <c r="A119" t="str">
        <f>IF(采购录入!A109="","","采购")</f>
        <v/>
      </c>
      <c r="B119" t="str">
        <f>IF(采购录入!A109="","",采购录入!A109)</f>
        <v/>
      </c>
      <c r="C119" t="str">
        <f>IF(采购录入!A109="","",采购录入!C109)</f>
        <v/>
      </c>
      <c r="D119" t="str">
        <f>IF(采购录入!A109="","",采购录入!D109)</f>
        <v/>
      </c>
      <c r="E119" t="str">
        <f>IF(采购录入!A109="","",采购录入!I109)</f>
        <v/>
      </c>
      <c r="F119" t="str">
        <f>IF(采购录入!A109="","",采购录入!J109)</f>
        <v/>
      </c>
      <c r="G119" t="str">
        <f>IF(C119="","",SUMIFS(资金流水!$K$4:$K$203,资金流水!$F$4:$F$203,C119,资金流水!$D$4:$D$203,"供应商付款",资金流水!$A$4:$A$203,"&lt;="&amp;EOMONTH(应付跟进!$B$2,0)))</f>
        <v/>
      </c>
      <c r="H119" t="str">
        <f>IF(C119="","",SUMIFS($E$4:E118,$C$4:C118,C119))</f>
        <v/>
      </c>
      <c r="L119" t="str">
        <f>IF(C119="","",IF(OR(K119&lt;=0,F119=""),"",F119-EOMONTH(应付跟进!$B$2,0)))</f>
        <v/>
      </c>
      <c r="O119" t="str">
        <f>IF(采购录入!A109="","",采购录入!L109)</f>
        <v/>
      </c>
      <c r="P119" t="str">
        <f>IF(采购录入!A109="","",采购录入!M109)</f>
        <v/>
      </c>
    </row>
    <row r="120" spans="1:16">
      <c r="A120" t="str">
        <f>IF(采购录入!A110="","","采购")</f>
        <v/>
      </c>
      <c r="B120" t="str">
        <f>IF(采购录入!A110="","",采购录入!A110)</f>
        <v/>
      </c>
      <c r="C120" t="str">
        <f>IF(采购录入!A110="","",采购录入!C110)</f>
        <v/>
      </c>
      <c r="D120" t="str">
        <f>IF(采购录入!A110="","",采购录入!D110)</f>
        <v/>
      </c>
      <c r="E120" t="str">
        <f>IF(采购录入!A110="","",采购录入!I110)</f>
        <v/>
      </c>
      <c r="F120" t="str">
        <f>IF(采购录入!A110="","",采购录入!J110)</f>
        <v/>
      </c>
      <c r="G120" t="str">
        <f>IF(C120="","",SUMIFS(资金流水!$K$4:$K$203,资金流水!$F$4:$F$203,C120,资金流水!$D$4:$D$203,"供应商付款",资金流水!$A$4:$A$203,"&lt;="&amp;EOMONTH(应付跟进!$B$2,0)))</f>
        <v/>
      </c>
      <c r="H120" t="str">
        <f>IF(C120="","",SUMIFS($E$4:E119,$C$4:C119,C120))</f>
        <v/>
      </c>
      <c r="L120" t="str">
        <f>IF(C120="","",IF(OR(K120&lt;=0,F120=""),"",F120-EOMONTH(应付跟进!$B$2,0)))</f>
        <v/>
      </c>
      <c r="O120" t="str">
        <f>IF(采购录入!A110="","",采购录入!L110)</f>
        <v/>
      </c>
      <c r="P120" t="str">
        <f>IF(采购录入!A110="","",采购录入!M110)</f>
        <v/>
      </c>
    </row>
    <row r="121" spans="1:16">
      <c r="A121" t="str">
        <f>IF(采购录入!A111="","","采购")</f>
        <v/>
      </c>
      <c r="B121" t="str">
        <f>IF(采购录入!A111="","",采购录入!A111)</f>
        <v/>
      </c>
      <c r="C121" t="str">
        <f>IF(采购录入!A111="","",采购录入!C111)</f>
        <v/>
      </c>
      <c r="D121" t="str">
        <f>IF(采购录入!A111="","",采购录入!D111)</f>
        <v/>
      </c>
      <c r="E121" t="str">
        <f>IF(采购录入!A111="","",采购录入!I111)</f>
        <v/>
      </c>
      <c r="F121" t="str">
        <f>IF(采购录入!A111="","",采购录入!J111)</f>
        <v/>
      </c>
      <c r="G121" t="str">
        <f>IF(C121="","",SUMIFS(资金流水!$K$4:$K$203,资金流水!$F$4:$F$203,C121,资金流水!$D$4:$D$203,"供应商付款",资金流水!$A$4:$A$203,"&lt;="&amp;EOMONTH(应付跟进!$B$2,0)))</f>
        <v/>
      </c>
      <c r="H121" t="str">
        <f>IF(C121="","",SUMIFS($E$4:E120,$C$4:C120,C121))</f>
        <v/>
      </c>
      <c r="L121" t="str">
        <f>IF(C121="","",IF(OR(K121&lt;=0,F121=""),"",F121-EOMONTH(应付跟进!$B$2,0)))</f>
        <v/>
      </c>
      <c r="O121" t="str">
        <f>IF(采购录入!A111="","",采购录入!L111)</f>
        <v/>
      </c>
      <c r="P121" t="str">
        <f>IF(采购录入!A111="","",采购录入!M111)</f>
        <v/>
      </c>
    </row>
    <row r="122" spans="1:16">
      <c r="A122" t="str">
        <f>IF(采购录入!A112="","","采购")</f>
        <v/>
      </c>
      <c r="B122" t="str">
        <f>IF(采购录入!A112="","",采购录入!A112)</f>
        <v/>
      </c>
      <c r="C122" t="str">
        <f>IF(采购录入!A112="","",采购录入!C112)</f>
        <v/>
      </c>
      <c r="D122" t="str">
        <f>IF(采购录入!A112="","",采购录入!D112)</f>
        <v/>
      </c>
      <c r="E122" t="str">
        <f>IF(采购录入!A112="","",采购录入!I112)</f>
        <v/>
      </c>
      <c r="F122" t="str">
        <f>IF(采购录入!A112="","",采购录入!J112)</f>
        <v/>
      </c>
      <c r="G122" t="str">
        <f>IF(C122="","",SUMIFS(资金流水!$K$4:$K$203,资金流水!$F$4:$F$203,C122,资金流水!$D$4:$D$203,"供应商付款",资金流水!$A$4:$A$203,"&lt;="&amp;EOMONTH(应付跟进!$B$2,0)))</f>
        <v/>
      </c>
      <c r="H122" t="str">
        <f>IF(C122="","",SUMIFS($E$4:E121,$C$4:C121,C122))</f>
        <v/>
      </c>
      <c r="L122" t="str">
        <f>IF(C122="","",IF(OR(K122&lt;=0,F122=""),"",F122-EOMONTH(应付跟进!$B$2,0)))</f>
        <v/>
      </c>
      <c r="O122" t="str">
        <f>IF(采购录入!A112="","",采购录入!L112)</f>
        <v/>
      </c>
      <c r="P122" t="str">
        <f>IF(采购录入!A112="","",采购录入!M112)</f>
        <v/>
      </c>
    </row>
    <row r="123" spans="1:16">
      <c r="A123" t="str">
        <f>IF(采购录入!A113="","","采购")</f>
        <v/>
      </c>
      <c r="B123" t="str">
        <f>IF(采购录入!A113="","",采购录入!A113)</f>
        <v/>
      </c>
      <c r="C123" t="str">
        <f>IF(采购录入!A113="","",采购录入!C113)</f>
        <v/>
      </c>
      <c r="D123" t="str">
        <f>IF(采购录入!A113="","",采购录入!D113)</f>
        <v/>
      </c>
      <c r="E123" t="str">
        <f>IF(采购录入!A113="","",采购录入!I113)</f>
        <v/>
      </c>
      <c r="F123" t="str">
        <f>IF(采购录入!A113="","",采购录入!J113)</f>
        <v/>
      </c>
      <c r="G123" t="str">
        <f>IF(C123="","",SUMIFS(资金流水!$K$4:$K$203,资金流水!$F$4:$F$203,C123,资金流水!$D$4:$D$203,"供应商付款",资金流水!$A$4:$A$203,"&lt;="&amp;EOMONTH(应付跟进!$B$2,0)))</f>
        <v/>
      </c>
      <c r="H123" t="str">
        <f>IF(C123="","",SUMIFS($E$4:E122,$C$4:C122,C123))</f>
        <v/>
      </c>
      <c r="L123" t="str">
        <f>IF(C123="","",IF(OR(K123&lt;=0,F123=""),"",F123-EOMONTH(应付跟进!$B$2,0)))</f>
        <v/>
      </c>
      <c r="O123" t="str">
        <f>IF(采购录入!A113="","",采购录入!L113)</f>
        <v/>
      </c>
      <c r="P123" t="str">
        <f>IF(采购录入!A113="","",采购录入!M113)</f>
        <v/>
      </c>
    </row>
    <row r="124" spans="1:16">
      <c r="A124" t="str">
        <f>IF(采购录入!A114="","","采购")</f>
        <v/>
      </c>
      <c r="B124" t="str">
        <f>IF(采购录入!A114="","",采购录入!A114)</f>
        <v/>
      </c>
      <c r="C124" t="str">
        <f>IF(采购录入!A114="","",采购录入!C114)</f>
        <v/>
      </c>
      <c r="D124" t="str">
        <f>IF(采购录入!A114="","",采购录入!D114)</f>
        <v/>
      </c>
      <c r="E124" t="str">
        <f>IF(采购录入!A114="","",采购录入!I114)</f>
        <v/>
      </c>
      <c r="F124" t="str">
        <f>IF(采购录入!A114="","",采购录入!J114)</f>
        <v/>
      </c>
      <c r="G124" t="str">
        <f>IF(C124="","",SUMIFS(资金流水!$K$4:$K$203,资金流水!$F$4:$F$203,C124,资金流水!$D$4:$D$203,"供应商付款",资金流水!$A$4:$A$203,"&lt;="&amp;EOMONTH(应付跟进!$B$2,0)))</f>
        <v/>
      </c>
      <c r="H124" t="str">
        <f>IF(C124="","",SUMIFS($E$4:E123,$C$4:C123,C124))</f>
        <v/>
      </c>
      <c r="L124" t="str">
        <f>IF(C124="","",IF(OR(K124&lt;=0,F124=""),"",F124-EOMONTH(应付跟进!$B$2,0)))</f>
        <v/>
      </c>
      <c r="O124" t="str">
        <f>IF(采购录入!A114="","",采购录入!L114)</f>
        <v/>
      </c>
      <c r="P124" t="str">
        <f>IF(采购录入!A114="","",采购录入!M114)</f>
        <v/>
      </c>
    </row>
    <row r="125" spans="1:16">
      <c r="A125" t="str">
        <f>IF(采购录入!A115="","","采购")</f>
        <v/>
      </c>
      <c r="B125" t="str">
        <f>IF(采购录入!A115="","",采购录入!A115)</f>
        <v/>
      </c>
      <c r="C125" t="str">
        <f>IF(采购录入!A115="","",采购录入!C115)</f>
        <v/>
      </c>
      <c r="D125" t="str">
        <f>IF(采购录入!A115="","",采购录入!D115)</f>
        <v/>
      </c>
      <c r="E125" t="str">
        <f>IF(采购录入!A115="","",采购录入!I115)</f>
        <v/>
      </c>
      <c r="F125" t="str">
        <f>IF(采购录入!A115="","",采购录入!J115)</f>
        <v/>
      </c>
      <c r="G125" t="str">
        <f>IF(C125="","",SUMIFS(资金流水!$K$4:$K$203,资金流水!$F$4:$F$203,C125,资金流水!$D$4:$D$203,"供应商付款",资金流水!$A$4:$A$203,"&lt;="&amp;EOMONTH(应付跟进!$B$2,0)))</f>
        <v/>
      </c>
      <c r="H125" t="str">
        <f>IF(C125="","",SUMIFS($E$4:E124,$C$4:C124,C125))</f>
        <v/>
      </c>
      <c r="L125" t="str">
        <f>IF(C125="","",IF(OR(K125&lt;=0,F125=""),"",F125-EOMONTH(应付跟进!$B$2,0)))</f>
        <v/>
      </c>
      <c r="O125" t="str">
        <f>IF(采购录入!A115="","",采购录入!L115)</f>
        <v/>
      </c>
      <c r="P125" t="str">
        <f>IF(采购录入!A115="","",采购录入!M115)</f>
        <v/>
      </c>
    </row>
    <row r="126" spans="1:16">
      <c r="A126" t="str">
        <f>IF(采购录入!A116="","","采购")</f>
        <v/>
      </c>
      <c r="B126" t="str">
        <f>IF(采购录入!A116="","",采购录入!A116)</f>
        <v/>
      </c>
      <c r="C126" t="str">
        <f>IF(采购录入!A116="","",采购录入!C116)</f>
        <v/>
      </c>
      <c r="D126" t="str">
        <f>IF(采购录入!A116="","",采购录入!D116)</f>
        <v/>
      </c>
      <c r="E126" t="str">
        <f>IF(采购录入!A116="","",采购录入!I116)</f>
        <v/>
      </c>
      <c r="F126" t="str">
        <f>IF(采购录入!A116="","",采购录入!J116)</f>
        <v/>
      </c>
      <c r="G126" t="str">
        <f>IF(C126="","",SUMIFS(资金流水!$K$4:$K$203,资金流水!$F$4:$F$203,C126,资金流水!$D$4:$D$203,"供应商付款",资金流水!$A$4:$A$203,"&lt;="&amp;EOMONTH(应付跟进!$B$2,0)))</f>
        <v/>
      </c>
      <c r="H126" t="str">
        <f>IF(C126="","",SUMIFS($E$4:E125,$C$4:C125,C126))</f>
        <v/>
      </c>
      <c r="L126" t="str">
        <f>IF(C126="","",IF(OR(K126&lt;=0,F126=""),"",F126-EOMONTH(应付跟进!$B$2,0)))</f>
        <v/>
      </c>
      <c r="O126" t="str">
        <f>IF(采购录入!A116="","",采购录入!L116)</f>
        <v/>
      </c>
      <c r="P126" t="str">
        <f>IF(采购录入!A116="","",采购录入!M116)</f>
        <v/>
      </c>
    </row>
    <row r="127" spans="1:16">
      <c r="A127" t="str">
        <f>IF(采购录入!A117="","","采购")</f>
        <v/>
      </c>
      <c r="B127" t="str">
        <f>IF(采购录入!A117="","",采购录入!A117)</f>
        <v/>
      </c>
      <c r="C127" t="str">
        <f>IF(采购录入!A117="","",采购录入!C117)</f>
        <v/>
      </c>
      <c r="D127" t="str">
        <f>IF(采购录入!A117="","",采购录入!D117)</f>
        <v/>
      </c>
      <c r="E127" t="str">
        <f>IF(采购录入!A117="","",采购录入!I117)</f>
        <v/>
      </c>
      <c r="F127" t="str">
        <f>IF(采购录入!A117="","",采购录入!J117)</f>
        <v/>
      </c>
      <c r="G127" t="str">
        <f>IF(C127="","",SUMIFS(资金流水!$K$4:$K$203,资金流水!$F$4:$F$203,C127,资金流水!$D$4:$D$203,"供应商付款",资金流水!$A$4:$A$203,"&lt;="&amp;EOMONTH(应付跟进!$B$2,0)))</f>
        <v/>
      </c>
      <c r="H127" t="str">
        <f>IF(C127="","",SUMIFS($E$4:E126,$C$4:C126,C127))</f>
        <v/>
      </c>
      <c r="L127" t="str">
        <f>IF(C127="","",IF(OR(K127&lt;=0,F127=""),"",F127-EOMONTH(应付跟进!$B$2,0)))</f>
        <v/>
      </c>
      <c r="O127" t="str">
        <f>IF(采购录入!A117="","",采购录入!L117)</f>
        <v/>
      </c>
      <c r="P127" t="str">
        <f>IF(采购录入!A117="","",采购录入!M117)</f>
        <v/>
      </c>
    </row>
    <row r="128" spans="1:16">
      <c r="A128" t="str">
        <f>IF(采购录入!A118="","","采购")</f>
        <v/>
      </c>
      <c r="B128" t="str">
        <f>IF(采购录入!A118="","",采购录入!A118)</f>
        <v/>
      </c>
      <c r="C128" t="str">
        <f>IF(采购录入!A118="","",采购录入!C118)</f>
        <v/>
      </c>
      <c r="D128" t="str">
        <f>IF(采购录入!A118="","",采购录入!D118)</f>
        <v/>
      </c>
      <c r="E128" t="str">
        <f>IF(采购录入!A118="","",采购录入!I118)</f>
        <v/>
      </c>
      <c r="F128" t="str">
        <f>IF(采购录入!A118="","",采购录入!J118)</f>
        <v/>
      </c>
      <c r="G128" t="str">
        <f>IF(C128="","",SUMIFS(资金流水!$K$4:$K$203,资金流水!$F$4:$F$203,C128,资金流水!$D$4:$D$203,"供应商付款",资金流水!$A$4:$A$203,"&lt;="&amp;EOMONTH(应付跟进!$B$2,0)))</f>
        <v/>
      </c>
      <c r="H128" t="str">
        <f>IF(C128="","",SUMIFS($E$4:E127,$C$4:C127,C128))</f>
        <v/>
      </c>
      <c r="L128" t="str">
        <f>IF(C128="","",IF(OR(K128&lt;=0,F128=""),"",F128-EOMONTH(应付跟进!$B$2,0)))</f>
        <v/>
      </c>
      <c r="O128" t="str">
        <f>IF(采购录入!A118="","",采购录入!L118)</f>
        <v/>
      </c>
      <c r="P128" t="str">
        <f>IF(采购录入!A118="","",采购录入!M118)</f>
        <v/>
      </c>
    </row>
    <row r="129" spans="1:16">
      <c r="A129" t="str">
        <f>IF(采购录入!A119="","","采购")</f>
        <v/>
      </c>
      <c r="B129" t="str">
        <f>IF(采购录入!A119="","",采购录入!A119)</f>
        <v/>
      </c>
      <c r="C129" t="str">
        <f>IF(采购录入!A119="","",采购录入!C119)</f>
        <v/>
      </c>
      <c r="D129" t="str">
        <f>IF(采购录入!A119="","",采购录入!D119)</f>
        <v/>
      </c>
      <c r="E129" t="str">
        <f>IF(采购录入!A119="","",采购录入!I119)</f>
        <v/>
      </c>
      <c r="F129" t="str">
        <f>IF(采购录入!A119="","",采购录入!J119)</f>
        <v/>
      </c>
      <c r="G129" t="str">
        <f>IF(C129="","",SUMIFS(资金流水!$K$4:$K$203,资金流水!$F$4:$F$203,C129,资金流水!$D$4:$D$203,"供应商付款",资金流水!$A$4:$A$203,"&lt;="&amp;EOMONTH(应付跟进!$B$2,0)))</f>
        <v/>
      </c>
      <c r="H129" t="str">
        <f>IF(C129="","",SUMIFS($E$4:E128,$C$4:C128,C129))</f>
        <v/>
      </c>
      <c r="L129" t="str">
        <f>IF(C129="","",IF(OR(K129&lt;=0,F129=""),"",F129-EOMONTH(应付跟进!$B$2,0)))</f>
        <v/>
      </c>
      <c r="O129" t="str">
        <f>IF(采购录入!A119="","",采购录入!L119)</f>
        <v/>
      </c>
      <c r="P129" t="str">
        <f>IF(采购录入!A119="","",采购录入!M119)</f>
        <v/>
      </c>
    </row>
    <row r="130" spans="1:16">
      <c r="A130" t="str">
        <f>IF(采购录入!A120="","","采购")</f>
        <v/>
      </c>
      <c r="B130" t="str">
        <f>IF(采购录入!A120="","",采购录入!A120)</f>
        <v/>
      </c>
      <c r="C130" t="str">
        <f>IF(采购录入!A120="","",采购录入!C120)</f>
        <v/>
      </c>
      <c r="D130" t="str">
        <f>IF(采购录入!A120="","",采购录入!D120)</f>
        <v/>
      </c>
      <c r="E130" t="str">
        <f>IF(采购录入!A120="","",采购录入!I120)</f>
        <v/>
      </c>
      <c r="F130" t="str">
        <f>IF(采购录入!A120="","",采购录入!J120)</f>
        <v/>
      </c>
      <c r="G130" t="str">
        <f>IF(C130="","",SUMIFS(资金流水!$K$4:$K$203,资金流水!$F$4:$F$203,C130,资金流水!$D$4:$D$203,"供应商付款",资金流水!$A$4:$A$203,"&lt;="&amp;EOMONTH(应付跟进!$B$2,0)))</f>
        <v/>
      </c>
      <c r="H130" t="str">
        <f>IF(C130="","",SUMIFS($E$4:E129,$C$4:C129,C130))</f>
        <v/>
      </c>
      <c r="L130" t="str">
        <f>IF(C130="","",IF(OR(K130&lt;=0,F130=""),"",F130-EOMONTH(应付跟进!$B$2,0)))</f>
        <v/>
      </c>
      <c r="O130" t="str">
        <f>IF(采购录入!A120="","",采购录入!L120)</f>
        <v/>
      </c>
      <c r="P130" t="str">
        <f>IF(采购录入!A120="","",采购录入!M120)</f>
        <v/>
      </c>
    </row>
    <row r="131" spans="1:16">
      <c r="A131" t="str">
        <f>IF(采购录入!A121="","","采购")</f>
        <v/>
      </c>
      <c r="B131" t="str">
        <f>IF(采购录入!A121="","",采购录入!A121)</f>
        <v/>
      </c>
      <c r="C131" t="str">
        <f>IF(采购录入!A121="","",采购录入!C121)</f>
        <v/>
      </c>
      <c r="D131" t="str">
        <f>IF(采购录入!A121="","",采购录入!D121)</f>
        <v/>
      </c>
      <c r="E131" t="str">
        <f>IF(采购录入!A121="","",采购录入!I121)</f>
        <v/>
      </c>
      <c r="F131" t="str">
        <f>IF(采购录入!A121="","",采购录入!J121)</f>
        <v/>
      </c>
      <c r="G131" t="str">
        <f>IF(C131="","",SUMIFS(资金流水!$K$4:$K$203,资金流水!$F$4:$F$203,C131,资金流水!$D$4:$D$203,"供应商付款",资金流水!$A$4:$A$203,"&lt;="&amp;EOMONTH(应付跟进!$B$2,0)))</f>
        <v/>
      </c>
      <c r="H131" t="str">
        <f>IF(C131="","",SUMIFS($E$4:E130,$C$4:C130,C131))</f>
        <v/>
      </c>
      <c r="L131" t="str">
        <f>IF(C131="","",IF(OR(K131&lt;=0,F131=""),"",F131-EOMONTH(应付跟进!$B$2,0)))</f>
        <v/>
      </c>
      <c r="O131" t="str">
        <f>IF(采购录入!A121="","",采购录入!L121)</f>
        <v/>
      </c>
      <c r="P131" t="str">
        <f>IF(采购录入!A121="","",采购录入!M121)</f>
        <v/>
      </c>
    </row>
    <row r="132" spans="1:16">
      <c r="A132" t="str">
        <f>IF(采购录入!A122="","","采购")</f>
        <v/>
      </c>
      <c r="B132" t="str">
        <f>IF(采购录入!A122="","",采购录入!A122)</f>
        <v/>
      </c>
      <c r="C132" t="str">
        <f>IF(采购录入!A122="","",采购录入!C122)</f>
        <v/>
      </c>
      <c r="D132" t="str">
        <f>IF(采购录入!A122="","",采购录入!D122)</f>
        <v/>
      </c>
      <c r="E132" t="str">
        <f>IF(采购录入!A122="","",采购录入!I122)</f>
        <v/>
      </c>
      <c r="F132" t="str">
        <f>IF(采购录入!A122="","",采购录入!J122)</f>
        <v/>
      </c>
      <c r="G132" t="str">
        <f>IF(C132="","",SUMIFS(资金流水!$K$4:$K$203,资金流水!$F$4:$F$203,C132,资金流水!$D$4:$D$203,"供应商付款",资金流水!$A$4:$A$203,"&lt;="&amp;EOMONTH(应付跟进!$B$2,0)))</f>
        <v/>
      </c>
      <c r="H132" t="str">
        <f>IF(C132="","",SUMIFS($E$4:E131,$C$4:C131,C132))</f>
        <v/>
      </c>
      <c r="L132" t="str">
        <f>IF(C132="","",IF(OR(K132&lt;=0,F132=""),"",F132-EOMONTH(应付跟进!$B$2,0)))</f>
        <v/>
      </c>
      <c r="O132" t="str">
        <f>IF(采购录入!A122="","",采购录入!L122)</f>
        <v/>
      </c>
      <c r="P132" t="str">
        <f>IF(采购录入!A122="","",采购录入!M122)</f>
        <v/>
      </c>
    </row>
    <row r="133" spans="1:16">
      <c r="A133" t="str">
        <f>IF(采购录入!A123="","","采购")</f>
        <v/>
      </c>
      <c r="B133" t="str">
        <f>IF(采购录入!A123="","",采购录入!A123)</f>
        <v/>
      </c>
      <c r="C133" t="str">
        <f>IF(采购录入!A123="","",采购录入!C123)</f>
        <v/>
      </c>
      <c r="D133" t="str">
        <f>IF(采购录入!A123="","",采购录入!D123)</f>
        <v/>
      </c>
      <c r="E133" t="str">
        <f>IF(采购录入!A123="","",采购录入!I123)</f>
        <v/>
      </c>
      <c r="F133" t="str">
        <f>IF(采购录入!A123="","",采购录入!J123)</f>
        <v/>
      </c>
      <c r="G133" t="str">
        <f>IF(C133="","",SUMIFS(资金流水!$K$4:$K$203,资金流水!$F$4:$F$203,C133,资金流水!$D$4:$D$203,"供应商付款",资金流水!$A$4:$A$203,"&lt;="&amp;EOMONTH(应付跟进!$B$2,0)))</f>
        <v/>
      </c>
      <c r="H133" t="str">
        <f>IF(C133="","",SUMIFS($E$4:E132,$C$4:C132,C133))</f>
        <v/>
      </c>
      <c r="L133" t="str">
        <f>IF(C133="","",IF(OR(K133&lt;=0,F133=""),"",F133-EOMONTH(应付跟进!$B$2,0)))</f>
        <v/>
      </c>
      <c r="O133" t="str">
        <f>IF(采购录入!A123="","",采购录入!L123)</f>
        <v/>
      </c>
      <c r="P133" t="str">
        <f>IF(采购录入!A123="","",采购录入!M123)</f>
        <v/>
      </c>
    </row>
    <row r="134" spans="1:16">
      <c r="A134" t="str">
        <f>IF(采购录入!A124="","","采购")</f>
        <v/>
      </c>
      <c r="B134" t="str">
        <f>IF(采购录入!A124="","",采购录入!A124)</f>
        <v/>
      </c>
      <c r="C134" t="str">
        <f>IF(采购录入!A124="","",采购录入!C124)</f>
        <v/>
      </c>
      <c r="D134" t="str">
        <f>IF(采购录入!A124="","",采购录入!D124)</f>
        <v/>
      </c>
      <c r="E134" t="str">
        <f>IF(采购录入!A124="","",采购录入!I124)</f>
        <v/>
      </c>
      <c r="F134" t="str">
        <f>IF(采购录入!A124="","",采购录入!J124)</f>
        <v/>
      </c>
      <c r="G134" t="str">
        <f>IF(C134="","",SUMIFS(资金流水!$K$4:$K$203,资金流水!$F$4:$F$203,C134,资金流水!$D$4:$D$203,"供应商付款",资金流水!$A$4:$A$203,"&lt;="&amp;EOMONTH(应付跟进!$B$2,0)))</f>
        <v/>
      </c>
      <c r="H134" t="str">
        <f>IF(C134="","",SUMIFS($E$4:E133,$C$4:C133,C134))</f>
        <v/>
      </c>
      <c r="L134" t="str">
        <f>IF(C134="","",IF(OR(K134&lt;=0,F134=""),"",F134-EOMONTH(应付跟进!$B$2,0)))</f>
        <v/>
      </c>
      <c r="O134" t="str">
        <f>IF(采购录入!A124="","",采购录入!L124)</f>
        <v/>
      </c>
      <c r="P134" t="str">
        <f>IF(采购录入!A124="","",采购录入!M124)</f>
        <v/>
      </c>
    </row>
    <row r="135" spans="1:16">
      <c r="A135" t="str">
        <f>IF(采购录入!A125="","","采购")</f>
        <v/>
      </c>
      <c r="B135" t="str">
        <f>IF(采购录入!A125="","",采购录入!A125)</f>
        <v/>
      </c>
      <c r="C135" t="str">
        <f>IF(采购录入!A125="","",采购录入!C125)</f>
        <v/>
      </c>
      <c r="D135" t="str">
        <f>IF(采购录入!A125="","",采购录入!D125)</f>
        <v/>
      </c>
      <c r="E135" t="str">
        <f>IF(采购录入!A125="","",采购录入!I125)</f>
        <v/>
      </c>
      <c r="F135" t="str">
        <f>IF(采购录入!A125="","",采购录入!J125)</f>
        <v/>
      </c>
      <c r="G135" t="str">
        <f>IF(C135="","",SUMIFS(资金流水!$K$4:$K$203,资金流水!$F$4:$F$203,C135,资金流水!$D$4:$D$203,"供应商付款",资金流水!$A$4:$A$203,"&lt;="&amp;EOMONTH(应付跟进!$B$2,0)))</f>
        <v/>
      </c>
      <c r="H135" t="str">
        <f>IF(C135="","",SUMIFS($E$4:E134,$C$4:C134,C135))</f>
        <v/>
      </c>
      <c r="L135" t="str">
        <f>IF(C135="","",IF(OR(K135&lt;=0,F135=""),"",F135-EOMONTH(应付跟进!$B$2,0)))</f>
        <v/>
      </c>
      <c r="O135" t="str">
        <f>IF(采购录入!A125="","",采购录入!L125)</f>
        <v/>
      </c>
      <c r="P135" t="str">
        <f>IF(采购录入!A125="","",采购录入!M125)</f>
        <v/>
      </c>
    </row>
    <row r="136" spans="1:16">
      <c r="A136" t="str">
        <f>IF(采购录入!A126="","","采购")</f>
        <v/>
      </c>
      <c r="B136" t="str">
        <f>IF(采购录入!A126="","",采购录入!A126)</f>
        <v/>
      </c>
      <c r="C136" t="str">
        <f>IF(采购录入!A126="","",采购录入!C126)</f>
        <v/>
      </c>
      <c r="D136" t="str">
        <f>IF(采购录入!A126="","",采购录入!D126)</f>
        <v/>
      </c>
      <c r="E136" t="str">
        <f>IF(采购录入!A126="","",采购录入!I126)</f>
        <v/>
      </c>
      <c r="F136" t="str">
        <f>IF(采购录入!A126="","",采购录入!J126)</f>
        <v/>
      </c>
      <c r="G136" t="str">
        <f>IF(C136="","",SUMIFS(资金流水!$K$4:$K$203,资金流水!$F$4:$F$203,C136,资金流水!$D$4:$D$203,"供应商付款",资金流水!$A$4:$A$203,"&lt;="&amp;EOMONTH(应付跟进!$B$2,0)))</f>
        <v/>
      </c>
      <c r="H136" t="str">
        <f>IF(C136="","",SUMIFS($E$4:E135,$C$4:C135,C136))</f>
        <v/>
      </c>
      <c r="L136" t="str">
        <f>IF(C136="","",IF(OR(K136&lt;=0,F136=""),"",F136-EOMONTH(应付跟进!$B$2,0)))</f>
        <v/>
      </c>
      <c r="O136" t="str">
        <f>IF(采购录入!A126="","",采购录入!L126)</f>
        <v/>
      </c>
      <c r="P136" t="str">
        <f>IF(采购录入!A126="","",采购录入!M126)</f>
        <v/>
      </c>
    </row>
    <row r="137" spans="1:16">
      <c r="A137" t="str">
        <f>IF(采购录入!A127="","","采购")</f>
        <v/>
      </c>
      <c r="B137" t="str">
        <f>IF(采购录入!A127="","",采购录入!A127)</f>
        <v/>
      </c>
      <c r="C137" t="str">
        <f>IF(采购录入!A127="","",采购录入!C127)</f>
        <v/>
      </c>
      <c r="D137" t="str">
        <f>IF(采购录入!A127="","",采购录入!D127)</f>
        <v/>
      </c>
      <c r="E137" t="str">
        <f>IF(采购录入!A127="","",采购录入!I127)</f>
        <v/>
      </c>
      <c r="F137" t="str">
        <f>IF(采购录入!A127="","",采购录入!J127)</f>
        <v/>
      </c>
      <c r="G137" t="str">
        <f>IF(C137="","",SUMIFS(资金流水!$K$4:$K$203,资金流水!$F$4:$F$203,C137,资金流水!$D$4:$D$203,"供应商付款",资金流水!$A$4:$A$203,"&lt;="&amp;EOMONTH(应付跟进!$B$2,0)))</f>
        <v/>
      </c>
      <c r="H137" t="str">
        <f>IF(C137="","",SUMIFS($E$4:E136,$C$4:C136,C137))</f>
        <v/>
      </c>
      <c r="L137" t="str">
        <f>IF(C137="","",IF(OR(K137&lt;=0,F137=""),"",F137-EOMONTH(应付跟进!$B$2,0)))</f>
        <v/>
      </c>
      <c r="O137" t="str">
        <f>IF(采购录入!A127="","",采购录入!L127)</f>
        <v/>
      </c>
      <c r="P137" t="str">
        <f>IF(采购录入!A127="","",采购录入!M127)</f>
        <v/>
      </c>
    </row>
    <row r="138" spans="1:16">
      <c r="A138" t="str">
        <f>IF(采购录入!A128="","","采购")</f>
        <v/>
      </c>
      <c r="B138" t="str">
        <f>IF(采购录入!A128="","",采购录入!A128)</f>
        <v/>
      </c>
      <c r="C138" t="str">
        <f>IF(采购录入!A128="","",采购录入!C128)</f>
        <v/>
      </c>
      <c r="D138" t="str">
        <f>IF(采购录入!A128="","",采购录入!D128)</f>
        <v/>
      </c>
      <c r="E138" t="str">
        <f>IF(采购录入!A128="","",采购录入!I128)</f>
        <v/>
      </c>
      <c r="F138" t="str">
        <f>IF(采购录入!A128="","",采购录入!J128)</f>
        <v/>
      </c>
      <c r="G138" t="str">
        <f>IF(C138="","",SUMIFS(资金流水!$K$4:$K$203,资金流水!$F$4:$F$203,C138,资金流水!$D$4:$D$203,"供应商付款",资金流水!$A$4:$A$203,"&lt;="&amp;EOMONTH(应付跟进!$B$2,0)))</f>
        <v/>
      </c>
      <c r="H138" t="str">
        <f>IF(C138="","",SUMIFS($E$4:E137,$C$4:C137,C138))</f>
        <v/>
      </c>
      <c r="L138" t="str">
        <f>IF(C138="","",IF(OR(K138&lt;=0,F138=""),"",F138-EOMONTH(应付跟进!$B$2,0)))</f>
        <v/>
      </c>
      <c r="O138" t="str">
        <f>IF(采购录入!A128="","",采购录入!L128)</f>
        <v/>
      </c>
      <c r="P138" t="str">
        <f>IF(采购录入!A128="","",采购录入!M128)</f>
        <v/>
      </c>
    </row>
    <row r="139" spans="1:16">
      <c r="A139" t="str">
        <f>IF(采购录入!A129="","","采购")</f>
        <v/>
      </c>
      <c r="B139" t="str">
        <f>IF(采购录入!A129="","",采购录入!A129)</f>
        <v/>
      </c>
      <c r="C139" t="str">
        <f>IF(采购录入!A129="","",采购录入!C129)</f>
        <v/>
      </c>
      <c r="D139" t="str">
        <f>IF(采购录入!A129="","",采购录入!D129)</f>
        <v/>
      </c>
      <c r="E139" t="str">
        <f>IF(采购录入!A129="","",采购录入!I129)</f>
        <v/>
      </c>
      <c r="F139" t="str">
        <f>IF(采购录入!A129="","",采购录入!J129)</f>
        <v/>
      </c>
      <c r="G139" t="str">
        <f>IF(C139="","",SUMIFS(资金流水!$K$4:$K$203,资金流水!$F$4:$F$203,C139,资金流水!$D$4:$D$203,"供应商付款",资金流水!$A$4:$A$203,"&lt;="&amp;EOMONTH(应付跟进!$B$2,0)))</f>
        <v/>
      </c>
      <c r="H139" t="str">
        <f>IF(C139="","",SUMIFS($E$4:E138,$C$4:C138,C139))</f>
        <v/>
      </c>
      <c r="L139" t="str">
        <f>IF(C139="","",IF(OR(K139&lt;=0,F139=""),"",F139-EOMONTH(应付跟进!$B$2,0)))</f>
        <v/>
      </c>
      <c r="O139" t="str">
        <f>IF(采购录入!A129="","",采购录入!L129)</f>
        <v/>
      </c>
      <c r="P139" t="str">
        <f>IF(采购录入!A129="","",采购录入!M129)</f>
        <v/>
      </c>
    </row>
    <row r="140" spans="1:16">
      <c r="A140" t="str">
        <f>IF(采购录入!A130="","","采购")</f>
        <v/>
      </c>
      <c r="B140" t="str">
        <f>IF(采购录入!A130="","",采购录入!A130)</f>
        <v/>
      </c>
      <c r="C140" t="str">
        <f>IF(采购录入!A130="","",采购录入!C130)</f>
        <v/>
      </c>
      <c r="D140" t="str">
        <f>IF(采购录入!A130="","",采购录入!D130)</f>
        <v/>
      </c>
      <c r="E140" t="str">
        <f>IF(采购录入!A130="","",采购录入!I130)</f>
        <v/>
      </c>
      <c r="F140" t="str">
        <f>IF(采购录入!A130="","",采购录入!J130)</f>
        <v/>
      </c>
      <c r="G140" t="str">
        <f>IF(C140="","",SUMIFS(资金流水!$K$4:$K$203,资金流水!$F$4:$F$203,C140,资金流水!$D$4:$D$203,"供应商付款",资金流水!$A$4:$A$203,"&lt;="&amp;EOMONTH(应付跟进!$B$2,0)))</f>
        <v/>
      </c>
      <c r="H140" t="str">
        <f>IF(C140="","",SUMIFS($E$4:E139,$C$4:C139,C140))</f>
        <v/>
      </c>
      <c r="L140" t="str">
        <f>IF(C140="","",IF(OR(K140&lt;=0,F140=""),"",F140-EOMONTH(应付跟进!$B$2,0)))</f>
        <v/>
      </c>
      <c r="O140" t="str">
        <f>IF(采购录入!A130="","",采购录入!L130)</f>
        <v/>
      </c>
      <c r="P140" t="str">
        <f>IF(采购录入!A130="","",采购录入!M130)</f>
        <v/>
      </c>
    </row>
    <row r="141" spans="1:16">
      <c r="A141" t="str">
        <f>IF(采购录入!A131="","","采购")</f>
        <v/>
      </c>
      <c r="B141" t="str">
        <f>IF(采购录入!A131="","",采购录入!A131)</f>
        <v/>
      </c>
      <c r="C141" t="str">
        <f>IF(采购录入!A131="","",采购录入!C131)</f>
        <v/>
      </c>
      <c r="D141" t="str">
        <f>IF(采购录入!A131="","",采购录入!D131)</f>
        <v/>
      </c>
      <c r="E141" t="str">
        <f>IF(采购录入!A131="","",采购录入!I131)</f>
        <v/>
      </c>
      <c r="F141" t="str">
        <f>IF(采购录入!A131="","",采购录入!J131)</f>
        <v/>
      </c>
      <c r="G141" t="str">
        <f>IF(C141="","",SUMIFS(资金流水!$K$4:$K$203,资金流水!$F$4:$F$203,C141,资金流水!$D$4:$D$203,"供应商付款",资金流水!$A$4:$A$203,"&lt;="&amp;EOMONTH(应付跟进!$B$2,0)))</f>
        <v/>
      </c>
      <c r="H141" t="str">
        <f>IF(C141="","",SUMIFS($E$4:E140,$C$4:C140,C141))</f>
        <v/>
      </c>
      <c r="L141" t="str">
        <f>IF(C141="","",IF(OR(K141&lt;=0,F141=""),"",F141-EOMONTH(应付跟进!$B$2,0)))</f>
        <v/>
      </c>
      <c r="O141" t="str">
        <f>IF(采购录入!A131="","",采购录入!L131)</f>
        <v/>
      </c>
      <c r="P141" t="str">
        <f>IF(采购录入!A131="","",采购录入!M131)</f>
        <v/>
      </c>
    </row>
    <row r="142" spans="1:16">
      <c r="A142" t="str">
        <f>IF(采购录入!A132="","","采购")</f>
        <v/>
      </c>
      <c r="B142" t="str">
        <f>IF(采购录入!A132="","",采购录入!A132)</f>
        <v/>
      </c>
      <c r="C142" t="str">
        <f>IF(采购录入!A132="","",采购录入!C132)</f>
        <v/>
      </c>
      <c r="D142" t="str">
        <f>IF(采购录入!A132="","",采购录入!D132)</f>
        <v/>
      </c>
      <c r="E142" t="str">
        <f>IF(采购录入!A132="","",采购录入!I132)</f>
        <v/>
      </c>
      <c r="F142" t="str">
        <f>IF(采购录入!A132="","",采购录入!J132)</f>
        <v/>
      </c>
      <c r="G142" t="str">
        <f>IF(C142="","",SUMIFS(资金流水!$K$4:$K$203,资金流水!$F$4:$F$203,C142,资金流水!$D$4:$D$203,"供应商付款",资金流水!$A$4:$A$203,"&lt;="&amp;EOMONTH(应付跟进!$B$2,0)))</f>
        <v/>
      </c>
      <c r="H142" t="str">
        <f>IF(C142="","",SUMIFS($E$4:E141,$C$4:C141,C142))</f>
        <v/>
      </c>
      <c r="L142" t="str">
        <f>IF(C142="","",IF(OR(K142&lt;=0,F142=""),"",F142-EOMONTH(应付跟进!$B$2,0)))</f>
        <v/>
      </c>
      <c r="O142" t="str">
        <f>IF(采购录入!A132="","",采购录入!L132)</f>
        <v/>
      </c>
      <c r="P142" t="str">
        <f>IF(采购录入!A132="","",采购录入!M132)</f>
        <v/>
      </c>
    </row>
    <row r="143" spans="1:16">
      <c r="A143" t="str">
        <f>IF(采购录入!A133="","","采购")</f>
        <v/>
      </c>
      <c r="B143" t="str">
        <f>IF(采购录入!A133="","",采购录入!A133)</f>
        <v/>
      </c>
      <c r="C143" t="str">
        <f>IF(采购录入!A133="","",采购录入!C133)</f>
        <v/>
      </c>
      <c r="D143" t="str">
        <f>IF(采购录入!A133="","",采购录入!D133)</f>
        <v/>
      </c>
      <c r="E143" t="str">
        <f>IF(采购录入!A133="","",采购录入!I133)</f>
        <v/>
      </c>
      <c r="F143" t="str">
        <f>IF(采购录入!A133="","",采购录入!J133)</f>
        <v/>
      </c>
      <c r="G143" t="str">
        <f>IF(C143="","",SUMIFS(资金流水!$K$4:$K$203,资金流水!$F$4:$F$203,C143,资金流水!$D$4:$D$203,"供应商付款",资金流水!$A$4:$A$203,"&lt;="&amp;EOMONTH(应付跟进!$B$2,0)))</f>
        <v/>
      </c>
      <c r="H143" t="str">
        <f>IF(C143="","",SUMIFS($E$4:E142,$C$4:C142,C143))</f>
        <v/>
      </c>
      <c r="L143" t="str">
        <f>IF(C143="","",IF(OR(K143&lt;=0,F143=""),"",F143-EOMONTH(应付跟进!$B$2,0)))</f>
        <v/>
      </c>
      <c r="O143" t="str">
        <f>IF(采购录入!A133="","",采购录入!L133)</f>
        <v/>
      </c>
      <c r="P143" t="str">
        <f>IF(采购录入!A133="","",采购录入!M133)</f>
        <v/>
      </c>
    </row>
    <row r="144" spans="1:16">
      <c r="A144" t="str">
        <f>IF(采购录入!A134="","","采购")</f>
        <v/>
      </c>
      <c r="B144" t="str">
        <f>IF(采购录入!A134="","",采购录入!A134)</f>
        <v/>
      </c>
      <c r="C144" t="str">
        <f>IF(采购录入!A134="","",采购录入!C134)</f>
        <v/>
      </c>
      <c r="D144" t="str">
        <f>IF(采购录入!A134="","",采购录入!D134)</f>
        <v/>
      </c>
      <c r="E144" t="str">
        <f>IF(采购录入!A134="","",采购录入!I134)</f>
        <v/>
      </c>
      <c r="F144" t="str">
        <f>IF(采购录入!A134="","",采购录入!J134)</f>
        <v/>
      </c>
      <c r="G144" t="str">
        <f>IF(C144="","",SUMIFS(资金流水!$K$4:$K$203,资金流水!$F$4:$F$203,C144,资金流水!$D$4:$D$203,"供应商付款",资金流水!$A$4:$A$203,"&lt;="&amp;EOMONTH(应付跟进!$B$2,0)))</f>
        <v/>
      </c>
      <c r="H144" t="str">
        <f>IF(C144="","",SUMIFS($E$4:E143,$C$4:C143,C144))</f>
        <v/>
      </c>
      <c r="L144" t="str">
        <f>IF(C144="","",IF(OR(K144&lt;=0,F144=""),"",F144-EOMONTH(应付跟进!$B$2,0)))</f>
        <v/>
      </c>
      <c r="O144" t="str">
        <f>IF(采购录入!A134="","",采购录入!L134)</f>
        <v/>
      </c>
      <c r="P144" t="str">
        <f>IF(采购录入!A134="","",采购录入!M134)</f>
        <v/>
      </c>
    </row>
    <row r="145" spans="1:16">
      <c r="A145" t="str">
        <f>IF(采购录入!A135="","","采购")</f>
        <v/>
      </c>
      <c r="B145" t="str">
        <f>IF(采购录入!A135="","",采购录入!A135)</f>
        <v/>
      </c>
      <c r="C145" t="str">
        <f>IF(采购录入!A135="","",采购录入!C135)</f>
        <v/>
      </c>
      <c r="D145" t="str">
        <f>IF(采购录入!A135="","",采购录入!D135)</f>
        <v/>
      </c>
      <c r="E145" t="str">
        <f>IF(采购录入!A135="","",采购录入!I135)</f>
        <v/>
      </c>
      <c r="F145" t="str">
        <f>IF(采购录入!A135="","",采购录入!J135)</f>
        <v/>
      </c>
      <c r="G145" t="str">
        <f>IF(C145="","",SUMIFS(资金流水!$K$4:$K$203,资金流水!$F$4:$F$203,C145,资金流水!$D$4:$D$203,"供应商付款",资金流水!$A$4:$A$203,"&lt;="&amp;EOMONTH(应付跟进!$B$2,0)))</f>
        <v/>
      </c>
      <c r="H145" t="str">
        <f>IF(C145="","",SUMIFS($E$4:E144,$C$4:C144,C145))</f>
        <v/>
      </c>
      <c r="L145" t="str">
        <f>IF(C145="","",IF(OR(K145&lt;=0,F145=""),"",F145-EOMONTH(应付跟进!$B$2,0)))</f>
        <v/>
      </c>
      <c r="O145" t="str">
        <f>IF(采购录入!A135="","",采购录入!L135)</f>
        <v/>
      </c>
      <c r="P145" t="str">
        <f>IF(采购录入!A135="","",采购录入!M135)</f>
        <v/>
      </c>
    </row>
    <row r="146" spans="1:16">
      <c r="A146" t="str">
        <f>IF(采购录入!A136="","","采购")</f>
        <v/>
      </c>
      <c r="B146" t="str">
        <f>IF(采购录入!A136="","",采购录入!A136)</f>
        <v/>
      </c>
      <c r="C146" t="str">
        <f>IF(采购录入!A136="","",采购录入!C136)</f>
        <v/>
      </c>
      <c r="D146" t="str">
        <f>IF(采购录入!A136="","",采购录入!D136)</f>
        <v/>
      </c>
      <c r="E146" t="str">
        <f>IF(采购录入!A136="","",采购录入!I136)</f>
        <v/>
      </c>
      <c r="F146" t="str">
        <f>IF(采购录入!A136="","",采购录入!J136)</f>
        <v/>
      </c>
      <c r="G146" t="str">
        <f>IF(C146="","",SUMIFS(资金流水!$K$4:$K$203,资金流水!$F$4:$F$203,C146,资金流水!$D$4:$D$203,"供应商付款",资金流水!$A$4:$A$203,"&lt;="&amp;EOMONTH(应付跟进!$B$2,0)))</f>
        <v/>
      </c>
      <c r="H146" t="str">
        <f>IF(C146="","",SUMIFS($E$4:E145,$C$4:C145,C146))</f>
        <v/>
      </c>
      <c r="L146" t="str">
        <f>IF(C146="","",IF(OR(K146&lt;=0,F146=""),"",F146-EOMONTH(应付跟进!$B$2,0)))</f>
        <v/>
      </c>
      <c r="O146" t="str">
        <f>IF(采购录入!A136="","",采购录入!L136)</f>
        <v/>
      </c>
      <c r="P146" t="str">
        <f>IF(采购录入!A136="","",采购录入!M136)</f>
        <v/>
      </c>
    </row>
    <row r="147" spans="1:16">
      <c r="A147" t="str">
        <f>IF(采购录入!A137="","","采购")</f>
        <v/>
      </c>
      <c r="B147" t="str">
        <f>IF(采购录入!A137="","",采购录入!A137)</f>
        <v/>
      </c>
      <c r="C147" t="str">
        <f>IF(采购录入!A137="","",采购录入!C137)</f>
        <v/>
      </c>
      <c r="D147" t="str">
        <f>IF(采购录入!A137="","",采购录入!D137)</f>
        <v/>
      </c>
      <c r="E147" t="str">
        <f>IF(采购录入!A137="","",采购录入!I137)</f>
        <v/>
      </c>
      <c r="F147" t="str">
        <f>IF(采购录入!A137="","",采购录入!J137)</f>
        <v/>
      </c>
      <c r="G147" t="str">
        <f>IF(C147="","",SUMIFS(资金流水!$K$4:$K$203,资金流水!$F$4:$F$203,C147,资金流水!$D$4:$D$203,"供应商付款",资金流水!$A$4:$A$203,"&lt;="&amp;EOMONTH(应付跟进!$B$2,0)))</f>
        <v/>
      </c>
      <c r="H147" t="str">
        <f>IF(C147="","",SUMIFS($E$4:E146,$C$4:C146,C147))</f>
        <v/>
      </c>
      <c r="L147" t="str">
        <f>IF(C147="","",IF(OR(K147&lt;=0,F147=""),"",F147-EOMONTH(应付跟进!$B$2,0)))</f>
        <v/>
      </c>
      <c r="O147" t="str">
        <f>IF(采购录入!A137="","",采购录入!L137)</f>
        <v/>
      </c>
      <c r="P147" t="str">
        <f>IF(采购录入!A137="","",采购录入!M137)</f>
        <v/>
      </c>
    </row>
    <row r="148" spans="1:16">
      <c r="A148" t="str">
        <f>IF(采购录入!A138="","","采购")</f>
        <v/>
      </c>
      <c r="B148" t="str">
        <f>IF(采购录入!A138="","",采购录入!A138)</f>
        <v/>
      </c>
      <c r="C148" t="str">
        <f>IF(采购录入!A138="","",采购录入!C138)</f>
        <v/>
      </c>
      <c r="D148" t="str">
        <f>IF(采购录入!A138="","",采购录入!D138)</f>
        <v/>
      </c>
      <c r="E148" t="str">
        <f>IF(采购录入!A138="","",采购录入!I138)</f>
        <v/>
      </c>
      <c r="F148" t="str">
        <f>IF(采购录入!A138="","",采购录入!J138)</f>
        <v/>
      </c>
      <c r="G148" t="str">
        <f>IF(C148="","",SUMIFS(资金流水!$K$4:$K$203,资金流水!$F$4:$F$203,C148,资金流水!$D$4:$D$203,"供应商付款",资金流水!$A$4:$A$203,"&lt;="&amp;EOMONTH(应付跟进!$B$2,0)))</f>
        <v/>
      </c>
      <c r="H148" t="str">
        <f>IF(C148="","",SUMIFS($E$4:E147,$C$4:C147,C148))</f>
        <v/>
      </c>
      <c r="L148" t="str">
        <f>IF(C148="","",IF(OR(K148&lt;=0,F148=""),"",F148-EOMONTH(应付跟进!$B$2,0)))</f>
        <v/>
      </c>
      <c r="O148" t="str">
        <f>IF(采购录入!A138="","",采购录入!L138)</f>
        <v/>
      </c>
      <c r="P148" t="str">
        <f>IF(采购录入!A138="","",采购录入!M138)</f>
        <v/>
      </c>
    </row>
    <row r="149" spans="1:16">
      <c r="A149" t="str">
        <f>IF(采购录入!A139="","","采购")</f>
        <v/>
      </c>
      <c r="B149" t="str">
        <f>IF(采购录入!A139="","",采购录入!A139)</f>
        <v/>
      </c>
      <c r="C149" t="str">
        <f>IF(采购录入!A139="","",采购录入!C139)</f>
        <v/>
      </c>
      <c r="D149" t="str">
        <f>IF(采购录入!A139="","",采购录入!D139)</f>
        <v/>
      </c>
      <c r="E149" t="str">
        <f>IF(采购录入!A139="","",采购录入!I139)</f>
        <v/>
      </c>
      <c r="F149" t="str">
        <f>IF(采购录入!A139="","",采购录入!J139)</f>
        <v/>
      </c>
      <c r="G149" t="str">
        <f>IF(C149="","",SUMIFS(资金流水!$K$4:$K$203,资金流水!$F$4:$F$203,C149,资金流水!$D$4:$D$203,"供应商付款",资金流水!$A$4:$A$203,"&lt;="&amp;EOMONTH(应付跟进!$B$2,0)))</f>
        <v/>
      </c>
      <c r="H149" t="str">
        <f>IF(C149="","",SUMIFS($E$4:E148,$C$4:C148,C149))</f>
        <v/>
      </c>
      <c r="L149" t="str">
        <f>IF(C149="","",IF(OR(K149&lt;=0,F149=""),"",F149-EOMONTH(应付跟进!$B$2,0)))</f>
        <v/>
      </c>
      <c r="O149" t="str">
        <f>IF(采购录入!A139="","",采购录入!L139)</f>
        <v/>
      </c>
      <c r="P149" t="str">
        <f>IF(采购录入!A139="","",采购录入!M139)</f>
        <v/>
      </c>
    </row>
    <row r="150" spans="1:16">
      <c r="A150" t="str">
        <f>IF(采购录入!A140="","","采购")</f>
        <v/>
      </c>
      <c r="B150" t="str">
        <f>IF(采购录入!A140="","",采购录入!A140)</f>
        <v/>
      </c>
      <c r="C150" t="str">
        <f>IF(采购录入!A140="","",采购录入!C140)</f>
        <v/>
      </c>
      <c r="D150" t="str">
        <f>IF(采购录入!A140="","",采购录入!D140)</f>
        <v/>
      </c>
      <c r="E150" t="str">
        <f>IF(采购录入!A140="","",采购录入!I140)</f>
        <v/>
      </c>
      <c r="F150" t="str">
        <f>IF(采购录入!A140="","",采购录入!J140)</f>
        <v/>
      </c>
      <c r="G150" t="str">
        <f>IF(C150="","",SUMIFS(资金流水!$K$4:$K$203,资金流水!$F$4:$F$203,C150,资金流水!$D$4:$D$203,"供应商付款",资金流水!$A$4:$A$203,"&lt;="&amp;EOMONTH(应付跟进!$B$2,0)))</f>
        <v/>
      </c>
      <c r="H150" t="str">
        <f>IF(C150="","",SUMIFS($E$4:E149,$C$4:C149,C150))</f>
        <v/>
      </c>
      <c r="L150" t="str">
        <f>IF(C150="","",IF(OR(K150&lt;=0,F150=""),"",F150-EOMONTH(应付跟进!$B$2,0)))</f>
        <v/>
      </c>
      <c r="O150" t="str">
        <f>IF(采购录入!A140="","",采购录入!L140)</f>
        <v/>
      </c>
      <c r="P150" t="str">
        <f>IF(采购录入!A140="","",采购录入!M140)</f>
        <v/>
      </c>
    </row>
    <row r="151" spans="1:16">
      <c r="A151" t="str">
        <f>IF(采购录入!A141="","","采购")</f>
        <v/>
      </c>
      <c r="B151" t="str">
        <f>IF(采购录入!A141="","",采购录入!A141)</f>
        <v/>
      </c>
      <c r="C151" t="str">
        <f>IF(采购录入!A141="","",采购录入!C141)</f>
        <v/>
      </c>
      <c r="D151" t="str">
        <f>IF(采购录入!A141="","",采购录入!D141)</f>
        <v/>
      </c>
      <c r="E151" t="str">
        <f>IF(采购录入!A141="","",采购录入!I141)</f>
        <v/>
      </c>
      <c r="F151" t="str">
        <f>IF(采购录入!A141="","",采购录入!J141)</f>
        <v/>
      </c>
      <c r="G151" t="str">
        <f>IF(C151="","",SUMIFS(资金流水!$K$4:$K$203,资金流水!$F$4:$F$203,C151,资金流水!$D$4:$D$203,"供应商付款",资金流水!$A$4:$A$203,"&lt;="&amp;EOMONTH(应付跟进!$B$2,0)))</f>
        <v/>
      </c>
      <c r="H151" t="str">
        <f>IF(C151="","",SUMIFS($E$4:E150,$C$4:C150,C151))</f>
        <v/>
      </c>
      <c r="L151" t="str">
        <f>IF(C151="","",IF(OR(K151&lt;=0,F151=""),"",F151-EOMONTH(应付跟进!$B$2,0)))</f>
        <v/>
      </c>
      <c r="O151" t="str">
        <f>IF(采购录入!A141="","",采购录入!L141)</f>
        <v/>
      </c>
      <c r="P151" t="str">
        <f>IF(采购录入!A141="","",采购录入!M141)</f>
        <v/>
      </c>
    </row>
    <row r="152" spans="1:16">
      <c r="A152" t="str">
        <f>IF(采购录入!A142="","","采购")</f>
        <v/>
      </c>
      <c r="B152" t="str">
        <f>IF(采购录入!A142="","",采购录入!A142)</f>
        <v/>
      </c>
      <c r="C152" t="str">
        <f>IF(采购录入!A142="","",采购录入!C142)</f>
        <v/>
      </c>
      <c r="D152" t="str">
        <f>IF(采购录入!A142="","",采购录入!D142)</f>
        <v/>
      </c>
      <c r="E152" t="str">
        <f>IF(采购录入!A142="","",采购录入!I142)</f>
        <v/>
      </c>
      <c r="F152" t="str">
        <f>IF(采购录入!A142="","",采购录入!J142)</f>
        <v/>
      </c>
      <c r="G152" t="str">
        <f>IF(C152="","",SUMIFS(资金流水!$K$4:$K$203,资金流水!$F$4:$F$203,C152,资金流水!$D$4:$D$203,"供应商付款",资金流水!$A$4:$A$203,"&lt;="&amp;EOMONTH(应付跟进!$B$2,0)))</f>
        <v/>
      </c>
      <c r="H152" t="str">
        <f>IF(C152="","",SUMIFS($E$4:E151,$C$4:C151,C152))</f>
        <v/>
      </c>
      <c r="L152" t="str">
        <f>IF(C152="","",IF(OR(K152&lt;=0,F152=""),"",F152-EOMONTH(应付跟进!$B$2,0)))</f>
        <v/>
      </c>
      <c r="O152" t="str">
        <f>IF(采购录入!A142="","",采购录入!L142)</f>
        <v/>
      </c>
      <c r="P152" t="str">
        <f>IF(采购录入!A142="","",采购录入!M142)</f>
        <v/>
      </c>
    </row>
    <row r="153" spans="1:16">
      <c r="A153" t="str">
        <f>IF(采购录入!A143="","","采购")</f>
        <v/>
      </c>
      <c r="B153" t="str">
        <f>IF(采购录入!A143="","",采购录入!A143)</f>
        <v/>
      </c>
      <c r="C153" t="str">
        <f>IF(采购录入!A143="","",采购录入!C143)</f>
        <v/>
      </c>
      <c r="D153" t="str">
        <f>IF(采购录入!A143="","",采购录入!D143)</f>
        <v/>
      </c>
      <c r="E153" t="str">
        <f>IF(采购录入!A143="","",采购录入!I143)</f>
        <v/>
      </c>
      <c r="F153" t="str">
        <f>IF(采购录入!A143="","",采购录入!J143)</f>
        <v/>
      </c>
      <c r="G153" t="str">
        <f>IF(C153="","",SUMIFS(资金流水!$K$4:$K$203,资金流水!$F$4:$F$203,C153,资金流水!$D$4:$D$203,"供应商付款",资金流水!$A$4:$A$203,"&lt;="&amp;EOMONTH(应付跟进!$B$2,0)))</f>
        <v/>
      </c>
      <c r="H153" t="str">
        <f>IF(C153="","",SUMIFS($E$4:E152,$C$4:C152,C153))</f>
        <v/>
      </c>
      <c r="L153" t="str">
        <f>IF(C153="","",IF(OR(K153&lt;=0,F153=""),"",F153-EOMONTH(应付跟进!$B$2,0)))</f>
        <v/>
      </c>
      <c r="O153" t="str">
        <f>IF(采购录入!A143="","",采购录入!L143)</f>
        <v/>
      </c>
      <c r="P153" t="str">
        <f>IF(采购录入!A143="","",采购录入!M143)</f>
        <v/>
      </c>
    </row>
    <row r="154" spans="1:16">
      <c r="A154" t="str">
        <f>IF(采购录入!A144="","","采购")</f>
        <v/>
      </c>
      <c r="B154" t="str">
        <f>IF(采购录入!A144="","",采购录入!A144)</f>
        <v/>
      </c>
      <c r="C154" t="str">
        <f>IF(采购录入!A144="","",采购录入!C144)</f>
        <v/>
      </c>
      <c r="D154" t="str">
        <f>IF(采购录入!A144="","",采购录入!D144)</f>
        <v/>
      </c>
      <c r="E154" t="str">
        <f>IF(采购录入!A144="","",采购录入!I144)</f>
        <v/>
      </c>
      <c r="F154" t="str">
        <f>IF(采购录入!A144="","",采购录入!J144)</f>
        <v/>
      </c>
      <c r="G154" t="str">
        <f>IF(C154="","",SUMIFS(资金流水!$K$4:$K$203,资金流水!$F$4:$F$203,C154,资金流水!$D$4:$D$203,"供应商付款",资金流水!$A$4:$A$203,"&lt;="&amp;EOMONTH(应付跟进!$B$2,0)))</f>
        <v/>
      </c>
      <c r="H154" t="str">
        <f>IF(C154="","",SUMIFS($E$4:E153,$C$4:C153,C154))</f>
        <v/>
      </c>
      <c r="L154" t="str">
        <f>IF(C154="","",IF(OR(K154&lt;=0,F154=""),"",F154-EOMONTH(应付跟进!$B$2,0)))</f>
        <v/>
      </c>
      <c r="O154" t="str">
        <f>IF(采购录入!A144="","",采购录入!L144)</f>
        <v/>
      </c>
      <c r="P154" t="str">
        <f>IF(采购录入!A144="","",采购录入!M144)</f>
        <v/>
      </c>
    </row>
    <row r="155" spans="1:16">
      <c r="A155" t="str">
        <f>IF(采购录入!A145="","","采购")</f>
        <v/>
      </c>
      <c r="B155" t="str">
        <f>IF(采购录入!A145="","",采购录入!A145)</f>
        <v/>
      </c>
      <c r="C155" t="str">
        <f>IF(采购录入!A145="","",采购录入!C145)</f>
        <v/>
      </c>
      <c r="D155" t="str">
        <f>IF(采购录入!A145="","",采购录入!D145)</f>
        <v/>
      </c>
      <c r="E155" t="str">
        <f>IF(采购录入!A145="","",采购录入!I145)</f>
        <v/>
      </c>
      <c r="F155" t="str">
        <f>IF(采购录入!A145="","",采购录入!J145)</f>
        <v/>
      </c>
      <c r="G155" t="str">
        <f>IF(C155="","",SUMIFS(资金流水!$K$4:$K$203,资金流水!$F$4:$F$203,C155,资金流水!$D$4:$D$203,"供应商付款",资金流水!$A$4:$A$203,"&lt;="&amp;EOMONTH(应付跟进!$B$2,0)))</f>
        <v/>
      </c>
      <c r="H155" t="str">
        <f>IF(C155="","",SUMIFS($E$4:E154,$C$4:C154,C155))</f>
        <v/>
      </c>
      <c r="L155" t="str">
        <f>IF(C155="","",IF(OR(K155&lt;=0,F155=""),"",F155-EOMONTH(应付跟进!$B$2,0)))</f>
        <v/>
      </c>
      <c r="O155" t="str">
        <f>IF(采购录入!A145="","",采购录入!L145)</f>
        <v/>
      </c>
      <c r="P155" t="str">
        <f>IF(采购录入!A145="","",采购录入!M145)</f>
        <v/>
      </c>
    </row>
    <row r="156" spans="1:16">
      <c r="A156" t="str">
        <f>IF(采购录入!A146="","","采购")</f>
        <v/>
      </c>
      <c r="B156" t="str">
        <f>IF(采购录入!A146="","",采购录入!A146)</f>
        <v/>
      </c>
      <c r="C156" t="str">
        <f>IF(采购录入!A146="","",采购录入!C146)</f>
        <v/>
      </c>
      <c r="D156" t="str">
        <f>IF(采购录入!A146="","",采购录入!D146)</f>
        <v/>
      </c>
      <c r="E156" t="str">
        <f>IF(采购录入!A146="","",采购录入!I146)</f>
        <v/>
      </c>
      <c r="F156" t="str">
        <f>IF(采购录入!A146="","",采购录入!J146)</f>
        <v/>
      </c>
      <c r="G156" t="str">
        <f>IF(C156="","",SUMIFS(资金流水!$K$4:$K$203,资金流水!$F$4:$F$203,C156,资金流水!$D$4:$D$203,"供应商付款",资金流水!$A$4:$A$203,"&lt;="&amp;EOMONTH(应付跟进!$B$2,0)))</f>
        <v/>
      </c>
      <c r="H156" t="str">
        <f>IF(C156="","",SUMIFS($E$4:E155,$C$4:C155,C156))</f>
        <v/>
      </c>
      <c r="L156" t="str">
        <f>IF(C156="","",IF(OR(K156&lt;=0,F156=""),"",F156-EOMONTH(应付跟进!$B$2,0)))</f>
        <v/>
      </c>
      <c r="O156" t="str">
        <f>IF(采购录入!A146="","",采购录入!L146)</f>
        <v/>
      </c>
      <c r="P156" t="str">
        <f>IF(采购录入!A146="","",采购录入!M146)</f>
        <v/>
      </c>
    </row>
    <row r="157" spans="1:16">
      <c r="A157" t="str">
        <f>IF(采购录入!A147="","","采购")</f>
        <v/>
      </c>
      <c r="B157" t="str">
        <f>IF(采购录入!A147="","",采购录入!A147)</f>
        <v/>
      </c>
      <c r="C157" t="str">
        <f>IF(采购录入!A147="","",采购录入!C147)</f>
        <v/>
      </c>
      <c r="D157" t="str">
        <f>IF(采购录入!A147="","",采购录入!D147)</f>
        <v/>
      </c>
      <c r="E157" t="str">
        <f>IF(采购录入!A147="","",采购录入!I147)</f>
        <v/>
      </c>
      <c r="F157" t="str">
        <f>IF(采购录入!A147="","",采购录入!J147)</f>
        <v/>
      </c>
      <c r="G157" t="str">
        <f>IF(C157="","",SUMIFS(资金流水!$K$4:$K$203,资金流水!$F$4:$F$203,C157,资金流水!$D$4:$D$203,"供应商付款",资金流水!$A$4:$A$203,"&lt;="&amp;EOMONTH(应付跟进!$B$2,0)))</f>
        <v/>
      </c>
      <c r="H157" t="str">
        <f>IF(C157="","",SUMIFS($E$4:E156,$C$4:C156,C157))</f>
        <v/>
      </c>
      <c r="L157" t="str">
        <f>IF(C157="","",IF(OR(K157&lt;=0,F157=""),"",F157-EOMONTH(应付跟进!$B$2,0)))</f>
        <v/>
      </c>
      <c r="O157" t="str">
        <f>IF(采购录入!A147="","",采购录入!L147)</f>
        <v/>
      </c>
      <c r="P157" t="str">
        <f>IF(采购录入!A147="","",采购录入!M147)</f>
        <v/>
      </c>
    </row>
    <row r="158" spans="1:16">
      <c r="A158" t="str">
        <f>IF(采购录入!A148="","","采购")</f>
        <v/>
      </c>
      <c r="B158" t="str">
        <f>IF(采购录入!A148="","",采购录入!A148)</f>
        <v/>
      </c>
      <c r="C158" t="str">
        <f>IF(采购录入!A148="","",采购录入!C148)</f>
        <v/>
      </c>
      <c r="D158" t="str">
        <f>IF(采购录入!A148="","",采购录入!D148)</f>
        <v/>
      </c>
      <c r="E158" t="str">
        <f>IF(采购录入!A148="","",采购录入!I148)</f>
        <v/>
      </c>
      <c r="F158" t="str">
        <f>IF(采购录入!A148="","",采购录入!J148)</f>
        <v/>
      </c>
      <c r="G158" t="str">
        <f>IF(C158="","",SUMIFS(资金流水!$K$4:$K$203,资金流水!$F$4:$F$203,C158,资金流水!$D$4:$D$203,"供应商付款",资金流水!$A$4:$A$203,"&lt;="&amp;EOMONTH(应付跟进!$B$2,0)))</f>
        <v/>
      </c>
      <c r="H158" t="str">
        <f>IF(C158="","",SUMIFS($E$4:E157,$C$4:C157,C158))</f>
        <v/>
      </c>
      <c r="L158" t="str">
        <f>IF(C158="","",IF(OR(K158&lt;=0,F158=""),"",F158-EOMONTH(应付跟进!$B$2,0)))</f>
        <v/>
      </c>
      <c r="O158" t="str">
        <f>IF(采购录入!A148="","",采购录入!L148)</f>
        <v/>
      </c>
      <c r="P158" t="str">
        <f>IF(采购录入!A148="","",采购录入!M148)</f>
        <v/>
      </c>
    </row>
    <row r="159" spans="1:16">
      <c r="A159" t="str">
        <f>IF(采购录入!A149="","","采购")</f>
        <v/>
      </c>
      <c r="B159" t="str">
        <f>IF(采购录入!A149="","",采购录入!A149)</f>
        <v/>
      </c>
      <c r="C159" t="str">
        <f>IF(采购录入!A149="","",采购录入!C149)</f>
        <v/>
      </c>
      <c r="D159" t="str">
        <f>IF(采购录入!A149="","",采购录入!D149)</f>
        <v/>
      </c>
      <c r="E159" t="str">
        <f>IF(采购录入!A149="","",采购录入!I149)</f>
        <v/>
      </c>
      <c r="F159" t="str">
        <f>IF(采购录入!A149="","",采购录入!J149)</f>
        <v/>
      </c>
      <c r="G159" t="str">
        <f>IF(C159="","",SUMIFS(资金流水!$K$4:$K$203,资金流水!$F$4:$F$203,C159,资金流水!$D$4:$D$203,"供应商付款",资金流水!$A$4:$A$203,"&lt;="&amp;EOMONTH(应付跟进!$B$2,0)))</f>
        <v/>
      </c>
      <c r="H159" t="str">
        <f>IF(C159="","",SUMIFS($E$4:E158,$C$4:C158,C159))</f>
        <v/>
      </c>
      <c r="L159" t="str">
        <f>IF(C159="","",IF(OR(K159&lt;=0,F159=""),"",F159-EOMONTH(应付跟进!$B$2,0)))</f>
        <v/>
      </c>
      <c r="O159" t="str">
        <f>IF(采购录入!A149="","",采购录入!L149)</f>
        <v/>
      </c>
      <c r="P159" t="str">
        <f>IF(采购录入!A149="","",采购录入!M149)</f>
        <v/>
      </c>
    </row>
    <row r="160" spans="1:16">
      <c r="A160" t="str">
        <f>IF(采购录入!A150="","","采购")</f>
        <v/>
      </c>
      <c r="B160" t="str">
        <f>IF(采购录入!A150="","",采购录入!A150)</f>
        <v/>
      </c>
      <c r="C160" t="str">
        <f>IF(采购录入!A150="","",采购录入!C150)</f>
        <v/>
      </c>
      <c r="D160" t="str">
        <f>IF(采购录入!A150="","",采购录入!D150)</f>
        <v/>
      </c>
      <c r="E160" t="str">
        <f>IF(采购录入!A150="","",采购录入!I150)</f>
        <v/>
      </c>
      <c r="F160" t="str">
        <f>IF(采购录入!A150="","",采购录入!J150)</f>
        <v/>
      </c>
      <c r="G160" t="str">
        <f>IF(C160="","",SUMIFS(资金流水!$K$4:$K$203,资金流水!$F$4:$F$203,C160,资金流水!$D$4:$D$203,"供应商付款",资金流水!$A$4:$A$203,"&lt;="&amp;EOMONTH(应付跟进!$B$2,0)))</f>
        <v/>
      </c>
      <c r="H160" t="str">
        <f>IF(C160="","",SUMIFS($E$4:E159,$C$4:C159,C160))</f>
        <v/>
      </c>
      <c r="L160" t="str">
        <f>IF(C160="","",IF(OR(K160&lt;=0,F160=""),"",F160-EOMONTH(应付跟进!$B$2,0)))</f>
        <v/>
      </c>
      <c r="O160" t="str">
        <f>IF(采购录入!A150="","",采购录入!L150)</f>
        <v/>
      </c>
      <c r="P160" t="str">
        <f>IF(采购录入!A150="","",采购录入!M150)</f>
        <v/>
      </c>
    </row>
    <row r="161" spans="1:16">
      <c r="A161" t="str">
        <f>IF(采购录入!A151="","","采购")</f>
        <v/>
      </c>
      <c r="B161" t="str">
        <f>IF(采购录入!A151="","",采购录入!A151)</f>
        <v/>
      </c>
      <c r="C161" t="str">
        <f>IF(采购录入!A151="","",采购录入!C151)</f>
        <v/>
      </c>
      <c r="D161" t="str">
        <f>IF(采购录入!A151="","",采购录入!D151)</f>
        <v/>
      </c>
      <c r="E161" t="str">
        <f>IF(采购录入!A151="","",采购录入!I151)</f>
        <v/>
      </c>
      <c r="F161" t="str">
        <f>IF(采购录入!A151="","",采购录入!J151)</f>
        <v/>
      </c>
      <c r="G161" t="str">
        <f>IF(C161="","",SUMIFS(资金流水!$K$4:$K$203,资金流水!$F$4:$F$203,C161,资金流水!$D$4:$D$203,"供应商付款",资金流水!$A$4:$A$203,"&lt;="&amp;EOMONTH(应付跟进!$B$2,0)))</f>
        <v/>
      </c>
      <c r="H161" t="str">
        <f>IF(C161="","",SUMIFS($E$4:E160,$C$4:C160,C161))</f>
        <v/>
      </c>
      <c r="L161" t="str">
        <f>IF(C161="","",IF(OR(K161&lt;=0,F161=""),"",F161-EOMONTH(应付跟进!$B$2,0)))</f>
        <v/>
      </c>
      <c r="O161" t="str">
        <f>IF(采购录入!A151="","",采购录入!L151)</f>
        <v/>
      </c>
      <c r="P161" t="str">
        <f>IF(采购录入!A151="","",采购录入!M151)</f>
        <v/>
      </c>
    </row>
    <row r="162" spans="1:16">
      <c r="A162" t="str">
        <f>IF(采购录入!A152="","","采购")</f>
        <v/>
      </c>
      <c r="B162" t="str">
        <f>IF(采购录入!A152="","",采购录入!A152)</f>
        <v/>
      </c>
      <c r="C162" t="str">
        <f>IF(采购录入!A152="","",采购录入!C152)</f>
        <v/>
      </c>
      <c r="D162" t="str">
        <f>IF(采购录入!A152="","",采购录入!D152)</f>
        <v/>
      </c>
      <c r="E162" t="str">
        <f>IF(采购录入!A152="","",采购录入!I152)</f>
        <v/>
      </c>
      <c r="F162" t="str">
        <f>IF(采购录入!A152="","",采购录入!J152)</f>
        <v/>
      </c>
      <c r="G162" t="str">
        <f>IF(C162="","",SUMIFS(资金流水!$K$4:$K$203,资金流水!$F$4:$F$203,C162,资金流水!$D$4:$D$203,"供应商付款",资金流水!$A$4:$A$203,"&lt;="&amp;EOMONTH(应付跟进!$B$2,0)))</f>
        <v/>
      </c>
      <c r="H162" t="str">
        <f>IF(C162="","",SUMIFS($E$4:E161,$C$4:C161,C162))</f>
        <v/>
      </c>
      <c r="L162" t="str">
        <f>IF(C162="","",IF(OR(K162&lt;=0,F162=""),"",F162-EOMONTH(应付跟进!$B$2,0)))</f>
        <v/>
      </c>
      <c r="O162" t="str">
        <f>IF(采购录入!A152="","",采购录入!L152)</f>
        <v/>
      </c>
      <c r="P162" t="str">
        <f>IF(采购录入!A152="","",采购录入!M152)</f>
        <v/>
      </c>
    </row>
    <row r="163" spans="1:16">
      <c r="A163" t="str">
        <f>IF(采购录入!A153="","","采购")</f>
        <v/>
      </c>
      <c r="B163" t="str">
        <f>IF(采购录入!A153="","",采购录入!A153)</f>
        <v/>
      </c>
      <c r="C163" t="str">
        <f>IF(采购录入!A153="","",采购录入!C153)</f>
        <v/>
      </c>
      <c r="D163" t="str">
        <f>IF(采购录入!A153="","",采购录入!D153)</f>
        <v/>
      </c>
      <c r="E163" t="str">
        <f>IF(采购录入!A153="","",采购录入!I153)</f>
        <v/>
      </c>
      <c r="F163" t="str">
        <f>IF(采购录入!A153="","",采购录入!J153)</f>
        <v/>
      </c>
      <c r="G163" t="str">
        <f>IF(C163="","",SUMIFS(资金流水!$K$4:$K$203,资金流水!$F$4:$F$203,C163,资金流水!$D$4:$D$203,"供应商付款",资金流水!$A$4:$A$203,"&lt;="&amp;EOMONTH(应付跟进!$B$2,0)))</f>
        <v/>
      </c>
      <c r="H163" t="str">
        <f>IF(C163="","",SUMIFS($E$4:E162,$C$4:C162,C163))</f>
        <v/>
      </c>
      <c r="L163" t="str">
        <f>IF(C163="","",IF(OR(K163&lt;=0,F163=""),"",F163-EOMONTH(应付跟进!$B$2,0)))</f>
        <v/>
      </c>
      <c r="O163" t="str">
        <f>IF(采购录入!A153="","",采购录入!L153)</f>
        <v/>
      </c>
      <c r="P163" t="str">
        <f>IF(采购录入!A153="","",采购录入!M153)</f>
        <v/>
      </c>
    </row>
    <row r="164" spans="1:16">
      <c r="A164" t="str">
        <f>IF(采购录入!A154="","","采购")</f>
        <v/>
      </c>
      <c r="B164" t="str">
        <f>IF(采购录入!A154="","",采购录入!A154)</f>
        <v/>
      </c>
      <c r="C164" t="str">
        <f>IF(采购录入!A154="","",采购录入!C154)</f>
        <v/>
      </c>
      <c r="D164" t="str">
        <f>IF(采购录入!A154="","",采购录入!D154)</f>
        <v/>
      </c>
      <c r="E164" t="str">
        <f>IF(采购录入!A154="","",采购录入!I154)</f>
        <v/>
      </c>
      <c r="F164" t="str">
        <f>IF(采购录入!A154="","",采购录入!J154)</f>
        <v/>
      </c>
      <c r="G164" t="str">
        <f>IF(C164="","",SUMIFS(资金流水!$K$4:$K$203,资金流水!$F$4:$F$203,C164,资金流水!$D$4:$D$203,"供应商付款",资金流水!$A$4:$A$203,"&lt;="&amp;EOMONTH(应付跟进!$B$2,0)))</f>
        <v/>
      </c>
      <c r="H164" t="str">
        <f>IF(C164="","",SUMIFS($E$4:E163,$C$4:C163,C164))</f>
        <v/>
      </c>
      <c r="L164" t="str">
        <f>IF(C164="","",IF(OR(K164&lt;=0,F164=""),"",F164-EOMONTH(应付跟进!$B$2,0)))</f>
        <v/>
      </c>
      <c r="O164" t="str">
        <f>IF(采购录入!A154="","",采购录入!L154)</f>
        <v/>
      </c>
      <c r="P164" t="str">
        <f>IF(采购录入!A154="","",采购录入!M154)</f>
        <v/>
      </c>
    </row>
    <row r="165" spans="1:16">
      <c r="A165" t="str">
        <f>IF(采购录入!A155="","","采购")</f>
        <v/>
      </c>
      <c r="B165" t="str">
        <f>IF(采购录入!A155="","",采购录入!A155)</f>
        <v/>
      </c>
      <c r="C165" t="str">
        <f>IF(采购录入!A155="","",采购录入!C155)</f>
        <v/>
      </c>
      <c r="D165" t="str">
        <f>IF(采购录入!A155="","",采购录入!D155)</f>
        <v/>
      </c>
      <c r="E165" t="str">
        <f>IF(采购录入!A155="","",采购录入!I155)</f>
        <v/>
      </c>
      <c r="F165" t="str">
        <f>IF(采购录入!A155="","",采购录入!J155)</f>
        <v/>
      </c>
      <c r="G165" t="str">
        <f>IF(C165="","",SUMIFS(资金流水!$K$4:$K$203,资金流水!$F$4:$F$203,C165,资金流水!$D$4:$D$203,"供应商付款",资金流水!$A$4:$A$203,"&lt;="&amp;EOMONTH(应付跟进!$B$2,0)))</f>
        <v/>
      </c>
      <c r="H165" t="str">
        <f>IF(C165="","",SUMIFS($E$4:E164,$C$4:C164,C165))</f>
        <v/>
      </c>
      <c r="L165" t="str">
        <f>IF(C165="","",IF(OR(K165&lt;=0,F165=""),"",F165-EOMONTH(应付跟进!$B$2,0)))</f>
        <v/>
      </c>
      <c r="O165" t="str">
        <f>IF(采购录入!A155="","",采购录入!L155)</f>
        <v/>
      </c>
      <c r="P165" t="str">
        <f>IF(采购录入!A155="","",采购录入!M155)</f>
        <v/>
      </c>
    </row>
    <row r="166" spans="1:16">
      <c r="A166" t="str">
        <f>IF(采购录入!A156="","","采购")</f>
        <v/>
      </c>
      <c r="B166" t="str">
        <f>IF(采购录入!A156="","",采购录入!A156)</f>
        <v/>
      </c>
      <c r="C166" t="str">
        <f>IF(采购录入!A156="","",采购录入!C156)</f>
        <v/>
      </c>
      <c r="D166" t="str">
        <f>IF(采购录入!A156="","",采购录入!D156)</f>
        <v/>
      </c>
      <c r="E166" t="str">
        <f>IF(采购录入!A156="","",采购录入!I156)</f>
        <v/>
      </c>
      <c r="F166" t="str">
        <f>IF(采购录入!A156="","",采购录入!J156)</f>
        <v/>
      </c>
      <c r="G166" t="str">
        <f>IF(C166="","",SUMIFS(资金流水!$K$4:$K$203,资金流水!$F$4:$F$203,C166,资金流水!$D$4:$D$203,"供应商付款",资金流水!$A$4:$A$203,"&lt;="&amp;EOMONTH(应付跟进!$B$2,0)))</f>
        <v/>
      </c>
      <c r="H166" t="str">
        <f>IF(C166="","",SUMIFS($E$4:E165,$C$4:C165,C166))</f>
        <v/>
      </c>
      <c r="L166" t="str">
        <f>IF(C166="","",IF(OR(K166&lt;=0,F166=""),"",F166-EOMONTH(应付跟进!$B$2,0)))</f>
        <v/>
      </c>
      <c r="O166" t="str">
        <f>IF(采购录入!A156="","",采购录入!L156)</f>
        <v/>
      </c>
      <c r="P166" t="str">
        <f>IF(采购录入!A156="","",采购录入!M156)</f>
        <v/>
      </c>
    </row>
    <row r="167" spans="1:16">
      <c r="A167" t="str">
        <f>IF(采购录入!A157="","","采购")</f>
        <v/>
      </c>
      <c r="B167" t="str">
        <f>IF(采购录入!A157="","",采购录入!A157)</f>
        <v/>
      </c>
      <c r="C167" t="str">
        <f>IF(采购录入!A157="","",采购录入!C157)</f>
        <v/>
      </c>
      <c r="D167" t="str">
        <f>IF(采购录入!A157="","",采购录入!D157)</f>
        <v/>
      </c>
      <c r="E167" t="str">
        <f>IF(采购录入!A157="","",采购录入!I157)</f>
        <v/>
      </c>
      <c r="F167" t="str">
        <f>IF(采购录入!A157="","",采购录入!J157)</f>
        <v/>
      </c>
      <c r="G167" t="str">
        <f>IF(C167="","",SUMIFS(资金流水!$K$4:$K$203,资金流水!$F$4:$F$203,C167,资金流水!$D$4:$D$203,"供应商付款",资金流水!$A$4:$A$203,"&lt;="&amp;EOMONTH(应付跟进!$B$2,0)))</f>
        <v/>
      </c>
      <c r="H167" t="str">
        <f>IF(C167="","",SUMIFS($E$4:E166,$C$4:C166,C167))</f>
        <v/>
      </c>
      <c r="L167" t="str">
        <f>IF(C167="","",IF(OR(K167&lt;=0,F167=""),"",F167-EOMONTH(应付跟进!$B$2,0)))</f>
        <v/>
      </c>
      <c r="O167" t="str">
        <f>IF(采购录入!A157="","",采购录入!L157)</f>
        <v/>
      </c>
      <c r="P167" t="str">
        <f>IF(采购录入!A157="","",采购录入!M157)</f>
        <v/>
      </c>
    </row>
    <row r="168" spans="1:16">
      <c r="A168" t="str">
        <f>IF(采购录入!A158="","","采购")</f>
        <v/>
      </c>
      <c r="B168" t="str">
        <f>IF(采购录入!A158="","",采购录入!A158)</f>
        <v/>
      </c>
      <c r="C168" t="str">
        <f>IF(采购录入!A158="","",采购录入!C158)</f>
        <v/>
      </c>
      <c r="D168" t="str">
        <f>IF(采购录入!A158="","",采购录入!D158)</f>
        <v/>
      </c>
      <c r="E168" t="str">
        <f>IF(采购录入!A158="","",采购录入!I158)</f>
        <v/>
      </c>
      <c r="F168" t="str">
        <f>IF(采购录入!A158="","",采购录入!J158)</f>
        <v/>
      </c>
      <c r="G168" t="str">
        <f>IF(C168="","",SUMIFS(资金流水!$K$4:$K$203,资金流水!$F$4:$F$203,C168,资金流水!$D$4:$D$203,"供应商付款",资金流水!$A$4:$A$203,"&lt;="&amp;EOMONTH(应付跟进!$B$2,0)))</f>
        <v/>
      </c>
      <c r="H168" t="str">
        <f>IF(C168="","",SUMIFS($E$4:E167,$C$4:C167,C168))</f>
        <v/>
      </c>
      <c r="L168" t="str">
        <f>IF(C168="","",IF(OR(K168&lt;=0,F168=""),"",F168-EOMONTH(应付跟进!$B$2,0)))</f>
        <v/>
      </c>
      <c r="O168" t="str">
        <f>IF(采购录入!A158="","",采购录入!L158)</f>
        <v/>
      </c>
      <c r="P168" t="str">
        <f>IF(采购录入!A158="","",采购录入!M158)</f>
        <v/>
      </c>
    </row>
    <row r="169" spans="1:16">
      <c r="A169" t="str">
        <f>IF(采购录入!A159="","","采购")</f>
        <v/>
      </c>
      <c r="B169" t="str">
        <f>IF(采购录入!A159="","",采购录入!A159)</f>
        <v/>
      </c>
      <c r="C169" t="str">
        <f>IF(采购录入!A159="","",采购录入!C159)</f>
        <v/>
      </c>
      <c r="D169" t="str">
        <f>IF(采购录入!A159="","",采购录入!D159)</f>
        <v/>
      </c>
      <c r="E169" t="str">
        <f>IF(采购录入!A159="","",采购录入!I159)</f>
        <v/>
      </c>
      <c r="F169" t="str">
        <f>IF(采购录入!A159="","",采购录入!J159)</f>
        <v/>
      </c>
      <c r="G169" t="str">
        <f>IF(C169="","",SUMIFS(资金流水!$K$4:$K$203,资金流水!$F$4:$F$203,C169,资金流水!$D$4:$D$203,"供应商付款",资金流水!$A$4:$A$203,"&lt;="&amp;EOMONTH(应付跟进!$B$2,0)))</f>
        <v/>
      </c>
      <c r="H169" t="str">
        <f>IF(C169="","",SUMIFS($E$4:E168,$C$4:C168,C169))</f>
        <v/>
      </c>
      <c r="L169" t="str">
        <f>IF(C169="","",IF(OR(K169&lt;=0,F169=""),"",F169-EOMONTH(应付跟进!$B$2,0)))</f>
        <v/>
      </c>
      <c r="O169" t="str">
        <f>IF(采购录入!A159="","",采购录入!L159)</f>
        <v/>
      </c>
      <c r="P169" t="str">
        <f>IF(采购录入!A159="","",采购录入!M159)</f>
        <v/>
      </c>
    </row>
    <row r="170" spans="1:16">
      <c r="A170" t="str">
        <f>IF(采购录入!A160="","","采购")</f>
        <v/>
      </c>
      <c r="B170" t="str">
        <f>IF(采购录入!A160="","",采购录入!A160)</f>
        <v/>
      </c>
      <c r="C170" t="str">
        <f>IF(采购录入!A160="","",采购录入!C160)</f>
        <v/>
      </c>
      <c r="D170" t="str">
        <f>IF(采购录入!A160="","",采购录入!D160)</f>
        <v/>
      </c>
      <c r="E170" t="str">
        <f>IF(采购录入!A160="","",采购录入!I160)</f>
        <v/>
      </c>
      <c r="F170" t="str">
        <f>IF(采购录入!A160="","",采购录入!J160)</f>
        <v/>
      </c>
      <c r="G170" t="str">
        <f>IF(C170="","",SUMIFS(资金流水!$K$4:$K$203,资金流水!$F$4:$F$203,C170,资金流水!$D$4:$D$203,"供应商付款",资金流水!$A$4:$A$203,"&lt;="&amp;EOMONTH(应付跟进!$B$2,0)))</f>
        <v/>
      </c>
      <c r="H170" t="str">
        <f>IF(C170="","",SUMIFS($E$4:E169,$C$4:C169,C170))</f>
        <v/>
      </c>
      <c r="L170" t="str">
        <f>IF(C170="","",IF(OR(K170&lt;=0,F170=""),"",F170-EOMONTH(应付跟进!$B$2,0)))</f>
        <v/>
      </c>
      <c r="O170" t="str">
        <f>IF(采购录入!A160="","",采购录入!L160)</f>
        <v/>
      </c>
      <c r="P170" t="str">
        <f>IF(采购录入!A160="","",采购录入!M160)</f>
        <v/>
      </c>
    </row>
    <row r="171" spans="1:16">
      <c r="A171" t="str">
        <f>IF(采购录入!A161="","","采购")</f>
        <v/>
      </c>
      <c r="B171" t="str">
        <f>IF(采购录入!A161="","",采购录入!A161)</f>
        <v/>
      </c>
      <c r="C171" t="str">
        <f>IF(采购录入!A161="","",采购录入!C161)</f>
        <v/>
      </c>
      <c r="D171" t="str">
        <f>IF(采购录入!A161="","",采购录入!D161)</f>
        <v/>
      </c>
      <c r="E171" t="str">
        <f>IF(采购录入!A161="","",采购录入!I161)</f>
        <v/>
      </c>
      <c r="F171" t="str">
        <f>IF(采购录入!A161="","",采购录入!J161)</f>
        <v/>
      </c>
      <c r="G171" t="str">
        <f>IF(C171="","",SUMIFS(资金流水!$K$4:$K$203,资金流水!$F$4:$F$203,C171,资金流水!$D$4:$D$203,"供应商付款",资金流水!$A$4:$A$203,"&lt;="&amp;EOMONTH(应付跟进!$B$2,0)))</f>
        <v/>
      </c>
      <c r="H171" t="str">
        <f>IF(C171="","",SUMIFS($E$4:E170,$C$4:C170,C171))</f>
        <v/>
      </c>
      <c r="L171" t="str">
        <f>IF(C171="","",IF(OR(K171&lt;=0,F171=""),"",F171-EOMONTH(应付跟进!$B$2,0)))</f>
        <v/>
      </c>
      <c r="O171" t="str">
        <f>IF(采购录入!A161="","",采购录入!L161)</f>
        <v/>
      </c>
      <c r="P171" t="str">
        <f>IF(采购录入!A161="","",采购录入!M161)</f>
        <v/>
      </c>
    </row>
    <row r="172" spans="1:16">
      <c r="A172" t="str">
        <f>IF(采购录入!A162="","","采购")</f>
        <v/>
      </c>
      <c r="B172" t="str">
        <f>IF(采购录入!A162="","",采购录入!A162)</f>
        <v/>
      </c>
      <c r="C172" t="str">
        <f>IF(采购录入!A162="","",采购录入!C162)</f>
        <v/>
      </c>
      <c r="D172" t="str">
        <f>IF(采购录入!A162="","",采购录入!D162)</f>
        <v/>
      </c>
      <c r="E172" t="str">
        <f>IF(采购录入!A162="","",采购录入!I162)</f>
        <v/>
      </c>
      <c r="F172" t="str">
        <f>IF(采购录入!A162="","",采购录入!J162)</f>
        <v/>
      </c>
      <c r="G172" t="str">
        <f>IF(C172="","",SUMIFS(资金流水!$K$4:$K$203,资金流水!$F$4:$F$203,C172,资金流水!$D$4:$D$203,"供应商付款",资金流水!$A$4:$A$203,"&lt;="&amp;EOMONTH(应付跟进!$B$2,0)))</f>
        <v/>
      </c>
      <c r="H172" t="str">
        <f>IF(C172="","",SUMIFS($E$4:E171,$C$4:C171,C172))</f>
        <v/>
      </c>
      <c r="L172" t="str">
        <f>IF(C172="","",IF(OR(K172&lt;=0,F172=""),"",F172-EOMONTH(应付跟进!$B$2,0)))</f>
        <v/>
      </c>
      <c r="O172" t="str">
        <f>IF(采购录入!A162="","",采购录入!L162)</f>
        <v/>
      </c>
      <c r="P172" t="str">
        <f>IF(采购录入!A162="","",采购录入!M162)</f>
        <v/>
      </c>
    </row>
    <row r="173" spans="1:16">
      <c r="A173" t="str">
        <f>IF(采购录入!A163="","","采购")</f>
        <v/>
      </c>
      <c r="B173" t="str">
        <f>IF(采购录入!A163="","",采购录入!A163)</f>
        <v/>
      </c>
      <c r="C173" t="str">
        <f>IF(采购录入!A163="","",采购录入!C163)</f>
        <v/>
      </c>
      <c r="D173" t="str">
        <f>IF(采购录入!A163="","",采购录入!D163)</f>
        <v/>
      </c>
      <c r="E173" t="str">
        <f>IF(采购录入!A163="","",采购录入!I163)</f>
        <v/>
      </c>
      <c r="F173" t="str">
        <f>IF(采购录入!A163="","",采购录入!J163)</f>
        <v/>
      </c>
      <c r="G173" t="str">
        <f>IF(C173="","",SUMIFS(资金流水!$K$4:$K$203,资金流水!$F$4:$F$203,C173,资金流水!$D$4:$D$203,"供应商付款",资金流水!$A$4:$A$203,"&lt;="&amp;EOMONTH(应付跟进!$B$2,0)))</f>
        <v/>
      </c>
      <c r="H173" t="str">
        <f>IF(C173="","",SUMIFS($E$4:E172,$C$4:C172,C173))</f>
        <v/>
      </c>
      <c r="L173" t="str">
        <f>IF(C173="","",IF(OR(K173&lt;=0,F173=""),"",F173-EOMONTH(应付跟进!$B$2,0)))</f>
        <v/>
      </c>
      <c r="O173" t="str">
        <f>IF(采购录入!A163="","",采购录入!L163)</f>
        <v/>
      </c>
      <c r="P173" t="str">
        <f>IF(采购录入!A163="","",采购录入!M163)</f>
        <v/>
      </c>
    </row>
    <row r="174" spans="1:16">
      <c r="A174" t="str">
        <f>IF(采购录入!A164="","","采购")</f>
        <v/>
      </c>
      <c r="B174" t="str">
        <f>IF(采购录入!A164="","",采购录入!A164)</f>
        <v/>
      </c>
      <c r="C174" t="str">
        <f>IF(采购录入!A164="","",采购录入!C164)</f>
        <v/>
      </c>
      <c r="D174" t="str">
        <f>IF(采购录入!A164="","",采购录入!D164)</f>
        <v/>
      </c>
      <c r="E174" t="str">
        <f>IF(采购录入!A164="","",采购录入!I164)</f>
        <v/>
      </c>
      <c r="F174" t="str">
        <f>IF(采购录入!A164="","",采购录入!J164)</f>
        <v/>
      </c>
      <c r="G174" t="str">
        <f>IF(C174="","",SUMIFS(资金流水!$K$4:$K$203,资金流水!$F$4:$F$203,C174,资金流水!$D$4:$D$203,"供应商付款",资金流水!$A$4:$A$203,"&lt;="&amp;EOMONTH(应付跟进!$B$2,0)))</f>
        <v/>
      </c>
      <c r="H174" t="str">
        <f>IF(C174="","",SUMIFS($E$4:E173,$C$4:C173,C174))</f>
        <v/>
      </c>
      <c r="L174" t="str">
        <f>IF(C174="","",IF(OR(K174&lt;=0,F174=""),"",F174-EOMONTH(应付跟进!$B$2,0)))</f>
        <v/>
      </c>
      <c r="O174" t="str">
        <f>IF(采购录入!A164="","",采购录入!L164)</f>
        <v/>
      </c>
      <c r="P174" t="str">
        <f>IF(采购录入!A164="","",采购录入!M164)</f>
        <v/>
      </c>
    </row>
    <row r="175" spans="1:16">
      <c r="A175" t="str">
        <f>IF(采购录入!A165="","","采购")</f>
        <v/>
      </c>
      <c r="B175" t="str">
        <f>IF(采购录入!A165="","",采购录入!A165)</f>
        <v/>
      </c>
      <c r="C175" t="str">
        <f>IF(采购录入!A165="","",采购录入!C165)</f>
        <v/>
      </c>
      <c r="D175" t="str">
        <f>IF(采购录入!A165="","",采购录入!D165)</f>
        <v/>
      </c>
      <c r="E175" t="str">
        <f>IF(采购录入!A165="","",采购录入!I165)</f>
        <v/>
      </c>
      <c r="F175" t="str">
        <f>IF(采购录入!A165="","",采购录入!J165)</f>
        <v/>
      </c>
      <c r="G175" t="str">
        <f>IF(C175="","",SUMIFS(资金流水!$K$4:$K$203,资金流水!$F$4:$F$203,C175,资金流水!$D$4:$D$203,"供应商付款",资金流水!$A$4:$A$203,"&lt;="&amp;EOMONTH(应付跟进!$B$2,0)))</f>
        <v/>
      </c>
      <c r="H175" t="str">
        <f>IF(C175="","",SUMIFS($E$4:E174,$C$4:C174,C175))</f>
        <v/>
      </c>
      <c r="L175" t="str">
        <f>IF(C175="","",IF(OR(K175&lt;=0,F175=""),"",F175-EOMONTH(应付跟进!$B$2,0)))</f>
        <v/>
      </c>
      <c r="O175" t="str">
        <f>IF(采购录入!A165="","",采购录入!L165)</f>
        <v/>
      </c>
      <c r="P175" t="str">
        <f>IF(采购录入!A165="","",采购录入!M165)</f>
        <v/>
      </c>
    </row>
    <row r="176" spans="1:16">
      <c r="A176" t="str">
        <f>IF(采购录入!A166="","","采购")</f>
        <v/>
      </c>
      <c r="B176" t="str">
        <f>IF(采购录入!A166="","",采购录入!A166)</f>
        <v/>
      </c>
      <c r="C176" t="str">
        <f>IF(采购录入!A166="","",采购录入!C166)</f>
        <v/>
      </c>
      <c r="D176" t="str">
        <f>IF(采购录入!A166="","",采购录入!D166)</f>
        <v/>
      </c>
      <c r="E176" t="str">
        <f>IF(采购录入!A166="","",采购录入!I166)</f>
        <v/>
      </c>
      <c r="F176" t="str">
        <f>IF(采购录入!A166="","",采购录入!J166)</f>
        <v/>
      </c>
      <c r="G176" t="str">
        <f>IF(C176="","",SUMIFS(资金流水!$K$4:$K$203,资金流水!$F$4:$F$203,C176,资金流水!$D$4:$D$203,"供应商付款",资金流水!$A$4:$A$203,"&lt;="&amp;EOMONTH(应付跟进!$B$2,0)))</f>
        <v/>
      </c>
      <c r="H176" t="str">
        <f>IF(C176="","",SUMIFS($E$4:E175,$C$4:C175,C176))</f>
        <v/>
      </c>
      <c r="L176" t="str">
        <f>IF(C176="","",IF(OR(K176&lt;=0,F176=""),"",F176-EOMONTH(应付跟进!$B$2,0)))</f>
        <v/>
      </c>
      <c r="O176" t="str">
        <f>IF(采购录入!A166="","",采购录入!L166)</f>
        <v/>
      </c>
      <c r="P176" t="str">
        <f>IF(采购录入!A166="","",采购录入!M166)</f>
        <v/>
      </c>
    </row>
    <row r="177" spans="1:16">
      <c r="A177" t="str">
        <f>IF(采购录入!A167="","","采购")</f>
        <v/>
      </c>
      <c r="B177" t="str">
        <f>IF(采购录入!A167="","",采购录入!A167)</f>
        <v/>
      </c>
      <c r="C177" t="str">
        <f>IF(采购录入!A167="","",采购录入!C167)</f>
        <v/>
      </c>
      <c r="D177" t="str">
        <f>IF(采购录入!A167="","",采购录入!D167)</f>
        <v/>
      </c>
      <c r="E177" t="str">
        <f>IF(采购录入!A167="","",采购录入!I167)</f>
        <v/>
      </c>
      <c r="F177" t="str">
        <f>IF(采购录入!A167="","",采购录入!J167)</f>
        <v/>
      </c>
      <c r="G177" t="str">
        <f>IF(C177="","",SUMIFS(资金流水!$K$4:$K$203,资金流水!$F$4:$F$203,C177,资金流水!$D$4:$D$203,"供应商付款",资金流水!$A$4:$A$203,"&lt;="&amp;EOMONTH(应付跟进!$B$2,0)))</f>
        <v/>
      </c>
      <c r="H177" t="str">
        <f>IF(C177="","",SUMIFS($E$4:E176,$C$4:C176,C177))</f>
        <v/>
      </c>
      <c r="L177" t="str">
        <f>IF(C177="","",IF(OR(K177&lt;=0,F177=""),"",F177-EOMONTH(应付跟进!$B$2,0)))</f>
        <v/>
      </c>
      <c r="O177" t="str">
        <f>IF(采购录入!A167="","",采购录入!L167)</f>
        <v/>
      </c>
      <c r="P177" t="str">
        <f>IF(采购录入!A167="","",采购录入!M167)</f>
        <v/>
      </c>
    </row>
    <row r="178" spans="1:16">
      <c r="A178" t="str">
        <f>IF(采购录入!A168="","","采购")</f>
        <v/>
      </c>
      <c r="B178" t="str">
        <f>IF(采购录入!A168="","",采购录入!A168)</f>
        <v/>
      </c>
      <c r="C178" t="str">
        <f>IF(采购录入!A168="","",采购录入!C168)</f>
        <v/>
      </c>
      <c r="D178" t="str">
        <f>IF(采购录入!A168="","",采购录入!D168)</f>
        <v/>
      </c>
      <c r="E178" t="str">
        <f>IF(采购录入!A168="","",采购录入!I168)</f>
        <v/>
      </c>
      <c r="F178" t="str">
        <f>IF(采购录入!A168="","",采购录入!J168)</f>
        <v/>
      </c>
      <c r="G178" t="str">
        <f>IF(C178="","",SUMIFS(资金流水!$K$4:$K$203,资金流水!$F$4:$F$203,C178,资金流水!$D$4:$D$203,"供应商付款",资金流水!$A$4:$A$203,"&lt;="&amp;EOMONTH(应付跟进!$B$2,0)))</f>
        <v/>
      </c>
      <c r="H178" t="str">
        <f>IF(C178="","",SUMIFS($E$4:E177,$C$4:C177,C178))</f>
        <v/>
      </c>
      <c r="L178" t="str">
        <f>IF(C178="","",IF(OR(K178&lt;=0,F178=""),"",F178-EOMONTH(应付跟进!$B$2,0)))</f>
        <v/>
      </c>
      <c r="O178" t="str">
        <f>IF(采购录入!A168="","",采购录入!L168)</f>
        <v/>
      </c>
      <c r="P178" t="str">
        <f>IF(采购录入!A168="","",采购录入!M168)</f>
        <v/>
      </c>
    </row>
    <row r="179" spans="1:16">
      <c r="A179" t="str">
        <f>IF(采购录入!A169="","","采购")</f>
        <v/>
      </c>
      <c r="B179" t="str">
        <f>IF(采购录入!A169="","",采购录入!A169)</f>
        <v/>
      </c>
      <c r="C179" t="str">
        <f>IF(采购录入!A169="","",采购录入!C169)</f>
        <v/>
      </c>
      <c r="D179" t="str">
        <f>IF(采购录入!A169="","",采购录入!D169)</f>
        <v/>
      </c>
      <c r="E179" t="str">
        <f>IF(采购录入!A169="","",采购录入!I169)</f>
        <v/>
      </c>
      <c r="F179" t="str">
        <f>IF(采购录入!A169="","",采购录入!J169)</f>
        <v/>
      </c>
      <c r="G179" t="str">
        <f>IF(C179="","",SUMIFS(资金流水!$K$4:$K$203,资金流水!$F$4:$F$203,C179,资金流水!$D$4:$D$203,"供应商付款",资金流水!$A$4:$A$203,"&lt;="&amp;EOMONTH(应付跟进!$B$2,0)))</f>
        <v/>
      </c>
      <c r="H179" t="str">
        <f>IF(C179="","",SUMIFS($E$4:E178,$C$4:C178,C179))</f>
        <v/>
      </c>
      <c r="L179" t="str">
        <f>IF(C179="","",IF(OR(K179&lt;=0,F179=""),"",F179-EOMONTH(应付跟进!$B$2,0)))</f>
        <v/>
      </c>
      <c r="O179" t="str">
        <f>IF(采购录入!A169="","",采购录入!L169)</f>
        <v/>
      </c>
      <c r="P179" t="str">
        <f>IF(采购录入!A169="","",采购录入!M169)</f>
        <v/>
      </c>
    </row>
    <row r="180" spans="1:16">
      <c r="A180" t="str">
        <f>IF(采购录入!A170="","","采购")</f>
        <v/>
      </c>
      <c r="B180" t="str">
        <f>IF(采购录入!A170="","",采购录入!A170)</f>
        <v/>
      </c>
      <c r="C180" t="str">
        <f>IF(采购录入!A170="","",采购录入!C170)</f>
        <v/>
      </c>
      <c r="D180" t="str">
        <f>IF(采购录入!A170="","",采购录入!D170)</f>
        <v/>
      </c>
      <c r="E180" t="str">
        <f>IF(采购录入!A170="","",采购录入!I170)</f>
        <v/>
      </c>
      <c r="F180" t="str">
        <f>IF(采购录入!A170="","",采购录入!J170)</f>
        <v/>
      </c>
      <c r="G180" t="str">
        <f>IF(C180="","",SUMIFS(资金流水!$K$4:$K$203,资金流水!$F$4:$F$203,C180,资金流水!$D$4:$D$203,"供应商付款",资金流水!$A$4:$A$203,"&lt;="&amp;EOMONTH(应付跟进!$B$2,0)))</f>
        <v/>
      </c>
      <c r="H180" t="str">
        <f>IF(C180="","",SUMIFS($E$4:E179,$C$4:C179,C180))</f>
        <v/>
      </c>
      <c r="L180" t="str">
        <f>IF(C180="","",IF(OR(K180&lt;=0,F180=""),"",F180-EOMONTH(应付跟进!$B$2,0)))</f>
        <v/>
      </c>
      <c r="O180" t="str">
        <f>IF(采购录入!A170="","",采购录入!L170)</f>
        <v/>
      </c>
      <c r="P180" t="str">
        <f>IF(采购录入!A170="","",采购录入!M170)</f>
        <v/>
      </c>
    </row>
    <row r="181" spans="1:16">
      <c r="A181" t="str">
        <f>IF(采购录入!A171="","","采购")</f>
        <v/>
      </c>
      <c r="B181" t="str">
        <f>IF(采购录入!A171="","",采购录入!A171)</f>
        <v/>
      </c>
      <c r="C181" t="str">
        <f>IF(采购录入!A171="","",采购录入!C171)</f>
        <v/>
      </c>
      <c r="D181" t="str">
        <f>IF(采购录入!A171="","",采购录入!D171)</f>
        <v/>
      </c>
      <c r="E181" t="str">
        <f>IF(采购录入!A171="","",采购录入!I171)</f>
        <v/>
      </c>
      <c r="F181" t="str">
        <f>IF(采购录入!A171="","",采购录入!J171)</f>
        <v/>
      </c>
      <c r="G181" t="str">
        <f>IF(C181="","",SUMIFS(资金流水!$K$4:$K$203,资金流水!$F$4:$F$203,C181,资金流水!$D$4:$D$203,"供应商付款",资金流水!$A$4:$A$203,"&lt;="&amp;EOMONTH(应付跟进!$B$2,0)))</f>
        <v/>
      </c>
      <c r="H181" t="str">
        <f>IF(C181="","",SUMIFS($E$4:E180,$C$4:C180,C181))</f>
        <v/>
      </c>
      <c r="L181" t="str">
        <f>IF(C181="","",IF(OR(K181&lt;=0,F181=""),"",F181-EOMONTH(应付跟进!$B$2,0)))</f>
        <v/>
      </c>
      <c r="O181" t="str">
        <f>IF(采购录入!A171="","",采购录入!L171)</f>
        <v/>
      </c>
      <c r="P181" t="str">
        <f>IF(采购录入!A171="","",采购录入!M171)</f>
        <v/>
      </c>
    </row>
    <row r="182" spans="1:16">
      <c r="A182" t="str">
        <f>IF(采购录入!A172="","","采购")</f>
        <v/>
      </c>
      <c r="B182" t="str">
        <f>IF(采购录入!A172="","",采购录入!A172)</f>
        <v/>
      </c>
      <c r="C182" t="str">
        <f>IF(采购录入!A172="","",采购录入!C172)</f>
        <v/>
      </c>
      <c r="D182" t="str">
        <f>IF(采购录入!A172="","",采购录入!D172)</f>
        <v/>
      </c>
      <c r="E182" t="str">
        <f>IF(采购录入!A172="","",采购录入!I172)</f>
        <v/>
      </c>
      <c r="F182" t="str">
        <f>IF(采购录入!A172="","",采购录入!J172)</f>
        <v/>
      </c>
      <c r="G182" t="str">
        <f>IF(C182="","",SUMIFS(资金流水!$K$4:$K$203,资金流水!$F$4:$F$203,C182,资金流水!$D$4:$D$203,"供应商付款",资金流水!$A$4:$A$203,"&lt;="&amp;EOMONTH(应付跟进!$B$2,0)))</f>
        <v/>
      </c>
      <c r="H182" t="str">
        <f>IF(C182="","",SUMIFS($E$4:E181,$C$4:C181,C182))</f>
        <v/>
      </c>
      <c r="L182" t="str">
        <f>IF(C182="","",IF(OR(K182&lt;=0,F182=""),"",F182-EOMONTH(应付跟进!$B$2,0)))</f>
        <v/>
      </c>
      <c r="O182" t="str">
        <f>IF(采购录入!A172="","",采购录入!L172)</f>
        <v/>
      </c>
      <c r="P182" t="str">
        <f>IF(采购录入!A172="","",采购录入!M172)</f>
        <v/>
      </c>
    </row>
    <row r="183" spans="1:16">
      <c r="A183" t="str">
        <f>IF(采购录入!A173="","","采购")</f>
        <v/>
      </c>
      <c r="B183" t="str">
        <f>IF(采购录入!A173="","",采购录入!A173)</f>
        <v/>
      </c>
      <c r="C183" t="str">
        <f>IF(采购录入!A173="","",采购录入!C173)</f>
        <v/>
      </c>
      <c r="D183" t="str">
        <f>IF(采购录入!A173="","",采购录入!D173)</f>
        <v/>
      </c>
      <c r="E183" t="str">
        <f>IF(采购录入!A173="","",采购录入!I173)</f>
        <v/>
      </c>
      <c r="F183" t="str">
        <f>IF(采购录入!A173="","",采购录入!J173)</f>
        <v/>
      </c>
      <c r="G183" t="str">
        <f>IF(C183="","",SUMIFS(资金流水!$K$4:$K$203,资金流水!$F$4:$F$203,C183,资金流水!$D$4:$D$203,"供应商付款",资金流水!$A$4:$A$203,"&lt;="&amp;EOMONTH(应付跟进!$B$2,0)))</f>
        <v/>
      </c>
      <c r="H183" t="str">
        <f>IF(C183="","",SUMIFS($E$4:E182,$C$4:C182,C183))</f>
        <v/>
      </c>
      <c r="L183" t="str">
        <f>IF(C183="","",IF(OR(K183&lt;=0,F183=""),"",F183-EOMONTH(应付跟进!$B$2,0)))</f>
        <v/>
      </c>
      <c r="O183" t="str">
        <f>IF(采购录入!A173="","",采购录入!L173)</f>
        <v/>
      </c>
      <c r="P183" t="str">
        <f>IF(采购录入!A173="","",采购录入!M173)</f>
        <v/>
      </c>
    </row>
    <row r="184" spans="1:16">
      <c r="A184" t="str">
        <f>IF(采购录入!A174="","","采购")</f>
        <v/>
      </c>
      <c r="B184" t="str">
        <f>IF(采购录入!A174="","",采购录入!A174)</f>
        <v/>
      </c>
      <c r="C184" t="str">
        <f>IF(采购录入!A174="","",采购录入!C174)</f>
        <v/>
      </c>
      <c r="D184" t="str">
        <f>IF(采购录入!A174="","",采购录入!D174)</f>
        <v/>
      </c>
      <c r="E184" t="str">
        <f>IF(采购录入!A174="","",采购录入!I174)</f>
        <v/>
      </c>
      <c r="F184" t="str">
        <f>IF(采购录入!A174="","",采购录入!J174)</f>
        <v/>
      </c>
      <c r="G184" t="str">
        <f>IF(C184="","",SUMIFS(资金流水!$K$4:$K$203,资金流水!$F$4:$F$203,C184,资金流水!$D$4:$D$203,"供应商付款",资金流水!$A$4:$A$203,"&lt;="&amp;EOMONTH(应付跟进!$B$2,0)))</f>
        <v/>
      </c>
      <c r="H184" t="str">
        <f>IF(C184="","",SUMIFS($E$4:E183,$C$4:C183,C184))</f>
        <v/>
      </c>
      <c r="L184" t="str">
        <f>IF(C184="","",IF(OR(K184&lt;=0,F184=""),"",F184-EOMONTH(应付跟进!$B$2,0)))</f>
        <v/>
      </c>
      <c r="O184" t="str">
        <f>IF(采购录入!A174="","",采购录入!L174)</f>
        <v/>
      </c>
      <c r="P184" t="str">
        <f>IF(采购录入!A174="","",采购录入!M174)</f>
        <v/>
      </c>
    </row>
    <row r="185" spans="1:16">
      <c r="A185" t="str">
        <f>IF(采购录入!A175="","","采购")</f>
        <v/>
      </c>
      <c r="B185" t="str">
        <f>IF(采购录入!A175="","",采购录入!A175)</f>
        <v/>
      </c>
      <c r="C185" t="str">
        <f>IF(采购录入!A175="","",采购录入!C175)</f>
        <v/>
      </c>
      <c r="D185" t="str">
        <f>IF(采购录入!A175="","",采购录入!D175)</f>
        <v/>
      </c>
      <c r="E185" t="str">
        <f>IF(采购录入!A175="","",采购录入!I175)</f>
        <v/>
      </c>
      <c r="F185" t="str">
        <f>IF(采购录入!A175="","",采购录入!J175)</f>
        <v/>
      </c>
      <c r="G185" t="str">
        <f>IF(C185="","",SUMIFS(资金流水!$K$4:$K$203,资金流水!$F$4:$F$203,C185,资金流水!$D$4:$D$203,"供应商付款",资金流水!$A$4:$A$203,"&lt;="&amp;EOMONTH(应付跟进!$B$2,0)))</f>
        <v/>
      </c>
      <c r="H185" t="str">
        <f>IF(C185="","",SUMIFS($E$4:E184,$C$4:C184,C185))</f>
        <v/>
      </c>
      <c r="L185" t="str">
        <f>IF(C185="","",IF(OR(K185&lt;=0,F185=""),"",F185-EOMONTH(应付跟进!$B$2,0)))</f>
        <v/>
      </c>
      <c r="O185" t="str">
        <f>IF(采购录入!A175="","",采购录入!L175)</f>
        <v/>
      </c>
      <c r="P185" t="str">
        <f>IF(采购录入!A175="","",采购录入!M175)</f>
        <v/>
      </c>
    </row>
    <row r="186" spans="1:16">
      <c r="A186" t="str">
        <f>IF(采购录入!A176="","","采购")</f>
        <v/>
      </c>
      <c r="B186" t="str">
        <f>IF(采购录入!A176="","",采购录入!A176)</f>
        <v/>
      </c>
      <c r="C186" t="str">
        <f>IF(采购录入!A176="","",采购录入!C176)</f>
        <v/>
      </c>
      <c r="D186" t="str">
        <f>IF(采购录入!A176="","",采购录入!D176)</f>
        <v/>
      </c>
      <c r="E186" t="str">
        <f>IF(采购录入!A176="","",采购录入!I176)</f>
        <v/>
      </c>
      <c r="F186" t="str">
        <f>IF(采购录入!A176="","",采购录入!J176)</f>
        <v/>
      </c>
      <c r="G186" t="str">
        <f>IF(C186="","",SUMIFS(资金流水!$K$4:$K$203,资金流水!$F$4:$F$203,C186,资金流水!$D$4:$D$203,"供应商付款",资金流水!$A$4:$A$203,"&lt;="&amp;EOMONTH(应付跟进!$B$2,0)))</f>
        <v/>
      </c>
      <c r="H186" t="str">
        <f>IF(C186="","",SUMIFS($E$4:E185,$C$4:C185,C186))</f>
        <v/>
      </c>
      <c r="L186" t="str">
        <f>IF(C186="","",IF(OR(K186&lt;=0,F186=""),"",F186-EOMONTH(应付跟进!$B$2,0)))</f>
        <v/>
      </c>
      <c r="O186" t="str">
        <f>IF(采购录入!A176="","",采购录入!L176)</f>
        <v/>
      </c>
      <c r="P186" t="str">
        <f>IF(采购录入!A176="","",采购录入!M176)</f>
        <v/>
      </c>
    </row>
    <row r="187" spans="1:16">
      <c r="A187" t="str">
        <f>IF(采购录入!A177="","","采购")</f>
        <v/>
      </c>
      <c r="B187" t="str">
        <f>IF(采购录入!A177="","",采购录入!A177)</f>
        <v/>
      </c>
      <c r="C187" t="str">
        <f>IF(采购录入!A177="","",采购录入!C177)</f>
        <v/>
      </c>
      <c r="D187" t="str">
        <f>IF(采购录入!A177="","",采购录入!D177)</f>
        <v/>
      </c>
      <c r="E187" t="str">
        <f>IF(采购录入!A177="","",采购录入!I177)</f>
        <v/>
      </c>
      <c r="F187" t="str">
        <f>IF(采购录入!A177="","",采购录入!J177)</f>
        <v/>
      </c>
      <c r="G187" t="str">
        <f>IF(C187="","",SUMIFS(资金流水!$K$4:$K$203,资金流水!$F$4:$F$203,C187,资金流水!$D$4:$D$203,"供应商付款",资金流水!$A$4:$A$203,"&lt;="&amp;EOMONTH(应付跟进!$B$2,0)))</f>
        <v/>
      </c>
      <c r="H187" t="str">
        <f>IF(C187="","",SUMIFS($E$4:E186,$C$4:C186,C187))</f>
        <v/>
      </c>
      <c r="L187" t="str">
        <f>IF(C187="","",IF(OR(K187&lt;=0,F187=""),"",F187-EOMONTH(应付跟进!$B$2,0)))</f>
        <v/>
      </c>
      <c r="O187" t="str">
        <f>IF(采购录入!A177="","",采购录入!L177)</f>
        <v/>
      </c>
      <c r="P187" t="str">
        <f>IF(采购录入!A177="","",采购录入!M177)</f>
        <v/>
      </c>
    </row>
    <row r="188" spans="1:16">
      <c r="A188" t="str">
        <f>IF(采购录入!A178="","","采购")</f>
        <v/>
      </c>
      <c r="B188" t="str">
        <f>IF(采购录入!A178="","",采购录入!A178)</f>
        <v/>
      </c>
      <c r="C188" t="str">
        <f>IF(采购录入!A178="","",采购录入!C178)</f>
        <v/>
      </c>
      <c r="D188" t="str">
        <f>IF(采购录入!A178="","",采购录入!D178)</f>
        <v/>
      </c>
      <c r="E188" t="str">
        <f>IF(采购录入!A178="","",采购录入!I178)</f>
        <v/>
      </c>
      <c r="F188" t="str">
        <f>IF(采购录入!A178="","",采购录入!J178)</f>
        <v/>
      </c>
      <c r="G188" t="str">
        <f>IF(C188="","",SUMIFS(资金流水!$K$4:$K$203,资金流水!$F$4:$F$203,C188,资金流水!$D$4:$D$203,"供应商付款",资金流水!$A$4:$A$203,"&lt;="&amp;EOMONTH(应付跟进!$B$2,0)))</f>
        <v/>
      </c>
      <c r="H188" t="str">
        <f>IF(C188="","",SUMIFS($E$4:E187,$C$4:C187,C188))</f>
        <v/>
      </c>
      <c r="L188" t="str">
        <f>IF(C188="","",IF(OR(K188&lt;=0,F188=""),"",F188-EOMONTH(应付跟进!$B$2,0)))</f>
        <v/>
      </c>
      <c r="O188" t="str">
        <f>IF(采购录入!A178="","",采购录入!L178)</f>
        <v/>
      </c>
      <c r="P188" t="str">
        <f>IF(采购录入!A178="","",采购录入!M178)</f>
        <v/>
      </c>
    </row>
    <row r="189" spans="1:16">
      <c r="A189" t="str">
        <f>IF(采购录入!A179="","","采购")</f>
        <v/>
      </c>
      <c r="B189" t="str">
        <f>IF(采购录入!A179="","",采购录入!A179)</f>
        <v/>
      </c>
      <c r="C189" t="str">
        <f>IF(采购录入!A179="","",采购录入!C179)</f>
        <v/>
      </c>
      <c r="D189" t="str">
        <f>IF(采购录入!A179="","",采购录入!D179)</f>
        <v/>
      </c>
      <c r="E189" t="str">
        <f>IF(采购录入!A179="","",采购录入!I179)</f>
        <v/>
      </c>
      <c r="F189" t="str">
        <f>IF(采购录入!A179="","",采购录入!J179)</f>
        <v/>
      </c>
      <c r="G189" t="str">
        <f>IF(C189="","",SUMIFS(资金流水!$K$4:$K$203,资金流水!$F$4:$F$203,C189,资金流水!$D$4:$D$203,"供应商付款",资金流水!$A$4:$A$203,"&lt;="&amp;EOMONTH(应付跟进!$B$2,0)))</f>
        <v/>
      </c>
      <c r="H189" t="str">
        <f>IF(C189="","",SUMIFS($E$4:E188,$C$4:C188,C189))</f>
        <v/>
      </c>
      <c r="L189" t="str">
        <f>IF(C189="","",IF(OR(K189&lt;=0,F189=""),"",F189-EOMONTH(应付跟进!$B$2,0)))</f>
        <v/>
      </c>
      <c r="O189" t="str">
        <f>IF(采购录入!A179="","",采购录入!L179)</f>
        <v/>
      </c>
      <c r="P189" t="str">
        <f>IF(采购录入!A179="","",采购录入!M179)</f>
        <v/>
      </c>
    </row>
    <row r="190" spans="1:16">
      <c r="A190" t="str">
        <f>IF(采购录入!A180="","","采购")</f>
        <v/>
      </c>
      <c r="B190" t="str">
        <f>IF(采购录入!A180="","",采购录入!A180)</f>
        <v/>
      </c>
      <c r="C190" t="str">
        <f>IF(采购录入!A180="","",采购录入!C180)</f>
        <v/>
      </c>
      <c r="D190" t="str">
        <f>IF(采购录入!A180="","",采购录入!D180)</f>
        <v/>
      </c>
      <c r="E190" t="str">
        <f>IF(采购录入!A180="","",采购录入!I180)</f>
        <v/>
      </c>
      <c r="F190" t="str">
        <f>IF(采购录入!A180="","",采购录入!J180)</f>
        <v/>
      </c>
      <c r="G190" t="str">
        <f>IF(C190="","",SUMIFS(资金流水!$K$4:$K$203,资金流水!$F$4:$F$203,C190,资金流水!$D$4:$D$203,"供应商付款",资金流水!$A$4:$A$203,"&lt;="&amp;EOMONTH(应付跟进!$B$2,0)))</f>
        <v/>
      </c>
      <c r="H190" t="str">
        <f>IF(C190="","",SUMIFS($E$4:E189,$C$4:C189,C190))</f>
        <v/>
      </c>
      <c r="L190" t="str">
        <f>IF(C190="","",IF(OR(K190&lt;=0,F190=""),"",F190-EOMONTH(应付跟进!$B$2,0)))</f>
        <v/>
      </c>
      <c r="O190" t="str">
        <f>IF(采购录入!A180="","",采购录入!L180)</f>
        <v/>
      </c>
      <c r="P190" t="str">
        <f>IF(采购录入!A180="","",采购录入!M180)</f>
        <v/>
      </c>
    </row>
    <row r="191" spans="1:16">
      <c r="A191" t="str">
        <f>IF(采购录入!A181="","","采购")</f>
        <v/>
      </c>
      <c r="B191" t="str">
        <f>IF(采购录入!A181="","",采购录入!A181)</f>
        <v/>
      </c>
      <c r="C191" t="str">
        <f>IF(采购录入!A181="","",采购录入!C181)</f>
        <v/>
      </c>
      <c r="D191" t="str">
        <f>IF(采购录入!A181="","",采购录入!D181)</f>
        <v/>
      </c>
      <c r="E191" t="str">
        <f>IF(采购录入!A181="","",采购录入!I181)</f>
        <v/>
      </c>
      <c r="F191" t="str">
        <f>IF(采购录入!A181="","",采购录入!J181)</f>
        <v/>
      </c>
      <c r="G191" t="str">
        <f>IF(C191="","",SUMIFS(资金流水!$K$4:$K$203,资金流水!$F$4:$F$203,C191,资金流水!$D$4:$D$203,"供应商付款",资金流水!$A$4:$A$203,"&lt;="&amp;EOMONTH(应付跟进!$B$2,0)))</f>
        <v/>
      </c>
      <c r="H191" t="str">
        <f>IF(C191="","",SUMIFS($E$4:E190,$C$4:C190,C191))</f>
        <v/>
      </c>
      <c r="L191" t="str">
        <f>IF(C191="","",IF(OR(K191&lt;=0,F191=""),"",F191-EOMONTH(应付跟进!$B$2,0)))</f>
        <v/>
      </c>
      <c r="O191" t="str">
        <f>IF(采购录入!A181="","",采购录入!L181)</f>
        <v/>
      </c>
      <c r="P191" t="str">
        <f>IF(采购录入!A181="","",采购录入!M181)</f>
        <v/>
      </c>
    </row>
    <row r="192" spans="1:16">
      <c r="A192" t="str">
        <f>IF(采购录入!A182="","","采购")</f>
        <v/>
      </c>
      <c r="B192" t="str">
        <f>IF(采购录入!A182="","",采购录入!A182)</f>
        <v/>
      </c>
      <c r="C192" t="str">
        <f>IF(采购录入!A182="","",采购录入!C182)</f>
        <v/>
      </c>
      <c r="D192" t="str">
        <f>IF(采购录入!A182="","",采购录入!D182)</f>
        <v/>
      </c>
      <c r="E192" t="str">
        <f>IF(采购录入!A182="","",采购录入!I182)</f>
        <v/>
      </c>
      <c r="F192" t="str">
        <f>IF(采购录入!A182="","",采购录入!J182)</f>
        <v/>
      </c>
      <c r="G192" t="str">
        <f>IF(C192="","",SUMIFS(资金流水!$K$4:$K$203,资金流水!$F$4:$F$203,C192,资金流水!$D$4:$D$203,"供应商付款",资金流水!$A$4:$A$203,"&lt;="&amp;EOMONTH(应付跟进!$B$2,0)))</f>
        <v/>
      </c>
      <c r="H192" t="str">
        <f>IF(C192="","",SUMIFS($E$4:E191,$C$4:C191,C192))</f>
        <v/>
      </c>
      <c r="L192" t="str">
        <f>IF(C192="","",IF(OR(K192&lt;=0,F192=""),"",F192-EOMONTH(应付跟进!$B$2,0)))</f>
        <v/>
      </c>
      <c r="O192" t="str">
        <f>IF(采购录入!A182="","",采购录入!L182)</f>
        <v/>
      </c>
      <c r="P192" t="str">
        <f>IF(采购录入!A182="","",采购录入!M182)</f>
        <v/>
      </c>
    </row>
    <row r="193" spans="1:16">
      <c r="A193" t="str">
        <f>IF(采购录入!A183="","","采购")</f>
        <v/>
      </c>
      <c r="B193" t="str">
        <f>IF(采购录入!A183="","",采购录入!A183)</f>
        <v/>
      </c>
      <c r="C193" t="str">
        <f>IF(采购录入!A183="","",采购录入!C183)</f>
        <v/>
      </c>
      <c r="D193" t="str">
        <f>IF(采购录入!A183="","",采购录入!D183)</f>
        <v/>
      </c>
      <c r="E193" t="str">
        <f>IF(采购录入!A183="","",采购录入!I183)</f>
        <v/>
      </c>
      <c r="F193" t="str">
        <f>IF(采购录入!A183="","",采购录入!J183)</f>
        <v/>
      </c>
      <c r="G193" t="str">
        <f>IF(C193="","",SUMIFS(资金流水!$K$4:$K$203,资金流水!$F$4:$F$203,C193,资金流水!$D$4:$D$203,"供应商付款",资金流水!$A$4:$A$203,"&lt;="&amp;EOMONTH(应付跟进!$B$2,0)))</f>
        <v/>
      </c>
      <c r="H193" t="str">
        <f>IF(C193="","",SUMIFS($E$4:E192,$C$4:C192,C193))</f>
        <v/>
      </c>
      <c r="L193" t="str">
        <f>IF(C193="","",IF(OR(K193&lt;=0,F193=""),"",F193-EOMONTH(应付跟进!$B$2,0)))</f>
        <v/>
      </c>
      <c r="O193" t="str">
        <f>IF(采购录入!A183="","",采购录入!L183)</f>
        <v/>
      </c>
      <c r="P193" t="str">
        <f>IF(采购录入!A183="","",采购录入!M183)</f>
        <v/>
      </c>
    </row>
    <row r="194" spans="1:16">
      <c r="A194" t="str">
        <f>IF(采购录入!A184="","","采购")</f>
        <v/>
      </c>
      <c r="B194" t="str">
        <f>IF(采购录入!A184="","",采购录入!A184)</f>
        <v/>
      </c>
      <c r="C194" t="str">
        <f>IF(采购录入!A184="","",采购录入!C184)</f>
        <v/>
      </c>
      <c r="D194" t="str">
        <f>IF(采购录入!A184="","",采购录入!D184)</f>
        <v/>
      </c>
      <c r="E194" t="str">
        <f>IF(采购录入!A184="","",采购录入!I184)</f>
        <v/>
      </c>
      <c r="F194" t="str">
        <f>IF(采购录入!A184="","",采购录入!J184)</f>
        <v/>
      </c>
      <c r="G194" t="str">
        <f>IF(C194="","",SUMIFS(资金流水!$K$4:$K$203,资金流水!$F$4:$F$203,C194,资金流水!$D$4:$D$203,"供应商付款",资金流水!$A$4:$A$203,"&lt;="&amp;EOMONTH(应付跟进!$B$2,0)))</f>
        <v/>
      </c>
      <c r="H194" t="str">
        <f>IF(C194="","",SUMIFS($E$4:E193,$C$4:C193,C194))</f>
        <v/>
      </c>
      <c r="L194" t="str">
        <f>IF(C194="","",IF(OR(K194&lt;=0,F194=""),"",F194-EOMONTH(应付跟进!$B$2,0)))</f>
        <v/>
      </c>
      <c r="O194" t="str">
        <f>IF(采购录入!A184="","",采购录入!L184)</f>
        <v/>
      </c>
      <c r="P194" t="str">
        <f>IF(采购录入!A184="","",采购录入!M184)</f>
        <v/>
      </c>
    </row>
    <row r="195" spans="1:16">
      <c r="A195" t="str">
        <f>IF(采购录入!A185="","","采购")</f>
        <v/>
      </c>
      <c r="B195" t="str">
        <f>IF(采购录入!A185="","",采购录入!A185)</f>
        <v/>
      </c>
      <c r="C195" t="str">
        <f>IF(采购录入!A185="","",采购录入!C185)</f>
        <v/>
      </c>
      <c r="D195" t="str">
        <f>IF(采购录入!A185="","",采购录入!D185)</f>
        <v/>
      </c>
      <c r="E195" t="str">
        <f>IF(采购录入!A185="","",采购录入!I185)</f>
        <v/>
      </c>
      <c r="F195" t="str">
        <f>IF(采购录入!A185="","",采购录入!J185)</f>
        <v/>
      </c>
      <c r="G195" t="str">
        <f>IF(C195="","",SUMIFS(资金流水!$K$4:$K$203,资金流水!$F$4:$F$203,C195,资金流水!$D$4:$D$203,"供应商付款",资金流水!$A$4:$A$203,"&lt;="&amp;EOMONTH(应付跟进!$B$2,0)))</f>
        <v/>
      </c>
      <c r="H195" t="str">
        <f>IF(C195="","",SUMIFS($E$4:E194,$C$4:C194,C195))</f>
        <v/>
      </c>
      <c r="L195" t="str">
        <f>IF(C195="","",IF(OR(K195&lt;=0,F195=""),"",F195-EOMONTH(应付跟进!$B$2,0)))</f>
        <v/>
      </c>
      <c r="O195" t="str">
        <f>IF(采购录入!A185="","",采购录入!L185)</f>
        <v/>
      </c>
      <c r="P195" t="str">
        <f>IF(采购录入!A185="","",采购录入!M185)</f>
        <v/>
      </c>
    </row>
    <row r="196" spans="1:16">
      <c r="A196" t="str">
        <f>IF(采购录入!A186="","","采购")</f>
        <v/>
      </c>
      <c r="B196" t="str">
        <f>IF(采购录入!A186="","",采购录入!A186)</f>
        <v/>
      </c>
      <c r="C196" t="str">
        <f>IF(采购录入!A186="","",采购录入!C186)</f>
        <v/>
      </c>
      <c r="D196" t="str">
        <f>IF(采购录入!A186="","",采购录入!D186)</f>
        <v/>
      </c>
      <c r="E196" t="str">
        <f>IF(采购录入!A186="","",采购录入!I186)</f>
        <v/>
      </c>
      <c r="F196" t="str">
        <f>IF(采购录入!A186="","",采购录入!J186)</f>
        <v/>
      </c>
      <c r="G196" t="str">
        <f>IF(C196="","",SUMIFS(资金流水!$K$4:$K$203,资金流水!$F$4:$F$203,C196,资金流水!$D$4:$D$203,"供应商付款",资金流水!$A$4:$A$203,"&lt;="&amp;EOMONTH(应付跟进!$B$2,0)))</f>
        <v/>
      </c>
      <c r="H196" t="str">
        <f>IF(C196="","",SUMIFS($E$4:E195,$C$4:C195,C196))</f>
        <v/>
      </c>
      <c r="L196" t="str">
        <f>IF(C196="","",IF(OR(K196&lt;=0,F196=""),"",F196-EOMONTH(应付跟进!$B$2,0)))</f>
        <v/>
      </c>
      <c r="O196" t="str">
        <f>IF(采购录入!A186="","",采购录入!L186)</f>
        <v/>
      </c>
      <c r="P196" t="str">
        <f>IF(采购录入!A186="","",采购录入!M186)</f>
        <v/>
      </c>
    </row>
    <row r="197" spans="1:16">
      <c r="A197" t="str">
        <f>IF(采购录入!A187="","","采购")</f>
        <v/>
      </c>
      <c r="B197" t="str">
        <f>IF(采购录入!A187="","",采购录入!A187)</f>
        <v/>
      </c>
      <c r="C197" t="str">
        <f>IF(采购录入!A187="","",采购录入!C187)</f>
        <v/>
      </c>
      <c r="D197" t="str">
        <f>IF(采购录入!A187="","",采购录入!D187)</f>
        <v/>
      </c>
      <c r="E197" t="str">
        <f>IF(采购录入!A187="","",采购录入!I187)</f>
        <v/>
      </c>
      <c r="F197" t="str">
        <f>IF(采购录入!A187="","",采购录入!J187)</f>
        <v/>
      </c>
      <c r="G197" t="str">
        <f>IF(C197="","",SUMIFS(资金流水!$K$4:$K$203,资金流水!$F$4:$F$203,C197,资金流水!$D$4:$D$203,"供应商付款",资金流水!$A$4:$A$203,"&lt;="&amp;EOMONTH(应付跟进!$B$2,0)))</f>
        <v/>
      </c>
      <c r="H197" t="str">
        <f>IF(C197="","",SUMIFS($E$4:E196,$C$4:C196,C197))</f>
        <v/>
      </c>
      <c r="L197" t="str">
        <f>IF(C197="","",IF(OR(K197&lt;=0,F197=""),"",F197-EOMONTH(应付跟进!$B$2,0)))</f>
        <v/>
      </c>
      <c r="O197" t="str">
        <f>IF(采购录入!A187="","",采购录入!L187)</f>
        <v/>
      </c>
      <c r="P197" t="str">
        <f>IF(采购录入!A187="","",采购录入!M187)</f>
        <v/>
      </c>
    </row>
    <row r="198" spans="1:16">
      <c r="A198" t="str">
        <f>IF(采购录入!A188="","","采购")</f>
        <v/>
      </c>
      <c r="B198" t="str">
        <f>IF(采购录入!A188="","",采购录入!A188)</f>
        <v/>
      </c>
      <c r="C198" t="str">
        <f>IF(采购录入!A188="","",采购录入!C188)</f>
        <v/>
      </c>
      <c r="D198" t="str">
        <f>IF(采购录入!A188="","",采购录入!D188)</f>
        <v/>
      </c>
      <c r="E198" t="str">
        <f>IF(采购录入!A188="","",采购录入!I188)</f>
        <v/>
      </c>
      <c r="F198" t="str">
        <f>IF(采购录入!A188="","",采购录入!J188)</f>
        <v/>
      </c>
      <c r="G198" t="str">
        <f>IF(C198="","",SUMIFS(资金流水!$K$4:$K$203,资金流水!$F$4:$F$203,C198,资金流水!$D$4:$D$203,"供应商付款",资金流水!$A$4:$A$203,"&lt;="&amp;EOMONTH(应付跟进!$B$2,0)))</f>
        <v/>
      </c>
      <c r="H198" t="str">
        <f>IF(C198="","",SUMIFS($E$4:E197,$C$4:C197,C198))</f>
        <v/>
      </c>
      <c r="L198" t="str">
        <f>IF(C198="","",IF(OR(K198&lt;=0,F198=""),"",F198-EOMONTH(应付跟进!$B$2,0)))</f>
        <v/>
      </c>
      <c r="O198" t="str">
        <f>IF(采购录入!A188="","",采购录入!L188)</f>
        <v/>
      </c>
      <c r="P198" t="str">
        <f>IF(采购录入!A188="","",采购录入!M188)</f>
        <v/>
      </c>
    </row>
    <row r="199" spans="1:16">
      <c r="A199" t="str">
        <f>IF(采购录入!A189="","","采购")</f>
        <v/>
      </c>
      <c r="B199" t="str">
        <f>IF(采购录入!A189="","",采购录入!A189)</f>
        <v/>
      </c>
      <c r="C199" t="str">
        <f>IF(采购录入!A189="","",采购录入!C189)</f>
        <v/>
      </c>
      <c r="D199" t="str">
        <f>IF(采购录入!A189="","",采购录入!D189)</f>
        <v/>
      </c>
      <c r="E199" t="str">
        <f>IF(采购录入!A189="","",采购录入!I189)</f>
        <v/>
      </c>
      <c r="F199" t="str">
        <f>IF(采购录入!A189="","",采购录入!J189)</f>
        <v/>
      </c>
      <c r="G199" t="str">
        <f>IF(C199="","",SUMIFS(资金流水!$K$4:$K$203,资金流水!$F$4:$F$203,C199,资金流水!$D$4:$D$203,"供应商付款",资金流水!$A$4:$A$203,"&lt;="&amp;EOMONTH(应付跟进!$B$2,0)))</f>
        <v/>
      </c>
      <c r="H199" t="str">
        <f>IF(C199="","",SUMIFS($E$4:E198,$C$4:C198,C199))</f>
        <v/>
      </c>
      <c r="L199" t="str">
        <f>IF(C199="","",IF(OR(K199&lt;=0,F199=""),"",F199-EOMONTH(应付跟进!$B$2,0)))</f>
        <v/>
      </c>
      <c r="O199" t="str">
        <f>IF(采购录入!A189="","",采购录入!L189)</f>
        <v/>
      </c>
      <c r="P199" t="str">
        <f>IF(采购录入!A189="","",采购录入!M189)</f>
        <v/>
      </c>
    </row>
    <row r="200" spans="1:16">
      <c r="A200" t="str">
        <f>IF(采购录入!A190="","","采购")</f>
        <v/>
      </c>
      <c r="B200" t="str">
        <f>IF(采购录入!A190="","",采购录入!A190)</f>
        <v/>
      </c>
      <c r="C200" t="str">
        <f>IF(采购录入!A190="","",采购录入!C190)</f>
        <v/>
      </c>
      <c r="D200" t="str">
        <f>IF(采购录入!A190="","",采购录入!D190)</f>
        <v/>
      </c>
      <c r="E200" t="str">
        <f>IF(采购录入!A190="","",采购录入!I190)</f>
        <v/>
      </c>
      <c r="F200" t="str">
        <f>IF(采购录入!A190="","",采购录入!J190)</f>
        <v/>
      </c>
      <c r="G200" t="str">
        <f>IF(C200="","",SUMIFS(资金流水!$K$4:$K$203,资金流水!$F$4:$F$203,C200,资金流水!$D$4:$D$203,"供应商付款",资金流水!$A$4:$A$203,"&lt;="&amp;EOMONTH(应付跟进!$B$2,0)))</f>
        <v/>
      </c>
      <c r="H200" t="str">
        <f>IF(C200="","",SUMIFS($E$4:E199,$C$4:C199,C200))</f>
        <v/>
      </c>
      <c r="L200" t="str">
        <f>IF(C200="","",IF(OR(K200&lt;=0,F200=""),"",F200-EOMONTH(应付跟进!$B$2,0)))</f>
        <v/>
      </c>
      <c r="O200" t="str">
        <f>IF(采购录入!A190="","",采购录入!L190)</f>
        <v/>
      </c>
      <c r="P200" t="str">
        <f>IF(采购录入!A190="","",采购录入!M190)</f>
        <v/>
      </c>
    </row>
    <row r="201" spans="1:16">
      <c r="A201" t="str">
        <f>IF(采购录入!A191="","","采购")</f>
        <v/>
      </c>
      <c r="B201" t="str">
        <f>IF(采购录入!A191="","",采购录入!A191)</f>
        <v/>
      </c>
      <c r="C201" t="str">
        <f>IF(采购录入!A191="","",采购录入!C191)</f>
        <v/>
      </c>
      <c r="D201" t="str">
        <f>IF(采购录入!A191="","",采购录入!D191)</f>
        <v/>
      </c>
      <c r="E201" t="str">
        <f>IF(采购录入!A191="","",采购录入!I191)</f>
        <v/>
      </c>
      <c r="F201" t="str">
        <f>IF(采购录入!A191="","",采购录入!J191)</f>
        <v/>
      </c>
      <c r="G201" t="str">
        <f>IF(C201="","",SUMIFS(资金流水!$K$4:$K$203,资金流水!$F$4:$F$203,C201,资金流水!$D$4:$D$203,"供应商付款",资金流水!$A$4:$A$203,"&lt;="&amp;EOMONTH(应付跟进!$B$2,0)))</f>
        <v/>
      </c>
      <c r="H201" t="str">
        <f>IF(C201="","",SUMIFS($E$4:E200,$C$4:C200,C201))</f>
        <v/>
      </c>
      <c r="L201" t="str">
        <f>IF(C201="","",IF(OR(K201&lt;=0,F201=""),"",F201-EOMONTH(应付跟进!$B$2,0)))</f>
        <v/>
      </c>
      <c r="O201" t="str">
        <f>IF(采购录入!A191="","",采购录入!L191)</f>
        <v/>
      </c>
      <c r="P201" t="str">
        <f>IF(采购录入!A191="","",采购录入!M191)</f>
        <v/>
      </c>
    </row>
    <row r="202" spans="1:16">
      <c r="A202" t="str">
        <f>IF(采购录入!A192="","","采购")</f>
        <v/>
      </c>
      <c r="B202" t="str">
        <f>IF(采购录入!A192="","",采购录入!A192)</f>
        <v/>
      </c>
      <c r="C202" t="str">
        <f>IF(采购录入!A192="","",采购录入!C192)</f>
        <v/>
      </c>
      <c r="D202" t="str">
        <f>IF(采购录入!A192="","",采购录入!D192)</f>
        <v/>
      </c>
      <c r="E202" t="str">
        <f>IF(采购录入!A192="","",采购录入!I192)</f>
        <v/>
      </c>
      <c r="F202" t="str">
        <f>IF(采购录入!A192="","",采购录入!J192)</f>
        <v/>
      </c>
      <c r="G202" t="str">
        <f>IF(C202="","",SUMIFS(资金流水!$K$4:$K$203,资金流水!$F$4:$F$203,C202,资金流水!$D$4:$D$203,"供应商付款",资金流水!$A$4:$A$203,"&lt;="&amp;EOMONTH(应付跟进!$B$2,0)))</f>
        <v/>
      </c>
      <c r="H202" t="str">
        <f>IF(C202="","",SUMIFS($E$4:E201,$C$4:C201,C202))</f>
        <v/>
      </c>
      <c r="L202" t="str">
        <f>IF(C202="","",IF(OR(K202&lt;=0,F202=""),"",F202-EOMONTH(应付跟进!$B$2,0)))</f>
        <v/>
      </c>
      <c r="O202" t="str">
        <f>IF(采购录入!A192="","",采购录入!L192)</f>
        <v/>
      </c>
      <c r="P202" t="str">
        <f>IF(采购录入!A192="","",采购录入!M192)</f>
        <v/>
      </c>
    </row>
    <row r="203" spans="1:16">
      <c r="A203" t="str">
        <f>IF(采购录入!A193="","","采购")</f>
        <v/>
      </c>
      <c r="B203" t="str">
        <f>IF(采购录入!A193="","",采购录入!A193)</f>
        <v/>
      </c>
      <c r="C203" t="str">
        <f>IF(采购录入!A193="","",采购录入!C193)</f>
        <v/>
      </c>
      <c r="D203" t="str">
        <f>IF(采购录入!A193="","",采购录入!D193)</f>
        <v/>
      </c>
      <c r="E203" t="str">
        <f>IF(采购录入!A193="","",采购录入!I193)</f>
        <v/>
      </c>
      <c r="F203" t="str">
        <f>IF(采购录入!A193="","",采购录入!J193)</f>
        <v/>
      </c>
      <c r="G203" t="str">
        <f>IF(C203="","",SUMIFS(资金流水!$K$4:$K$203,资金流水!$F$4:$F$203,C203,资金流水!$D$4:$D$203,"供应商付款",资金流水!$A$4:$A$203,"&lt;="&amp;EOMONTH(应付跟进!$B$2,0)))</f>
        <v/>
      </c>
      <c r="H203" t="str">
        <f>IF(C203="","",SUMIFS($E$4:E202,$C$4:C202,C203))</f>
        <v/>
      </c>
      <c r="L203" t="str">
        <f>IF(C203="","",IF(OR(K203&lt;=0,F203=""),"",F203-EOMONTH(应付跟进!$B$2,0)))</f>
        <v/>
      </c>
      <c r="O203" t="str">
        <f>IF(采购录入!A193="","",采购录入!L193)</f>
        <v/>
      </c>
      <c r="P203" t="str">
        <f>IF(采购录入!A193="","",采购录入!M193)</f>
        <v/>
      </c>
    </row>
    <row r="204" spans="1:16">
      <c r="A204" t="str">
        <f>IF(采购录入!A194="","","采购")</f>
        <v/>
      </c>
      <c r="B204" t="str">
        <f>IF(采购录入!A194="","",采购录入!A194)</f>
        <v/>
      </c>
      <c r="C204" t="str">
        <f>IF(采购录入!A194="","",采购录入!C194)</f>
        <v/>
      </c>
      <c r="D204" t="str">
        <f>IF(采购录入!A194="","",采购录入!D194)</f>
        <v/>
      </c>
      <c r="E204" t="str">
        <f>IF(采购录入!A194="","",采购录入!I194)</f>
        <v/>
      </c>
      <c r="F204" t="str">
        <f>IF(采购录入!A194="","",采购录入!J194)</f>
        <v/>
      </c>
      <c r="G204" t="str">
        <f>IF(C204="","",SUMIFS(资金流水!$K$4:$K$203,资金流水!$F$4:$F$203,C204,资金流水!$D$4:$D$203,"供应商付款",资金流水!$A$4:$A$203,"&lt;="&amp;EOMONTH(应付跟进!$B$2,0)))</f>
        <v/>
      </c>
      <c r="H204" t="str">
        <f>IF(C204="","",SUMIFS($E$4:E203,$C$4:C203,C204))</f>
        <v/>
      </c>
      <c r="L204" t="str">
        <f>IF(C204="","",IF(OR(K204&lt;=0,F204=""),"",F204-EOMONTH(应付跟进!$B$2,0)))</f>
        <v/>
      </c>
      <c r="O204" t="str">
        <f>IF(采购录入!A194="","",采购录入!L194)</f>
        <v/>
      </c>
      <c r="P204" t="str">
        <f>IF(采购录入!A194="","",采购录入!M194)</f>
        <v/>
      </c>
    </row>
    <row r="205" spans="1:16">
      <c r="A205" t="str">
        <f>IF(采购录入!A195="","","采购")</f>
        <v/>
      </c>
      <c r="B205" t="str">
        <f>IF(采购录入!A195="","",采购录入!A195)</f>
        <v/>
      </c>
      <c r="C205" t="str">
        <f>IF(采购录入!A195="","",采购录入!C195)</f>
        <v/>
      </c>
      <c r="D205" t="str">
        <f>IF(采购录入!A195="","",采购录入!D195)</f>
        <v/>
      </c>
      <c r="E205" t="str">
        <f>IF(采购录入!A195="","",采购录入!I195)</f>
        <v/>
      </c>
      <c r="F205" t="str">
        <f>IF(采购录入!A195="","",采购录入!J195)</f>
        <v/>
      </c>
      <c r="G205" t="str">
        <f>IF(C205="","",SUMIFS(资金流水!$K$4:$K$203,资金流水!$F$4:$F$203,C205,资金流水!$D$4:$D$203,"供应商付款",资金流水!$A$4:$A$203,"&lt;="&amp;EOMONTH(应付跟进!$B$2,0)))</f>
        <v/>
      </c>
      <c r="H205" t="str">
        <f>IF(C205="","",SUMIFS($E$4:E204,$C$4:C204,C205))</f>
        <v/>
      </c>
      <c r="L205" t="str">
        <f>IF(C205="","",IF(OR(K205&lt;=0,F205=""),"",F205-EOMONTH(应付跟进!$B$2,0)))</f>
        <v/>
      </c>
      <c r="O205" t="str">
        <f>IF(采购录入!A195="","",采购录入!L195)</f>
        <v/>
      </c>
      <c r="P205" t="str">
        <f>IF(采购录入!A195="","",采购录入!M195)</f>
        <v/>
      </c>
    </row>
    <row r="206" spans="1:16">
      <c r="A206" t="str">
        <f>IF(采购录入!A196="","","采购")</f>
        <v/>
      </c>
      <c r="B206" t="str">
        <f>IF(采购录入!A196="","",采购录入!A196)</f>
        <v/>
      </c>
      <c r="C206" t="str">
        <f>IF(采购录入!A196="","",采购录入!C196)</f>
        <v/>
      </c>
      <c r="D206" t="str">
        <f>IF(采购录入!A196="","",采购录入!D196)</f>
        <v/>
      </c>
      <c r="E206" t="str">
        <f>IF(采购录入!A196="","",采购录入!I196)</f>
        <v/>
      </c>
      <c r="F206" t="str">
        <f>IF(采购录入!A196="","",采购录入!J196)</f>
        <v/>
      </c>
      <c r="G206" t="str">
        <f>IF(C206="","",SUMIFS(资金流水!$K$4:$K$203,资金流水!$F$4:$F$203,C206,资金流水!$D$4:$D$203,"供应商付款",资金流水!$A$4:$A$203,"&lt;="&amp;EOMONTH(应付跟进!$B$2,0)))</f>
        <v/>
      </c>
      <c r="H206" t="str">
        <f>IF(C206="","",SUMIFS($E$4:E205,$C$4:C205,C206))</f>
        <v/>
      </c>
      <c r="L206" t="str">
        <f>IF(C206="","",IF(OR(K206&lt;=0,F206=""),"",F206-EOMONTH(应付跟进!$B$2,0)))</f>
        <v/>
      </c>
      <c r="O206" t="str">
        <f>IF(采购录入!A196="","",采购录入!L196)</f>
        <v/>
      </c>
      <c r="P206" t="str">
        <f>IF(采购录入!A196="","",采购录入!M196)</f>
        <v/>
      </c>
    </row>
    <row r="207" spans="1:16">
      <c r="A207" t="str">
        <f>IF(采购录入!A197="","","采购")</f>
        <v/>
      </c>
      <c r="B207" t="str">
        <f>IF(采购录入!A197="","",采购录入!A197)</f>
        <v/>
      </c>
      <c r="C207" t="str">
        <f>IF(采购录入!A197="","",采购录入!C197)</f>
        <v/>
      </c>
      <c r="D207" t="str">
        <f>IF(采购录入!A197="","",采购录入!D197)</f>
        <v/>
      </c>
      <c r="E207" t="str">
        <f>IF(采购录入!A197="","",采购录入!I197)</f>
        <v/>
      </c>
      <c r="F207" t="str">
        <f>IF(采购录入!A197="","",采购录入!J197)</f>
        <v/>
      </c>
      <c r="G207" t="str">
        <f>IF(C207="","",SUMIFS(资金流水!$K$4:$K$203,资金流水!$F$4:$F$203,C207,资金流水!$D$4:$D$203,"供应商付款",资金流水!$A$4:$A$203,"&lt;="&amp;EOMONTH(应付跟进!$B$2,0)))</f>
        <v/>
      </c>
      <c r="H207" t="str">
        <f>IF(C207="","",SUMIFS($E$4:E206,$C$4:C206,C207))</f>
        <v/>
      </c>
      <c r="L207" t="str">
        <f>IF(C207="","",IF(OR(K207&lt;=0,F207=""),"",F207-EOMONTH(应付跟进!$B$2,0)))</f>
        <v/>
      </c>
      <c r="O207" t="str">
        <f>IF(采购录入!A197="","",采购录入!L197)</f>
        <v/>
      </c>
      <c r="P207" t="str">
        <f>IF(采购录入!A197="","",采购录入!M197)</f>
        <v/>
      </c>
    </row>
    <row r="208" spans="1:16">
      <c r="A208" t="str">
        <f>IF(采购录入!A198="","","采购")</f>
        <v/>
      </c>
      <c r="B208" t="str">
        <f>IF(采购录入!A198="","",采购录入!A198)</f>
        <v/>
      </c>
      <c r="C208" t="str">
        <f>IF(采购录入!A198="","",采购录入!C198)</f>
        <v/>
      </c>
      <c r="D208" t="str">
        <f>IF(采购录入!A198="","",采购录入!D198)</f>
        <v/>
      </c>
      <c r="E208" t="str">
        <f>IF(采购录入!A198="","",采购录入!I198)</f>
        <v/>
      </c>
      <c r="F208" t="str">
        <f>IF(采购录入!A198="","",采购录入!J198)</f>
        <v/>
      </c>
      <c r="G208" t="str">
        <f>IF(C208="","",SUMIFS(资金流水!$K$4:$K$203,资金流水!$F$4:$F$203,C208,资金流水!$D$4:$D$203,"供应商付款",资金流水!$A$4:$A$203,"&lt;="&amp;EOMONTH(应付跟进!$B$2,0)))</f>
        <v/>
      </c>
      <c r="H208" t="str">
        <f>IF(C208="","",SUMIFS($E$4:E207,$C$4:C207,C208))</f>
        <v/>
      </c>
      <c r="L208" t="str">
        <f>IF(C208="","",IF(OR(K208&lt;=0,F208=""),"",F208-EOMONTH(应付跟进!$B$2,0)))</f>
        <v/>
      </c>
      <c r="O208" t="str">
        <f>IF(采购录入!A198="","",采购录入!L198)</f>
        <v/>
      </c>
      <c r="P208" t="str">
        <f>IF(采购录入!A198="","",采购录入!M198)</f>
        <v/>
      </c>
    </row>
    <row r="209" spans="1:16">
      <c r="A209" t="str">
        <f>IF(采购录入!A199="","","采购")</f>
        <v/>
      </c>
      <c r="B209" t="str">
        <f>IF(采购录入!A199="","",采购录入!A199)</f>
        <v/>
      </c>
      <c r="C209" t="str">
        <f>IF(采购录入!A199="","",采购录入!C199)</f>
        <v/>
      </c>
      <c r="D209" t="str">
        <f>IF(采购录入!A199="","",采购录入!D199)</f>
        <v/>
      </c>
      <c r="E209" t="str">
        <f>IF(采购录入!A199="","",采购录入!I199)</f>
        <v/>
      </c>
      <c r="F209" t="str">
        <f>IF(采购录入!A199="","",采购录入!J199)</f>
        <v/>
      </c>
      <c r="G209" t="str">
        <f>IF(C209="","",SUMIFS(资金流水!$K$4:$K$203,资金流水!$F$4:$F$203,C209,资金流水!$D$4:$D$203,"供应商付款",资金流水!$A$4:$A$203,"&lt;="&amp;EOMONTH(应付跟进!$B$2,0)))</f>
        <v/>
      </c>
      <c r="H209" t="str">
        <f>IF(C209="","",SUMIFS($E$4:E208,$C$4:C208,C209))</f>
        <v/>
      </c>
      <c r="L209" t="str">
        <f>IF(C209="","",IF(OR(K209&lt;=0,F209=""),"",F209-EOMONTH(应付跟进!$B$2,0)))</f>
        <v/>
      </c>
      <c r="O209" t="str">
        <f>IF(采购录入!A199="","",采购录入!L199)</f>
        <v/>
      </c>
      <c r="P209" t="str">
        <f>IF(采购录入!A199="","",采购录入!M199)</f>
        <v/>
      </c>
    </row>
    <row r="210" spans="1:16">
      <c r="A210" t="str">
        <f>IF(采购录入!A200="","","采购")</f>
        <v/>
      </c>
      <c r="B210" t="str">
        <f>IF(采购录入!A200="","",采购录入!A200)</f>
        <v/>
      </c>
      <c r="C210" t="str">
        <f>IF(采购录入!A200="","",采购录入!C200)</f>
        <v/>
      </c>
      <c r="D210" t="str">
        <f>IF(采购录入!A200="","",采购录入!D200)</f>
        <v/>
      </c>
      <c r="E210" t="str">
        <f>IF(采购录入!A200="","",采购录入!I200)</f>
        <v/>
      </c>
      <c r="F210" t="str">
        <f>IF(采购录入!A200="","",采购录入!J200)</f>
        <v/>
      </c>
      <c r="G210" t="str">
        <f>IF(C210="","",SUMIFS(资金流水!$K$4:$K$203,资金流水!$F$4:$F$203,C210,资金流水!$D$4:$D$203,"供应商付款",资金流水!$A$4:$A$203,"&lt;="&amp;EOMONTH(应付跟进!$B$2,0)))</f>
        <v/>
      </c>
      <c r="H210" t="str">
        <f>IF(C210="","",SUMIFS($E$4:E209,$C$4:C209,C210))</f>
        <v/>
      </c>
      <c r="L210" t="str">
        <f>IF(C210="","",IF(OR(K210&lt;=0,F210=""),"",F210-EOMONTH(应付跟进!$B$2,0)))</f>
        <v/>
      </c>
      <c r="O210" t="str">
        <f>IF(采购录入!A200="","",采购录入!L200)</f>
        <v/>
      </c>
      <c r="P210" t="str">
        <f>IF(采购录入!A200="","",采购录入!M200)</f>
        <v/>
      </c>
    </row>
    <row r="211" spans="1:16">
      <c r="A211" t="str">
        <f>IF(采购录入!A201="","","采购")</f>
        <v/>
      </c>
      <c r="B211" t="str">
        <f>IF(采购录入!A201="","",采购录入!A201)</f>
        <v/>
      </c>
      <c r="C211" t="str">
        <f>IF(采购录入!A201="","",采购录入!C201)</f>
        <v/>
      </c>
      <c r="D211" t="str">
        <f>IF(采购录入!A201="","",采购录入!D201)</f>
        <v/>
      </c>
      <c r="E211" t="str">
        <f>IF(采购录入!A201="","",采购录入!I201)</f>
        <v/>
      </c>
      <c r="F211" t="str">
        <f>IF(采购录入!A201="","",采购录入!J201)</f>
        <v/>
      </c>
      <c r="G211" t="str">
        <f>IF(C211="","",SUMIFS(资金流水!$K$4:$K$203,资金流水!$F$4:$F$203,C211,资金流水!$D$4:$D$203,"供应商付款",资金流水!$A$4:$A$203,"&lt;="&amp;EOMONTH(应付跟进!$B$2,0)))</f>
        <v/>
      </c>
      <c r="H211" t="str">
        <f>IF(C211="","",SUMIFS($E$4:E210,$C$4:C210,C211))</f>
        <v/>
      </c>
      <c r="L211" t="str">
        <f>IF(C211="","",IF(OR(K211&lt;=0,F211=""),"",F211-EOMONTH(应付跟进!$B$2,0)))</f>
        <v/>
      </c>
      <c r="O211" t="str">
        <f>IF(采购录入!A201="","",采购录入!L201)</f>
        <v/>
      </c>
      <c r="P211" t="str">
        <f>IF(采购录入!A201="","",采购录入!M201)</f>
        <v/>
      </c>
    </row>
    <row r="212" spans="1:16">
      <c r="A212" t="str">
        <f>IF(采购录入!A202="","","采购")</f>
        <v/>
      </c>
      <c r="B212" t="str">
        <f>IF(采购录入!A202="","",采购录入!A202)</f>
        <v/>
      </c>
      <c r="C212" t="str">
        <f>IF(采购录入!A202="","",采购录入!C202)</f>
        <v/>
      </c>
      <c r="D212" t="str">
        <f>IF(采购录入!A202="","",采购录入!D202)</f>
        <v/>
      </c>
      <c r="E212" t="str">
        <f>IF(采购录入!A202="","",采购录入!I202)</f>
        <v/>
      </c>
      <c r="F212" t="str">
        <f>IF(采购录入!A202="","",采购录入!J202)</f>
        <v/>
      </c>
      <c r="G212" t="str">
        <f>IF(C212="","",SUMIFS(资金流水!$K$4:$K$203,资金流水!$F$4:$F$203,C212,资金流水!$D$4:$D$203,"供应商付款",资金流水!$A$4:$A$203,"&lt;="&amp;EOMONTH(应付跟进!$B$2,0)))</f>
        <v/>
      </c>
      <c r="H212" t="str">
        <f>IF(C212="","",SUMIFS($E$4:E211,$C$4:C211,C212))</f>
        <v/>
      </c>
      <c r="L212" t="str">
        <f>IF(C212="","",IF(OR(K212&lt;=0,F212=""),"",F212-EOMONTH(应付跟进!$B$2,0)))</f>
        <v/>
      </c>
      <c r="O212" t="str">
        <f>IF(采购录入!A202="","",采购录入!L202)</f>
        <v/>
      </c>
      <c r="P212" t="str">
        <f>IF(采购录入!A202="","",采购录入!M202)</f>
        <v/>
      </c>
    </row>
    <row r="213" spans="1:16">
      <c r="A213" t="str">
        <f>IF(采购录入!A203="","","采购")</f>
        <v/>
      </c>
      <c r="B213" t="str">
        <f>IF(采购录入!A203="","",采购录入!A203)</f>
        <v/>
      </c>
      <c r="C213" t="str">
        <f>IF(采购录入!A203="","",采购录入!C203)</f>
        <v/>
      </c>
      <c r="D213" t="str">
        <f>IF(采购录入!A203="","",采购录入!D203)</f>
        <v/>
      </c>
      <c r="E213" t="str">
        <f>IF(采购录入!A203="","",采购录入!I203)</f>
        <v/>
      </c>
      <c r="F213" t="str">
        <f>IF(采购录入!A203="","",采购录入!J203)</f>
        <v/>
      </c>
      <c r="G213" t="str">
        <f>IF(C213="","",SUMIFS(资金流水!$K$4:$K$203,资金流水!$F$4:$F$203,C213,资金流水!$D$4:$D$203,"供应商付款",资金流水!$A$4:$A$203,"&lt;="&amp;EOMONTH(应付跟进!$B$2,0)))</f>
        <v/>
      </c>
      <c r="H213" t="str">
        <f>IF(C213="","",SUMIFS($E$4:E212,$C$4:C212,C213))</f>
        <v/>
      </c>
      <c r="L213" t="str">
        <f>IF(C213="","",IF(OR(K213&lt;=0,F213=""),"",F213-EOMONTH(应付跟进!$B$2,0)))</f>
        <v/>
      </c>
      <c r="O213" t="str">
        <f>IF(采购录入!A203="","",采购录入!L203)</f>
        <v/>
      </c>
      <c r="P213" t="str">
        <f>IF(采购录入!A203="","",采购录入!M203)</f>
        <v/>
      </c>
    </row>
  </sheetData>
  <mergeCells count="2">
    <mergeCell ref="A1:P1"/>
    <mergeCell ref="A2:P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A1" sqref="A1:H1"/>
    </sheetView>
  </sheetViews>
  <sheetFormatPr defaultColWidth="9" defaultRowHeight="14.25" outlineLevelCol="7"/>
  <cols>
    <col min="1" max="1" width="16" customWidth="1"/>
    <col min="2" max="2" width="13" customWidth="1"/>
    <col min="3" max="3" width="14" customWidth="1"/>
    <col min="4" max="8" width="16" customWidth="1"/>
  </cols>
  <sheetData>
    <row r="1" ht="21.75" spans="1:8">
      <c r="A1" s="56" t="s">
        <v>520</v>
      </c>
      <c r="B1" s="56"/>
      <c r="C1" s="56"/>
      <c r="D1" s="56"/>
      <c r="E1" s="56"/>
      <c r="F1" s="56"/>
      <c r="G1" s="56"/>
      <c r="H1" s="56"/>
    </row>
    <row r="2" spans="1:8">
      <c r="A2" t="s">
        <v>2</v>
      </c>
      <c r="B2" s="53">
        <f>首页!$B$4</f>
        <v>46174</v>
      </c>
    </row>
    <row r="3" ht="15" spans="1:8">
      <c r="A3" s="57" t="s">
        <v>521</v>
      </c>
      <c r="B3" s="58">
        <f>D55</f>
        <v>43200</v>
      </c>
      <c r="C3" s="57" t="s">
        <v>522</v>
      </c>
      <c r="D3" s="58">
        <f>E55</f>
        <v>54600</v>
      </c>
      <c r="E3" s="57" t="s">
        <v>523</v>
      </c>
      <c r="F3" s="58">
        <f>B3-D3</f>
        <v>-11400</v>
      </c>
      <c r="G3" s="57" t="s">
        <v>524</v>
      </c>
      <c r="H3" s="58">
        <f>H55</f>
        <v>848600</v>
      </c>
    </row>
    <row r="4" ht="15" spans="1:8">
      <c r="A4" s="43" t="s">
        <v>392</v>
      </c>
      <c r="B4" s="43" t="s">
        <v>393</v>
      </c>
      <c r="C4" s="43" t="s">
        <v>394</v>
      </c>
      <c r="D4" s="43" t="s">
        <v>525</v>
      </c>
      <c r="E4" s="43" t="s">
        <v>526</v>
      </c>
      <c r="F4" s="43" t="s">
        <v>527</v>
      </c>
      <c r="G4" s="43" t="s">
        <v>528</v>
      </c>
      <c r="H4" s="43" t="s">
        <v>529</v>
      </c>
    </row>
    <row r="5" spans="1:8">
      <c r="A5" t="str">
        <f>IF(基础资料!A5="","",基础资料!A5)</f>
        <v>现金</v>
      </c>
      <c r="B5" t="str">
        <f>IF(A5="","",基础资料!B5)</f>
        <v>现金类</v>
      </c>
      <c r="C5" s="17">
        <f>IF(A5="","",SUMIFS(期初数据!$C$5:$C$14,期初数据!$A$5:$A$14,A5))</f>
        <v>50000</v>
      </c>
      <c r="D5" s="17">
        <f>IF(A5="","",SUMIFS(资金流水!$J$4:$J$203,资金流水!$E$4:$E$203,A5,资金流水!$A$4:$A$203,"&gt;="&amp;DATE(YEAR($B$2),MONTH($B$2),1),资金流水!$A$4:$A$203,"&lt;="&amp;EOMONTH($B$2,0))+SUMIFS(资金流水!$K$4:$K$203,资金流水!$F$4:$F$203,A5,资金流水!$D$4:$D$203,"账户转账",资金流水!$A$4:$A$203,"&gt;="&amp;DATE(YEAR($B$2),MONTH($B$2),1),资金流水!$A$4:$A$203,"&lt;="&amp;EOMONTH($B$2,0)))</f>
        <v>0</v>
      </c>
      <c r="E5" s="17">
        <f>IF(A5="","",SUMIFS(资金流水!$K$4:$K$203,资金流水!$E$4:$E$203,A5,资金流水!$A$4:$A$203,"&gt;="&amp;DATE(YEAR($B$2),MONTH($B$2),1),资金流水!$A$4:$A$203,"&lt;="&amp;EOMONTH($B$2,0)))</f>
        <v>0</v>
      </c>
      <c r="F5" s="17">
        <f>IF(A5="","",SUMIFS(资金流水!$J$4:$J$203,资金流水!$E$4:$E$203,A5,资金流水!$A$4:$A$203,"&gt;="&amp;DATE(YEAR($B$2),1,1),资金流水!$A$4:$A$203,"&lt;="&amp;EOMONTH($B$2,0))+SUMIFS(资金流水!$K$4:$K$203,资金流水!$F$4:$F$203,A5,资金流水!$D$4:$D$203,"账户转账",资金流水!$A$4:$A$203,"&gt;="&amp;DATE(YEAR($B$2),1,1),资金流水!$A$4:$A$203,"&lt;="&amp;EOMONTH($B$2,0)))</f>
        <v>0</v>
      </c>
      <c r="G5" s="17">
        <f>IF(A5="","",SUMIFS(资金流水!$K$4:$K$203,资金流水!$E$4:$E$203,A5,资金流水!$A$4:$A$203,"&gt;="&amp;DATE(YEAR($B$2),1,1),资金流水!$A$4:$A$203,"&lt;="&amp;EOMONTH($B$2,0)))</f>
        <v>0</v>
      </c>
      <c r="H5" s="17">
        <f t="shared" ref="H5:H54" si="0">IF(A5="","",C5+F5-G5)</f>
        <v>50000</v>
      </c>
    </row>
    <row r="6" spans="1:8">
      <c r="A6" t="str">
        <f>IF(基础资料!A6="","",基础资料!A6)</f>
        <v>工商银行</v>
      </c>
      <c r="B6" t="str">
        <f>IF(A6="","",基础资料!B6)</f>
        <v>银行类</v>
      </c>
      <c r="C6" s="17">
        <f>IF(A6="","",SUMIFS(期初数据!$C$5:$C$14,期初数据!$A$5:$A$14,A6))</f>
        <v>300000</v>
      </c>
      <c r="D6" s="17">
        <f>IF(A6="","",SUMIFS(资金流水!$J$4:$J$203,资金流水!$E$4:$E$203,A6,资金流水!$A$4:$A$203,"&gt;="&amp;DATE(YEAR($B$2),MONTH($B$2),1),资金流水!$A$4:$A$203,"&lt;="&amp;EOMONTH($B$2,0))+SUMIFS(资金流水!$K$4:$K$203,资金流水!$F$4:$F$203,A6,资金流水!$D$4:$D$203,"账户转账",资金流水!$A$4:$A$203,"&gt;="&amp;DATE(YEAR($B$2),MONTH($B$2),1),资金流水!$A$4:$A$203,"&lt;="&amp;EOMONTH($B$2,0)))</f>
        <v>12000</v>
      </c>
      <c r="E6" s="17">
        <f>IF(A6="","",SUMIFS(资金流水!$K$4:$K$203,资金流水!$E$4:$E$203,A6,资金流水!$A$4:$A$203,"&gt;="&amp;DATE(YEAR($B$2),MONTH($B$2),1),资金流水!$A$4:$A$203,"&lt;="&amp;EOMONTH($B$2,0)))</f>
        <v>46800</v>
      </c>
      <c r="F6" s="17">
        <f>IF(A6="","",SUMIFS(资金流水!$J$4:$J$203,资金流水!$E$4:$E$203,A6,资金流水!$A$4:$A$203,"&gt;="&amp;DATE(YEAR($B$2),1,1),资金流水!$A$4:$A$203,"&lt;="&amp;EOMONTH($B$2,0))+SUMIFS(资金流水!$K$4:$K$203,资金流水!$F$4:$F$203,A6,资金流水!$D$4:$D$203,"账户转账",资金流水!$A$4:$A$203,"&gt;="&amp;DATE(YEAR($B$2),1,1),资金流水!$A$4:$A$203,"&lt;="&amp;EOMONTH($B$2,0)))</f>
        <v>12000</v>
      </c>
      <c r="G6" s="17">
        <f>IF(A6="","",SUMIFS(资金流水!$K$4:$K$203,资金流水!$E$4:$E$203,A6,资金流水!$A$4:$A$203,"&gt;="&amp;DATE(YEAR($B$2),1,1),资金流水!$A$4:$A$203,"&lt;="&amp;EOMONTH($B$2,0)))</f>
        <v>46800</v>
      </c>
      <c r="H6" s="17">
        <f t="shared" si="0"/>
        <v>265200</v>
      </c>
    </row>
    <row r="7" spans="1:8">
      <c r="A7" t="str">
        <f>IF(基础资料!A7="","",基础资料!A7)</f>
        <v>农业银行</v>
      </c>
      <c r="B7" t="str">
        <f>IF(A7="","",基础资料!B7)</f>
        <v>银行类</v>
      </c>
      <c r="C7" s="17">
        <f>IF(A7="","",SUMIFS(期初数据!$C$5:$C$14,期初数据!$A$5:$A$14,A7))</f>
        <v>200000</v>
      </c>
      <c r="D7" s="17">
        <f>IF(A7="","",SUMIFS(资金流水!$J$4:$J$203,资金流水!$E$4:$E$203,A7,资金流水!$A$4:$A$203,"&gt;="&amp;DATE(YEAR($B$2),MONTH($B$2),1),资金流水!$A$4:$A$203,"&lt;="&amp;EOMONTH($B$2,0))+SUMIFS(资金流水!$K$4:$K$203,资金流水!$F$4:$F$203,A7,资金流水!$D$4:$D$203,"账户转账",资金流水!$A$4:$A$203,"&gt;="&amp;DATE(YEAR($B$2),MONTH($B$2),1),资金流水!$A$4:$A$203,"&lt;="&amp;EOMONTH($B$2,0)))</f>
        <v>0</v>
      </c>
      <c r="E7" s="17">
        <f>IF(A7="","",SUMIFS(资金流水!$K$4:$K$203,资金流水!$E$4:$E$203,A7,资金流水!$A$4:$A$203,"&gt;="&amp;DATE(YEAR($B$2),MONTH($B$2),1),资金流水!$A$4:$A$203,"&lt;="&amp;EOMONTH($B$2,0)))</f>
        <v>5000</v>
      </c>
      <c r="F7" s="17">
        <f>IF(A7="","",SUMIFS(资金流水!$J$4:$J$203,资金流水!$E$4:$E$203,A7,资金流水!$A$4:$A$203,"&gt;="&amp;DATE(YEAR($B$2),1,1),资金流水!$A$4:$A$203,"&lt;="&amp;EOMONTH($B$2,0))+SUMIFS(资金流水!$K$4:$K$203,资金流水!$F$4:$F$203,A7,资金流水!$D$4:$D$203,"账户转账",资金流水!$A$4:$A$203,"&gt;="&amp;DATE(YEAR($B$2),1,1),资金流水!$A$4:$A$203,"&lt;="&amp;EOMONTH($B$2,0)))</f>
        <v>0</v>
      </c>
      <c r="G7" s="17">
        <f>IF(A7="","",SUMIFS(资金流水!$K$4:$K$203,资金流水!$E$4:$E$203,A7,资金流水!$A$4:$A$203,"&gt;="&amp;DATE(YEAR($B$2),1,1),资金流水!$A$4:$A$203,"&lt;="&amp;EOMONTH($B$2,0)))</f>
        <v>5000</v>
      </c>
      <c r="H7" s="17">
        <f t="shared" si="0"/>
        <v>195000</v>
      </c>
    </row>
    <row r="8" spans="1:8">
      <c r="A8" t="str">
        <f>IF(基础资料!A8="","",基础资料!A8)</f>
        <v>建设银行</v>
      </c>
      <c r="B8" t="str">
        <f>IF(A8="","",基础资料!B8)</f>
        <v>银行类</v>
      </c>
      <c r="C8" s="17">
        <f>IF(A8="","",SUMIFS(期初数据!$C$5:$C$14,期初数据!$A$5:$A$14,A8))</f>
        <v>120000</v>
      </c>
      <c r="D8" s="17">
        <f>IF(A8="","",SUMIFS(资金流水!$J$4:$J$203,资金流水!$E$4:$E$203,A8,资金流水!$A$4:$A$203,"&gt;="&amp;DATE(YEAR($B$2),MONTH($B$2),1),资金流水!$A$4:$A$203,"&lt;="&amp;EOMONTH($B$2,0))+SUMIFS(资金流水!$K$4:$K$203,资金流水!$F$4:$F$203,A8,资金流水!$D$4:$D$203,"账户转账",资金流水!$A$4:$A$203,"&gt;="&amp;DATE(YEAR($B$2),MONTH($B$2),1),资金流水!$A$4:$A$203,"&lt;="&amp;EOMONTH($B$2,0)))</f>
        <v>28000</v>
      </c>
      <c r="E8" s="17">
        <f>IF(A8="","",SUMIFS(资金流水!$K$4:$K$203,资金流水!$E$4:$E$203,A8,资金流水!$A$4:$A$203,"&gt;="&amp;DATE(YEAR($B$2),MONTH($B$2),1),资金流水!$A$4:$A$203,"&lt;="&amp;EOMONTH($B$2,0)))</f>
        <v>0</v>
      </c>
      <c r="F8" s="17">
        <f>IF(A8="","",SUMIFS(资金流水!$J$4:$J$203,资金流水!$E$4:$E$203,A8,资金流水!$A$4:$A$203,"&gt;="&amp;DATE(YEAR($B$2),1,1),资金流水!$A$4:$A$203,"&lt;="&amp;EOMONTH($B$2,0))+SUMIFS(资金流水!$K$4:$K$203,资金流水!$F$4:$F$203,A8,资金流水!$D$4:$D$203,"账户转账",资金流水!$A$4:$A$203,"&gt;="&amp;DATE(YEAR($B$2),1,1),资金流水!$A$4:$A$203,"&lt;="&amp;EOMONTH($B$2,0)))</f>
        <v>28000</v>
      </c>
      <c r="G8" s="17">
        <f>IF(A8="","",SUMIFS(资金流水!$K$4:$K$203,资金流水!$E$4:$E$203,A8,资金流水!$A$4:$A$203,"&gt;="&amp;DATE(YEAR($B$2),1,1),资金流水!$A$4:$A$203,"&lt;="&amp;EOMONTH($B$2,0)))</f>
        <v>0</v>
      </c>
      <c r="H8" s="17">
        <f t="shared" si="0"/>
        <v>148000</v>
      </c>
    </row>
    <row r="9" spans="1:8">
      <c r="A9" t="str">
        <f>IF(基础资料!A9="","",基础资料!A9)</f>
        <v>招商银行</v>
      </c>
      <c r="B9" t="str">
        <f>IF(A9="","",基础资料!B9)</f>
        <v>银行类</v>
      </c>
      <c r="C9" s="17">
        <f>IF(A9="","",SUMIFS(期初数据!$C$5:$C$14,期初数据!$A$5:$A$14,A9))</f>
        <v>80000</v>
      </c>
      <c r="D9" s="17">
        <f>IF(A9="","",SUMIFS(资金流水!$J$4:$J$203,资金流水!$E$4:$E$203,A9,资金流水!$A$4:$A$203,"&gt;="&amp;DATE(YEAR($B$2),MONTH($B$2),1),资金流水!$A$4:$A$203,"&lt;="&amp;EOMONTH($B$2,0))+SUMIFS(资金流水!$K$4:$K$203,资金流水!$F$4:$F$203,A9,资金流水!$D$4:$D$203,"账户转账",资金流水!$A$4:$A$203,"&gt;="&amp;DATE(YEAR($B$2),MONTH($B$2),1),资金流水!$A$4:$A$203,"&lt;="&amp;EOMONTH($B$2,0)))</f>
        <v>0</v>
      </c>
      <c r="E9" s="17">
        <f>IF(A9="","",SUMIFS(资金流水!$K$4:$K$203,资金流水!$E$4:$E$203,A9,资金流水!$A$4:$A$203,"&gt;="&amp;DATE(YEAR($B$2),MONTH($B$2),1),资金流水!$A$4:$A$203,"&lt;="&amp;EOMONTH($B$2,0)))</f>
        <v>0</v>
      </c>
      <c r="F9" s="17">
        <f>IF(A9="","",SUMIFS(资金流水!$J$4:$J$203,资金流水!$E$4:$E$203,A9,资金流水!$A$4:$A$203,"&gt;="&amp;DATE(YEAR($B$2),1,1),资金流水!$A$4:$A$203,"&lt;="&amp;EOMONTH($B$2,0))+SUMIFS(资金流水!$K$4:$K$203,资金流水!$F$4:$F$203,A9,资金流水!$D$4:$D$203,"账户转账",资金流水!$A$4:$A$203,"&gt;="&amp;DATE(YEAR($B$2),1,1),资金流水!$A$4:$A$203,"&lt;="&amp;EOMONTH($B$2,0)))</f>
        <v>0</v>
      </c>
      <c r="G9" s="17">
        <f>IF(A9="","",SUMIFS(资金流水!$K$4:$K$203,资金流水!$E$4:$E$203,A9,资金流水!$A$4:$A$203,"&gt;="&amp;DATE(YEAR($B$2),1,1),资金流水!$A$4:$A$203,"&lt;="&amp;EOMONTH($B$2,0)))</f>
        <v>0</v>
      </c>
      <c r="H9" s="17">
        <f t="shared" si="0"/>
        <v>80000</v>
      </c>
    </row>
    <row r="10" spans="1:8">
      <c r="A10" t="str">
        <f>IF(基础资料!A10="","",基础资料!A10)</f>
        <v>中国银行</v>
      </c>
      <c r="B10" t="str">
        <f>IF(A10="","",基础资料!B10)</f>
        <v>银行类</v>
      </c>
      <c r="C10" s="17">
        <f>IF(A10="","",SUMIFS(期初数据!$C$5:$C$14,期初数据!$A$5:$A$14,A10))</f>
        <v>60000</v>
      </c>
      <c r="D10" s="17">
        <f>IF(A10="","",SUMIFS(资金流水!$J$4:$J$203,资金流水!$E$4:$E$203,A10,资金流水!$A$4:$A$203,"&gt;="&amp;DATE(YEAR($B$2),MONTH($B$2),1),资金流水!$A$4:$A$203,"&lt;="&amp;EOMONTH($B$2,0))+SUMIFS(资金流水!$K$4:$K$203,资金流水!$F$4:$F$203,A10,资金流水!$D$4:$D$203,"账户转账",资金流水!$A$4:$A$203,"&gt;="&amp;DATE(YEAR($B$2),MONTH($B$2),1),资金流水!$A$4:$A$203,"&lt;="&amp;EOMONTH($B$2,0)))</f>
        <v>3200</v>
      </c>
      <c r="E10" s="17">
        <f>IF(A10="","",SUMIFS(资金流水!$K$4:$K$203,资金流水!$E$4:$E$203,A10,资金流水!$A$4:$A$203,"&gt;="&amp;DATE(YEAR($B$2),MONTH($B$2),1),资金流水!$A$4:$A$203,"&lt;="&amp;EOMONTH($B$2,0)))</f>
        <v>0</v>
      </c>
      <c r="F10" s="17">
        <f>IF(A10="","",SUMIFS(资金流水!$J$4:$J$203,资金流水!$E$4:$E$203,A10,资金流水!$A$4:$A$203,"&gt;="&amp;DATE(YEAR($B$2),1,1),资金流水!$A$4:$A$203,"&lt;="&amp;EOMONTH($B$2,0))+SUMIFS(资金流水!$K$4:$K$203,资金流水!$F$4:$F$203,A10,资金流水!$D$4:$D$203,"账户转账",资金流水!$A$4:$A$203,"&gt;="&amp;DATE(YEAR($B$2),1,1),资金流水!$A$4:$A$203,"&lt;="&amp;EOMONTH($B$2,0)))</f>
        <v>3200</v>
      </c>
      <c r="G10" s="17">
        <f>IF(A10="","",SUMIFS(资金流水!$K$4:$K$203,资金流水!$E$4:$E$203,A10,资金流水!$A$4:$A$203,"&gt;="&amp;DATE(YEAR($B$2),1,1),资金流水!$A$4:$A$203,"&lt;="&amp;EOMONTH($B$2,0)))</f>
        <v>0</v>
      </c>
      <c r="H10" s="17">
        <f t="shared" si="0"/>
        <v>63200</v>
      </c>
    </row>
    <row r="11" spans="1:8">
      <c r="A11" t="str">
        <f>IF(基础资料!A11="","",基础资料!A11)</f>
        <v>微信</v>
      </c>
      <c r="B11" t="str">
        <f>IF(A11="","",基础资料!B11)</f>
        <v>电子账户</v>
      </c>
      <c r="C11" s="17">
        <f>IF(A11="","",SUMIFS(期初数据!$C$5:$C$14,期初数据!$A$5:$A$14,A11))</f>
        <v>20000</v>
      </c>
      <c r="D11" s="17">
        <f>IF(A11="","",SUMIFS(资金流水!$J$4:$J$203,资金流水!$E$4:$E$203,A11,资金流水!$A$4:$A$203,"&gt;="&amp;DATE(YEAR($B$2),MONTH($B$2),1),资金流水!$A$4:$A$203,"&lt;="&amp;EOMONTH($B$2,0))+SUMIFS(资金流水!$K$4:$K$203,资金流水!$F$4:$F$203,A11,资金流水!$D$4:$D$203,"账户转账",资金流水!$A$4:$A$203,"&gt;="&amp;DATE(YEAR($B$2),MONTH($B$2),1),资金流水!$A$4:$A$203,"&lt;="&amp;EOMONTH($B$2,0)))</f>
        <v>0</v>
      </c>
      <c r="E11" s="17">
        <f>IF(A11="","",SUMIFS(资金流水!$K$4:$K$203,资金流水!$E$4:$E$203,A11,资金流水!$A$4:$A$203,"&gt;="&amp;DATE(YEAR($B$2),MONTH($B$2),1),资金流水!$A$4:$A$203,"&lt;="&amp;EOMONTH($B$2,0)))</f>
        <v>800</v>
      </c>
      <c r="F11" s="17">
        <f>IF(A11="","",SUMIFS(资金流水!$J$4:$J$203,资金流水!$E$4:$E$203,A11,资金流水!$A$4:$A$203,"&gt;="&amp;DATE(YEAR($B$2),1,1),资金流水!$A$4:$A$203,"&lt;="&amp;EOMONTH($B$2,0))+SUMIFS(资金流水!$K$4:$K$203,资金流水!$F$4:$F$203,A11,资金流水!$D$4:$D$203,"账户转账",资金流水!$A$4:$A$203,"&gt;="&amp;DATE(YEAR($B$2),1,1),资金流水!$A$4:$A$203,"&lt;="&amp;EOMONTH($B$2,0)))</f>
        <v>0</v>
      </c>
      <c r="G11" s="17">
        <f>IF(A11="","",SUMIFS(资金流水!$K$4:$K$203,资金流水!$E$4:$E$203,A11,资金流水!$A$4:$A$203,"&gt;="&amp;DATE(YEAR($B$2),1,1),资金流水!$A$4:$A$203,"&lt;="&amp;EOMONTH($B$2,0)))</f>
        <v>800</v>
      </c>
      <c r="H11" s="17">
        <f t="shared" si="0"/>
        <v>19200</v>
      </c>
    </row>
    <row r="12" spans="1:8">
      <c r="A12" t="str">
        <f>IF(基础资料!A12="","",基础资料!A12)</f>
        <v>支付宝</v>
      </c>
      <c r="B12" t="str">
        <f>IF(A12="","",基础资料!B12)</f>
        <v>电子账户</v>
      </c>
      <c r="C12" s="17">
        <f>IF(A12="","",SUMIFS(期初数据!$C$5:$C$14,期初数据!$A$5:$A$14,A12))</f>
        <v>15000</v>
      </c>
      <c r="D12" s="17">
        <f>IF(A12="","",SUMIFS(资金流水!$J$4:$J$203,资金流水!$E$4:$E$203,A12,资金流水!$A$4:$A$203,"&gt;="&amp;DATE(YEAR($B$2),MONTH($B$2),1),资金流水!$A$4:$A$203,"&lt;="&amp;EOMONTH($B$2,0))+SUMIFS(资金流水!$K$4:$K$203,资金流水!$F$4:$F$203,A12,资金流水!$D$4:$D$203,"账户转账",资金流水!$A$4:$A$203,"&gt;="&amp;DATE(YEAR($B$2),MONTH($B$2),1),资金流水!$A$4:$A$203,"&lt;="&amp;EOMONTH($B$2,0)))</f>
        <v>0</v>
      </c>
      <c r="E12" s="17">
        <f>IF(A12="","",SUMIFS(资金流水!$K$4:$K$203,资金流水!$E$4:$E$203,A12,资金流水!$A$4:$A$203,"&gt;="&amp;DATE(YEAR($B$2),MONTH($B$2),1),资金流水!$A$4:$A$203,"&lt;="&amp;EOMONTH($B$2,0)))</f>
        <v>2000</v>
      </c>
      <c r="F12" s="17">
        <f>IF(A12="","",SUMIFS(资金流水!$J$4:$J$203,资金流水!$E$4:$E$203,A12,资金流水!$A$4:$A$203,"&gt;="&amp;DATE(YEAR($B$2),1,1),资金流水!$A$4:$A$203,"&lt;="&amp;EOMONTH($B$2,0))+SUMIFS(资金流水!$K$4:$K$203,资金流水!$F$4:$F$203,A12,资金流水!$D$4:$D$203,"账户转账",资金流水!$A$4:$A$203,"&gt;="&amp;DATE(YEAR($B$2),1,1),资金流水!$A$4:$A$203,"&lt;="&amp;EOMONTH($B$2,0)))</f>
        <v>0</v>
      </c>
      <c r="G12" s="17">
        <f>IF(A12="","",SUMIFS(资金流水!$K$4:$K$203,资金流水!$E$4:$E$203,A12,资金流水!$A$4:$A$203,"&gt;="&amp;DATE(YEAR($B$2),1,1),资金流水!$A$4:$A$203,"&lt;="&amp;EOMONTH($B$2,0)))</f>
        <v>2000</v>
      </c>
      <c r="H12" s="17">
        <f t="shared" si="0"/>
        <v>13000</v>
      </c>
    </row>
    <row r="13" spans="1:8">
      <c r="A13" t="str">
        <f>IF(基础资料!A13="","",基础资料!A13)</f>
        <v>备用金</v>
      </c>
      <c r="B13" t="str">
        <f>IF(A13="","",基础资料!B13)</f>
        <v>现金类</v>
      </c>
      <c r="C13" s="17">
        <f>IF(A13="","",SUMIFS(期初数据!$C$5:$C$14,期初数据!$A$5:$A$14,A13))</f>
        <v>5000</v>
      </c>
      <c r="D13" s="17">
        <f>IF(A13="","",SUMIFS(资金流水!$J$4:$J$203,资金流水!$E$4:$E$203,A13,资金流水!$A$4:$A$203,"&gt;="&amp;DATE(YEAR($B$2),MONTH($B$2),1),资金流水!$A$4:$A$203,"&lt;="&amp;EOMONTH($B$2,0))+SUMIFS(资金流水!$K$4:$K$203,资金流水!$F$4:$F$203,A13,资金流水!$D$4:$D$203,"账户转账",资金流水!$A$4:$A$203,"&gt;="&amp;DATE(YEAR($B$2),MONTH($B$2),1),资金流水!$A$4:$A$203,"&lt;="&amp;EOMONTH($B$2,0)))</f>
        <v>0</v>
      </c>
      <c r="E13" s="17">
        <f>IF(A13="","",SUMIFS(资金流水!$K$4:$K$203,资金流水!$E$4:$E$203,A13,资金流水!$A$4:$A$203,"&gt;="&amp;DATE(YEAR($B$2),MONTH($B$2),1),资金流水!$A$4:$A$203,"&lt;="&amp;EOMONTH($B$2,0)))</f>
        <v>0</v>
      </c>
      <c r="F13" s="17">
        <f>IF(A13="","",SUMIFS(资金流水!$J$4:$J$203,资金流水!$E$4:$E$203,A13,资金流水!$A$4:$A$203,"&gt;="&amp;DATE(YEAR($B$2),1,1),资金流水!$A$4:$A$203,"&lt;="&amp;EOMONTH($B$2,0))+SUMIFS(资金流水!$K$4:$K$203,资金流水!$F$4:$F$203,A13,资金流水!$D$4:$D$203,"账户转账",资金流水!$A$4:$A$203,"&gt;="&amp;DATE(YEAR($B$2),1,1),资金流水!$A$4:$A$203,"&lt;="&amp;EOMONTH($B$2,0)))</f>
        <v>0</v>
      </c>
      <c r="G13" s="17">
        <f>IF(A13="","",SUMIFS(资金流水!$K$4:$K$203,资金流水!$E$4:$E$203,A13,资金流水!$A$4:$A$203,"&gt;="&amp;DATE(YEAR($B$2),1,1),资金流水!$A$4:$A$203,"&lt;="&amp;EOMONTH($B$2,0)))</f>
        <v>0</v>
      </c>
      <c r="H13" s="17">
        <f t="shared" si="0"/>
        <v>5000</v>
      </c>
    </row>
    <row r="14" spans="1:8">
      <c r="A14" t="str">
        <f>IF(基础资料!A14="","",基础资料!A14)</f>
        <v>其他账户</v>
      </c>
      <c r="B14" t="str">
        <f>IF(A14="","",基础资料!B14)</f>
        <v>银行类</v>
      </c>
      <c r="C14" s="17">
        <f>IF(A14="","",SUMIFS(期初数据!$C$5:$C$14,期初数据!$A$5:$A$14,A14))</f>
        <v>10000</v>
      </c>
      <c r="D14" s="17">
        <f>IF(A14="","",SUMIFS(资金流水!$J$4:$J$203,资金流水!$E$4:$E$203,A14,资金流水!$A$4:$A$203,"&gt;="&amp;DATE(YEAR($B$2),MONTH($B$2),1),资金流水!$A$4:$A$203,"&lt;="&amp;EOMONTH($B$2,0))+SUMIFS(资金流水!$K$4:$K$203,资金流水!$F$4:$F$203,A14,资金流水!$D$4:$D$203,"账户转账",资金流水!$A$4:$A$203,"&gt;="&amp;DATE(YEAR($B$2),MONTH($B$2),1),资金流水!$A$4:$A$203,"&lt;="&amp;EOMONTH($B$2,0)))</f>
        <v>0</v>
      </c>
      <c r="E14" s="17">
        <f>IF(A14="","",SUMIFS(资金流水!$K$4:$K$203,资金流水!$E$4:$E$203,A14,资金流水!$A$4:$A$203,"&gt;="&amp;DATE(YEAR($B$2),MONTH($B$2),1),资金流水!$A$4:$A$203,"&lt;="&amp;EOMONTH($B$2,0)))</f>
        <v>0</v>
      </c>
      <c r="F14" s="17">
        <f>IF(A14="","",SUMIFS(资金流水!$J$4:$J$203,资金流水!$E$4:$E$203,A14,资金流水!$A$4:$A$203,"&gt;="&amp;DATE(YEAR($B$2),1,1),资金流水!$A$4:$A$203,"&lt;="&amp;EOMONTH($B$2,0))+SUMIFS(资金流水!$K$4:$K$203,资金流水!$F$4:$F$203,A14,资金流水!$D$4:$D$203,"账户转账",资金流水!$A$4:$A$203,"&gt;="&amp;DATE(YEAR($B$2),1,1),资金流水!$A$4:$A$203,"&lt;="&amp;EOMONTH($B$2,0)))</f>
        <v>0</v>
      </c>
      <c r="G14" s="17">
        <f>IF(A14="","",SUMIFS(资金流水!$K$4:$K$203,资金流水!$E$4:$E$203,A14,资金流水!$A$4:$A$203,"&gt;="&amp;DATE(YEAR($B$2),1,1),资金流水!$A$4:$A$203,"&lt;="&amp;EOMONTH($B$2,0)))</f>
        <v>0</v>
      </c>
      <c r="H14" s="17">
        <f t="shared" si="0"/>
        <v>10000</v>
      </c>
    </row>
    <row r="15" spans="1:8">
      <c r="A15" t="str">
        <f>IF(基础资料!A15="","",基础资料!A15)</f>
        <v/>
      </c>
      <c r="B15" t="str">
        <f>IF(A15="","",基础资料!B15)</f>
        <v/>
      </c>
      <c r="C15" s="17" t="str">
        <f>IF(A15="","",SUMIFS(期初数据!$C$5:$C$14,期初数据!$A$5:$A$14,A15))</f>
        <v/>
      </c>
      <c r="D15" s="17" t="str">
        <f>IF(A15="","",SUMIFS(资金流水!$J$4:$J$203,资金流水!$E$4:$E$203,A15,资金流水!$A$4:$A$203,"&gt;="&amp;DATE(YEAR($B$2),MONTH($B$2),1),资金流水!$A$4:$A$203,"&lt;="&amp;EOMONTH($B$2,0))+SUMIFS(资金流水!$K$4:$K$203,资金流水!$F$4:$F$203,A15,资金流水!$D$4:$D$203,"账户转账",资金流水!$A$4:$A$203,"&gt;="&amp;DATE(YEAR($B$2),MONTH($B$2),1),资金流水!$A$4:$A$203,"&lt;="&amp;EOMONTH($B$2,0)))</f>
        <v/>
      </c>
      <c r="E15" s="17" t="str">
        <f>IF(A15="","",SUMIFS(资金流水!$K$4:$K$203,资金流水!$E$4:$E$203,A15,资金流水!$A$4:$A$203,"&gt;="&amp;DATE(YEAR($B$2),MONTH($B$2),1),资金流水!$A$4:$A$203,"&lt;="&amp;EOMONTH($B$2,0)))</f>
        <v/>
      </c>
      <c r="F15" s="17" t="str">
        <f>IF(A15="","",SUMIFS(资金流水!$J$4:$J$203,资金流水!$E$4:$E$203,A15,资金流水!$A$4:$A$203,"&gt;="&amp;DATE(YEAR($B$2),1,1),资金流水!$A$4:$A$203,"&lt;="&amp;EOMONTH($B$2,0))+SUMIFS(资金流水!$K$4:$K$203,资金流水!$F$4:$F$203,A15,资金流水!$D$4:$D$203,"账户转账",资金流水!$A$4:$A$203,"&gt;="&amp;DATE(YEAR($B$2),1,1),资金流水!$A$4:$A$203,"&lt;="&amp;EOMONTH($B$2,0)))</f>
        <v/>
      </c>
      <c r="G15" s="17" t="str">
        <f>IF(A15="","",SUMIFS(资金流水!$K$4:$K$203,资金流水!$E$4:$E$203,A15,资金流水!$A$4:$A$203,"&gt;="&amp;DATE(YEAR($B$2),1,1),资金流水!$A$4:$A$203,"&lt;="&amp;EOMONTH($B$2,0)))</f>
        <v/>
      </c>
      <c r="H15" s="17" t="str">
        <f t="shared" si="0"/>
        <v/>
      </c>
    </row>
    <row r="16" spans="1:8">
      <c r="A16" t="str">
        <f>IF(基础资料!A16="","",基础资料!A16)</f>
        <v/>
      </c>
      <c r="B16" t="str">
        <f>IF(A16="","",基础资料!B16)</f>
        <v/>
      </c>
      <c r="C16" s="17" t="str">
        <f>IF(A16="","",SUMIFS(期初数据!$C$5:$C$14,期初数据!$A$5:$A$14,A16))</f>
        <v/>
      </c>
      <c r="D16" s="17" t="str">
        <f>IF(A16="","",SUMIFS(资金流水!$J$4:$J$203,资金流水!$E$4:$E$203,A16,资金流水!$A$4:$A$203,"&gt;="&amp;DATE(YEAR($B$2),MONTH($B$2),1),资金流水!$A$4:$A$203,"&lt;="&amp;EOMONTH($B$2,0))+SUMIFS(资金流水!$K$4:$K$203,资金流水!$F$4:$F$203,A16,资金流水!$D$4:$D$203,"账户转账",资金流水!$A$4:$A$203,"&gt;="&amp;DATE(YEAR($B$2),MONTH($B$2),1),资金流水!$A$4:$A$203,"&lt;="&amp;EOMONTH($B$2,0)))</f>
        <v/>
      </c>
      <c r="E16" s="17" t="str">
        <f>IF(A16="","",SUMIFS(资金流水!$K$4:$K$203,资金流水!$E$4:$E$203,A16,资金流水!$A$4:$A$203,"&gt;="&amp;DATE(YEAR($B$2),MONTH($B$2),1),资金流水!$A$4:$A$203,"&lt;="&amp;EOMONTH($B$2,0)))</f>
        <v/>
      </c>
      <c r="F16" s="17" t="str">
        <f>IF(A16="","",SUMIFS(资金流水!$J$4:$J$203,资金流水!$E$4:$E$203,A16,资金流水!$A$4:$A$203,"&gt;="&amp;DATE(YEAR($B$2),1,1),资金流水!$A$4:$A$203,"&lt;="&amp;EOMONTH($B$2,0))+SUMIFS(资金流水!$K$4:$K$203,资金流水!$F$4:$F$203,A16,资金流水!$D$4:$D$203,"账户转账",资金流水!$A$4:$A$203,"&gt;="&amp;DATE(YEAR($B$2),1,1),资金流水!$A$4:$A$203,"&lt;="&amp;EOMONTH($B$2,0)))</f>
        <v/>
      </c>
      <c r="G16" s="17" t="str">
        <f>IF(A16="","",SUMIFS(资金流水!$K$4:$K$203,资金流水!$E$4:$E$203,A16,资金流水!$A$4:$A$203,"&gt;="&amp;DATE(YEAR($B$2),1,1),资金流水!$A$4:$A$203,"&lt;="&amp;EOMONTH($B$2,0)))</f>
        <v/>
      </c>
      <c r="H16" s="17" t="str">
        <f t="shared" si="0"/>
        <v/>
      </c>
    </row>
    <row r="17" spans="1:8">
      <c r="A17" t="str">
        <f>IF(基础资料!A17="","",基础资料!A17)</f>
        <v/>
      </c>
      <c r="B17" t="str">
        <f>IF(A17="","",基础资料!B17)</f>
        <v/>
      </c>
      <c r="C17" s="17" t="str">
        <f>IF(A17="","",SUMIFS(期初数据!$C$5:$C$14,期初数据!$A$5:$A$14,A17))</f>
        <v/>
      </c>
      <c r="D17" s="17" t="str">
        <f>IF(A17="","",SUMIFS(资金流水!$J$4:$J$203,资金流水!$E$4:$E$203,A17,资金流水!$A$4:$A$203,"&gt;="&amp;DATE(YEAR($B$2),MONTH($B$2),1),资金流水!$A$4:$A$203,"&lt;="&amp;EOMONTH($B$2,0))+SUMIFS(资金流水!$K$4:$K$203,资金流水!$F$4:$F$203,A17,资金流水!$D$4:$D$203,"账户转账",资金流水!$A$4:$A$203,"&gt;="&amp;DATE(YEAR($B$2),MONTH($B$2),1),资金流水!$A$4:$A$203,"&lt;="&amp;EOMONTH($B$2,0)))</f>
        <v/>
      </c>
      <c r="E17" s="17" t="str">
        <f>IF(A17="","",SUMIFS(资金流水!$K$4:$K$203,资金流水!$E$4:$E$203,A17,资金流水!$A$4:$A$203,"&gt;="&amp;DATE(YEAR($B$2),MONTH($B$2),1),资金流水!$A$4:$A$203,"&lt;="&amp;EOMONTH($B$2,0)))</f>
        <v/>
      </c>
      <c r="F17" s="17" t="str">
        <f>IF(A17="","",SUMIFS(资金流水!$J$4:$J$203,资金流水!$E$4:$E$203,A17,资金流水!$A$4:$A$203,"&gt;="&amp;DATE(YEAR($B$2),1,1),资金流水!$A$4:$A$203,"&lt;="&amp;EOMONTH($B$2,0))+SUMIFS(资金流水!$K$4:$K$203,资金流水!$F$4:$F$203,A17,资金流水!$D$4:$D$203,"账户转账",资金流水!$A$4:$A$203,"&gt;="&amp;DATE(YEAR($B$2),1,1),资金流水!$A$4:$A$203,"&lt;="&amp;EOMONTH($B$2,0)))</f>
        <v/>
      </c>
      <c r="G17" s="17" t="str">
        <f>IF(A17="","",SUMIFS(资金流水!$K$4:$K$203,资金流水!$E$4:$E$203,A17,资金流水!$A$4:$A$203,"&gt;="&amp;DATE(YEAR($B$2),1,1),资金流水!$A$4:$A$203,"&lt;="&amp;EOMONTH($B$2,0)))</f>
        <v/>
      </c>
      <c r="H17" s="17" t="str">
        <f t="shared" si="0"/>
        <v/>
      </c>
    </row>
    <row r="18" spans="1:8">
      <c r="A18" t="str">
        <f>IF(基础资料!A18="","",基础资料!A18)</f>
        <v/>
      </c>
      <c r="B18" t="str">
        <f>IF(A18="","",基础资料!B18)</f>
        <v/>
      </c>
      <c r="C18" s="17" t="str">
        <f>IF(A18="","",SUMIFS(期初数据!$C$5:$C$14,期初数据!$A$5:$A$14,A18))</f>
        <v/>
      </c>
      <c r="D18" s="17" t="str">
        <f>IF(A18="","",SUMIFS(资金流水!$J$4:$J$203,资金流水!$E$4:$E$203,A18,资金流水!$A$4:$A$203,"&gt;="&amp;DATE(YEAR($B$2),MONTH($B$2),1),资金流水!$A$4:$A$203,"&lt;="&amp;EOMONTH($B$2,0))+SUMIFS(资金流水!$K$4:$K$203,资金流水!$F$4:$F$203,A18,资金流水!$D$4:$D$203,"账户转账",资金流水!$A$4:$A$203,"&gt;="&amp;DATE(YEAR($B$2),MONTH($B$2),1),资金流水!$A$4:$A$203,"&lt;="&amp;EOMONTH($B$2,0)))</f>
        <v/>
      </c>
      <c r="E18" s="17" t="str">
        <f>IF(A18="","",SUMIFS(资金流水!$K$4:$K$203,资金流水!$E$4:$E$203,A18,资金流水!$A$4:$A$203,"&gt;="&amp;DATE(YEAR($B$2),MONTH($B$2),1),资金流水!$A$4:$A$203,"&lt;="&amp;EOMONTH($B$2,0)))</f>
        <v/>
      </c>
      <c r="F18" s="17" t="str">
        <f>IF(A18="","",SUMIFS(资金流水!$J$4:$J$203,资金流水!$E$4:$E$203,A18,资金流水!$A$4:$A$203,"&gt;="&amp;DATE(YEAR($B$2),1,1),资金流水!$A$4:$A$203,"&lt;="&amp;EOMONTH($B$2,0))+SUMIFS(资金流水!$K$4:$K$203,资金流水!$F$4:$F$203,A18,资金流水!$D$4:$D$203,"账户转账",资金流水!$A$4:$A$203,"&gt;="&amp;DATE(YEAR($B$2),1,1),资金流水!$A$4:$A$203,"&lt;="&amp;EOMONTH($B$2,0)))</f>
        <v/>
      </c>
      <c r="G18" s="17" t="str">
        <f>IF(A18="","",SUMIFS(资金流水!$K$4:$K$203,资金流水!$E$4:$E$203,A18,资金流水!$A$4:$A$203,"&gt;="&amp;DATE(YEAR($B$2),1,1),资金流水!$A$4:$A$203,"&lt;="&amp;EOMONTH($B$2,0)))</f>
        <v/>
      </c>
      <c r="H18" s="17" t="str">
        <f t="shared" si="0"/>
        <v/>
      </c>
    </row>
    <row r="19" spans="1:8">
      <c r="A19" t="str">
        <f>IF(基础资料!A19="","",基础资料!A19)</f>
        <v/>
      </c>
      <c r="B19" t="str">
        <f>IF(A19="","",基础资料!B19)</f>
        <v/>
      </c>
      <c r="C19" s="17" t="str">
        <f>IF(A19="","",SUMIFS(期初数据!$C$5:$C$14,期初数据!$A$5:$A$14,A19))</f>
        <v/>
      </c>
      <c r="D19" s="17" t="str">
        <f>IF(A19="","",SUMIFS(资金流水!$J$4:$J$203,资金流水!$E$4:$E$203,A19,资金流水!$A$4:$A$203,"&gt;="&amp;DATE(YEAR($B$2),MONTH($B$2),1),资金流水!$A$4:$A$203,"&lt;="&amp;EOMONTH($B$2,0))+SUMIFS(资金流水!$K$4:$K$203,资金流水!$F$4:$F$203,A19,资金流水!$D$4:$D$203,"账户转账",资金流水!$A$4:$A$203,"&gt;="&amp;DATE(YEAR($B$2),MONTH($B$2),1),资金流水!$A$4:$A$203,"&lt;="&amp;EOMONTH($B$2,0)))</f>
        <v/>
      </c>
      <c r="E19" s="17" t="str">
        <f>IF(A19="","",SUMIFS(资金流水!$K$4:$K$203,资金流水!$E$4:$E$203,A19,资金流水!$A$4:$A$203,"&gt;="&amp;DATE(YEAR($B$2),MONTH($B$2),1),资金流水!$A$4:$A$203,"&lt;="&amp;EOMONTH($B$2,0)))</f>
        <v/>
      </c>
      <c r="F19" s="17" t="str">
        <f>IF(A19="","",SUMIFS(资金流水!$J$4:$J$203,资金流水!$E$4:$E$203,A19,资金流水!$A$4:$A$203,"&gt;="&amp;DATE(YEAR($B$2),1,1),资金流水!$A$4:$A$203,"&lt;="&amp;EOMONTH($B$2,0))+SUMIFS(资金流水!$K$4:$K$203,资金流水!$F$4:$F$203,A19,资金流水!$D$4:$D$203,"账户转账",资金流水!$A$4:$A$203,"&gt;="&amp;DATE(YEAR($B$2),1,1),资金流水!$A$4:$A$203,"&lt;="&amp;EOMONTH($B$2,0)))</f>
        <v/>
      </c>
      <c r="G19" s="17" t="str">
        <f>IF(A19="","",SUMIFS(资金流水!$K$4:$K$203,资金流水!$E$4:$E$203,A19,资金流水!$A$4:$A$203,"&gt;="&amp;DATE(YEAR($B$2),1,1),资金流水!$A$4:$A$203,"&lt;="&amp;EOMONTH($B$2,0)))</f>
        <v/>
      </c>
      <c r="H19" s="17" t="str">
        <f t="shared" si="0"/>
        <v/>
      </c>
    </row>
    <row r="20" spans="1:8">
      <c r="A20" t="str">
        <f>IF(基础资料!A20="","",基础资料!A20)</f>
        <v/>
      </c>
      <c r="B20" t="str">
        <f>IF(A20="","",基础资料!B20)</f>
        <v/>
      </c>
      <c r="C20" s="17" t="str">
        <f>IF(A20="","",SUMIFS(期初数据!$C$5:$C$14,期初数据!$A$5:$A$14,A20))</f>
        <v/>
      </c>
      <c r="D20" s="17" t="str">
        <f>IF(A20="","",SUMIFS(资金流水!$J$4:$J$203,资金流水!$E$4:$E$203,A20,资金流水!$A$4:$A$203,"&gt;="&amp;DATE(YEAR($B$2),MONTH($B$2),1),资金流水!$A$4:$A$203,"&lt;="&amp;EOMONTH($B$2,0))+SUMIFS(资金流水!$K$4:$K$203,资金流水!$F$4:$F$203,A20,资金流水!$D$4:$D$203,"账户转账",资金流水!$A$4:$A$203,"&gt;="&amp;DATE(YEAR($B$2),MONTH($B$2),1),资金流水!$A$4:$A$203,"&lt;="&amp;EOMONTH($B$2,0)))</f>
        <v/>
      </c>
      <c r="E20" s="17" t="str">
        <f>IF(A20="","",SUMIFS(资金流水!$K$4:$K$203,资金流水!$E$4:$E$203,A20,资金流水!$A$4:$A$203,"&gt;="&amp;DATE(YEAR($B$2),MONTH($B$2),1),资金流水!$A$4:$A$203,"&lt;="&amp;EOMONTH($B$2,0)))</f>
        <v/>
      </c>
      <c r="F20" s="17" t="str">
        <f>IF(A20="","",SUMIFS(资金流水!$J$4:$J$203,资金流水!$E$4:$E$203,A20,资金流水!$A$4:$A$203,"&gt;="&amp;DATE(YEAR($B$2),1,1),资金流水!$A$4:$A$203,"&lt;="&amp;EOMONTH($B$2,0))+SUMIFS(资金流水!$K$4:$K$203,资金流水!$F$4:$F$203,A20,资金流水!$D$4:$D$203,"账户转账",资金流水!$A$4:$A$203,"&gt;="&amp;DATE(YEAR($B$2),1,1),资金流水!$A$4:$A$203,"&lt;="&amp;EOMONTH($B$2,0)))</f>
        <v/>
      </c>
      <c r="G20" s="17" t="str">
        <f>IF(A20="","",SUMIFS(资金流水!$K$4:$K$203,资金流水!$E$4:$E$203,A20,资金流水!$A$4:$A$203,"&gt;="&amp;DATE(YEAR($B$2),1,1),资金流水!$A$4:$A$203,"&lt;="&amp;EOMONTH($B$2,0)))</f>
        <v/>
      </c>
      <c r="H20" s="17" t="str">
        <f t="shared" si="0"/>
        <v/>
      </c>
    </row>
    <row r="21" spans="1:8">
      <c r="A21" t="str">
        <f>IF(基础资料!A21="","",基础资料!A21)</f>
        <v/>
      </c>
      <c r="B21" t="str">
        <f>IF(A21="","",基础资料!B21)</f>
        <v/>
      </c>
      <c r="C21" s="17" t="str">
        <f>IF(A21="","",SUMIFS(期初数据!$C$5:$C$14,期初数据!$A$5:$A$14,A21))</f>
        <v/>
      </c>
      <c r="D21" s="17" t="str">
        <f>IF(A21="","",SUMIFS(资金流水!$J$4:$J$203,资金流水!$E$4:$E$203,A21,资金流水!$A$4:$A$203,"&gt;="&amp;DATE(YEAR($B$2),MONTH($B$2),1),资金流水!$A$4:$A$203,"&lt;="&amp;EOMONTH($B$2,0))+SUMIFS(资金流水!$K$4:$K$203,资金流水!$F$4:$F$203,A21,资金流水!$D$4:$D$203,"账户转账",资金流水!$A$4:$A$203,"&gt;="&amp;DATE(YEAR($B$2),MONTH($B$2),1),资金流水!$A$4:$A$203,"&lt;="&amp;EOMONTH($B$2,0)))</f>
        <v/>
      </c>
      <c r="E21" s="17" t="str">
        <f>IF(A21="","",SUMIFS(资金流水!$K$4:$K$203,资金流水!$E$4:$E$203,A21,资金流水!$A$4:$A$203,"&gt;="&amp;DATE(YEAR($B$2),MONTH($B$2),1),资金流水!$A$4:$A$203,"&lt;="&amp;EOMONTH($B$2,0)))</f>
        <v/>
      </c>
      <c r="F21" s="17" t="str">
        <f>IF(A21="","",SUMIFS(资金流水!$J$4:$J$203,资金流水!$E$4:$E$203,A21,资金流水!$A$4:$A$203,"&gt;="&amp;DATE(YEAR($B$2),1,1),资金流水!$A$4:$A$203,"&lt;="&amp;EOMONTH($B$2,0))+SUMIFS(资金流水!$K$4:$K$203,资金流水!$F$4:$F$203,A21,资金流水!$D$4:$D$203,"账户转账",资金流水!$A$4:$A$203,"&gt;="&amp;DATE(YEAR($B$2),1,1),资金流水!$A$4:$A$203,"&lt;="&amp;EOMONTH($B$2,0)))</f>
        <v/>
      </c>
      <c r="G21" s="17" t="str">
        <f>IF(A21="","",SUMIFS(资金流水!$K$4:$K$203,资金流水!$E$4:$E$203,A21,资金流水!$A$4:$A$203,"&gt;="&amp;DATE(YEAR($B$2),1,1),资金流水!$A$4:$A$203,"&lt;="&amp;EOMONTH($B$2,0)))</f>
        <v/>
      </c>
      <c r="H21" s="17" t="str">
        <f t="shared" si="0"/>
        <v/>
      </c>
    </row>
    <row r="22" spans="1:8">
      <c r="A22" t="str">
        <f>IF(基础资料!A22="","",基础资料!A22)</f>
        <v/>
      </c>
      <c r="B22" t="str">
        <f>IF(A22="","",基础资料!B22)</f>
        <v/>
      </c>
      <c r="C22" s="17" t="str">
        <f>IF(A22="","",SUMIFS(期初数据!$C$5:$C$14,期初数据!$A$5:$A$14,A22))</f>
        <v/>
      </c>
      <c r="D22" s="17" t="str">
        <f>IF(A22="","",SUMIFS(资金流水!$J$4:$J$203,资金流水!$E$4:$E$203,A22,资金流水!$A$4:$A$203,"&gt;="&amp;DATE(YEAR($B$2),MONTH($B$2),1),资金流水!$A$4:$A$203,"&lt;="&amp;EOMONTH($B$2,0))+SUMIFS(资金流水!$K$4:$K$203,资金流水!$F$4:$F$203,A22,资金流水!$D$4:$D$203,"账户转账",资金流水!$A$4:$A$203,"&gt;="&amp;DATE(YEAR($B$2),MONTH($B$2),1),资金流水!$A$4:$A$203,"&lt;="&amp;EOMONTH($B$2,0)))</f>
        <v/>
      </c>
      <c r="E22" s="17" t="str">
        <f>IF(A22="","",SUMIFS(资金流水!$K$4:$K$203,资金流水!$E$4:$E$203,A22,资金流水!$A$4:$A$203,"&gt;="&amp;DATE(YEAR($B$2),MONTH($B$2),1),资金流水!$A$4:$A$203,"&lt;="&amp;EOMONTH($B$2,0)))</f>
        <v/>
      </c>
      <c r="F22" s="17" t="str">
        <f>IF(A22="","",SUMIFS(资金流水!$J$4:$J$203,资金流水!$E$4:$E$203,A22,资金流水!$A$4:$A$203,"&gt;="&amp;DATE(YEAR($B$2),1,1),资金流水!$A$4:$A$203,"&lt;="&amp;EOMONTH($B$2,0))+SUMIFS(资金流水!$K$4:$K$203,资金流水!$F$4:$F$203,A22,资金流水!$D$4:$D$203,"账户转账",资金流水!$A$4:$A$203,"&gt;="&amp;DATE(YEAR($B$2),1,1),资金流水!$A$4:$A$203,"&lt;="&amp;EOMONTH($B$2,0)))</f>
        <v/>
      </c>
      <c r="G22" s="17" t="str">
        <f>IF(A22="","",SUMIFS(资金流水!$K$4:$K$203,资金流水!$E$4:$E$203,A22,资金流水!$A$4:$A$203,"&gt;="&amp;DATE(YEAR($B$2),1,1),资金流水!$A$4:$A$203,"&lt;="&amp;EOMONTH($B$2,0)))</f>
        <v/>
      </c>
      <c r="H22" s="17" t="str">
        <f t="shared" si="0"/>
        <v/>
      </c>
    </row>
    <row r="23" spans="1:8">
      <c r="A23" t="str">
        <f>IF(基础资料!A23="","",基础资料!A23)</f>
        <v/>
      </c>
      <c r="B23" t="str">
        <f>IF(A23="","",基础资料!B23)</f>
        <v/>
      </c>
      <c r="C23" s="17" t="str">
        <f>IF(A23="","",SUMIFS(期初数据!$C$5:$C$14,期初数据!$A$5:$A$14,A23))</f>
        <v/>
      </c>
      <c r="D23" s="17" t="str">
        <f>IF(A23="","",SUMIFS(资金流水!$J$4:$J$203,资金流水!$E$4:$E$203,A23,资金流水!$A$4:$A$203,"&gt;="&amp;DATE(YEAR($B$2),MONTH($B$2),1),资金流水!$A$4:$A$203,"&lt;="&amp;EOMONTH($B$2,0))+SUMIFS(资金流水!$K$4:$K$203,资金流水!$F$4:$F$203,A23,资金流水!$D$4:$D$203,"账户转账",资金流水!$A$4:$A$203,"&gt;="&amp;DATE(YEAR($B$2),MONTH($B$2),1),资金流水!$A$4:$A$203,"&lt;="&amp;EOMONTH($B$2,0)))</f>
        <v/>
      </c>
      <c r="E23" s="17" t="str">
        <f>IF(A23="","",SUMIFS(资金流水!$K$4:$K$203,资金流水!$E$4:$E$203,A23,资金流水!$A$4:$A$203,"&gt;="&amp;DATE(YEAR($B$2),MONTH($B$2),1),资金流水!$A$4:$A$203,"&lt;="&amp;EOMONTH($B$2,0)))</f>
        <v/>
      </c>
      <c r="F23" s="17" t="str">
        <f>IF(A23="","",SUMIFS(资金流水!$J$4:$J$203,资金流水!$E$4:$E$203,A23,资金流水!$A$4:$A$203,"&gt;="&amp;DATE(YEAR($B$2),1,1),资金流水!$A$4:$A$203,"&lt;="&amp;EOMONTH($B$2,0))+SUMIFS(资金流水!$K$4:$K$203,资金流水!$F$4:$F$203,A23,资金流水!$D$4:$D$203,"账户转账",资金流水!$A$4:$A$203,"&gt;="&amp;DATE(YEAR($B$2),1,1),资金流水!$A$4:$A$203,"&lt;="&amp;EOMONTH($B$2,0)))</f>
        <v/>
      </c>
      <c r="G23" s="17" t="str">
        <f>IF(A23="","",SUMIFS(资金流水!$K$4:$K$203,资金流水!$E$4:$E$203,A23,资金流水!$A$4:$A$203,"&gt;="&amp;DATE(YEAR($B$2),1,1),资金流水!$A$4:$A$203,"&lt;="&amp;EOMONTH($B$2,0)))</f>
        <v/>
      </c>
      <c r="H23" s="17" t="str">
        <f t="shared" si="0"/>
        <v/>
      </c>
    </row>
    <row r="24" spans="1:8">
      <c r="A24" t="str">
        <f>IF(基础资料!A24="","",基础资料!A24)</f>
        <v/>
      </c>
      <c r="B24" t="str">
        <f>IF(A24="","",基础资料!B24)</f>
        <v/>
      </c>
      <c r="C24" s="17" t="str">
        <f>IF(A24="","",SUMIFS(期初数据!$C$5:$C$14,期初数据!$A$5:$A$14,A24))</f>
        <v/>
      </c>
      <c r="D24" s="17" t="str">
        <f>IF(A24="","",SUMIFS(资金流水!$J$4:$J$203,资金流水!$E$4:$E$203,A24,资金流水!$A$4:$A$203,"&gt;="&amp;DATE(YEAR($B$2),MONTH($B$2),1),资金流水!$A$4:$A$203,"&lt;="&amp;EOMONTH($B$2,0))+SUMIFS(资金流水!$K$4:$K$203,资金流水!$F$4:$F$203,A24,资金流水!$D$4:$D$203,"账户转账",资金流水!$A$4:$A$203,"&gt;="&amp;DATE(YEAR($B$2),MONTH($B$2),1),资金流水!$A$4:$A$203,"&lt;="&amp;EOMONTH($B$2,0)))</f>
        <v/>
      </c>
      <c r="E24" s="17" t="str">
        <f>IF(A24="","",SUMIFS(资金流水!$K$4:$K$203,资金流水!$E$4:$E$203,A24,资金流水!$A$4:$A$203,"&gt;="&amp;DATE(YEAR($B$2),MONTH($B$2),1),资金流水!$A$4:$A$203,"&lt;="&amp;EOMONTH($B$2,0)))</f>
        <v/>
      </c>
      <c r="F24" s="17" t="str">
        <f>IF(A24="","",SUMIFS(资金流水!$J$4:$J$203,资金流水!$E$4:$E$203,A24,资金流水!$A$4:$A$203,"&gt;="&amp;DATE(YEAR($B$2),1,1),资金流水!$A$4:$A$203,"&lt;="&amp;EOMONTH($B$2,0))+SUMIFS(资金流水!$K$4:$K$203,资金流水!$F$4:$F$203,A24,资金流水!$D$4:$D$203,"账户转账",资金流水!$A$4:$A$203,"&gt;="&amp;DATE(YEAR($B$2),1,1),资金流水!$A$4:$A$203,"&lt;="&amp;EOMONTH($B$2,0)))</f>
        <v/>
      </c>
      <c r="G24" s="17" t="str">
        <f>IF(A24="","",SUMIFS(资金流水!$K$4:$K$203,资金流水!$E$4:$E$203,A24,资金流水!$A$4:$A$203,"&gt;="&amp;DATE(YEAR($B$2),1,1),资金流水!$A$4:$A$203,"&lt;="&amp;EOMONTH($B$2,0)))</f>
        <v/>
      </c>
      <c r="H24" s="17" t="str">
        <f t="shared" si="0"/>
        <v/>
      </c>
    </row>
    <row r="25" spans="1:8">
      <c r="A25" t="str">
        <f>IF(基础资料!A25="","",基础资料!A25)</f>
        <v/>
      </c>
      <c r="B25" t="str">
        <f>IF(A25="","",基础资料!B25)</f>
        <v/>
      </c>
      <c r="C25" s="17" t="str">
        <f>IF(A25="","",SUMIFS(期初数据!$C$5:$C$14,期初数据!$A$5:$A$14,A25))</f>
        <v/>
      </c>
      <c r="D25" s="17" t="str">
        <f>IF(A25="","",SUMIFS(资金流水!$J$4:$J$203,资金流水!$E$4:$E$203,A25,资金流水!$A$4:$A$203,"&gt;="&amp;DATE(YEAR($B$2),MONTH($B$2),1),资金流水!$A$4:$A$203,"&lt;="&amp;EOMONTH($B$2,0))+SUMIFS(资金流水!$K$4:$K$203,资金流水!$F$4:$F$203,A25,资金流水!$D$4:$D$203,"账户转账",资金流水!$A$4:$A$203,"&gt;="&amp;DATE(YEAR($B$2),MONTH($B$2),1),资金流水!$A$4:$A$203,"&lt;="&amp;EOMONTH($B$2,0)))</f>
        <v/>
      </c>
      <c r="E25" s="17" t="str">
        <f>IF(A25="","",SUMIFS(资金流水!$K$4:$K$203,资金流水!$E$4:$E$203,A25,资金流水!$A$4:$A$203,"&gt;="&amp;DATE(YEAR($B$2),MONTH($B$2),1),资金流水!$A$4:$A$203,"&lt;="&amp;EOMONTH($B$2,0)))</f>
        <v/>
      </c>
      <c r="F25" s="17" t="str">
        <f>IF(A25="","",SUMIFS(资金流水!$J$4:$J$203,资金流水!$E$4:$E$203,A25,资金流水!$A$4:$A$203,"&gt;="&amp;DATE(YEAR($B$2),1,1),资金流水!$A$4:$A$203,"&lt;="&amp;EOMONTH($B$2,0))+SUMIFS(资金流水!$K$4:$K$203,资金流水!$F$4:$F$203,A25,资金流水!$D$4:$D$203,"账户转账",资金流水!$A$4:$A$203,"&gt;="&amp;DATE(YEAR($B$2),1,1),资金流水!$A$4:$A$203,"&lt;="&amp;EOMONTH($B$2,0)))</f>
        <v/>
      </c>
      <c r="G25" s="17" t="str">
        <f>IF(A25="","",SUMIFS(资金流水!$K$4:$K$203,资金流水!$E$4:$E$203,A25,资金流水!$A$4:$A$203,"&gt;="&amp;DATE(YEAR($B$2),1,1),资金流水!$A$4:$A$203,"&lt;="&amp;EOMONTH($B$2,0)))</f>
        <v/>
      </c>
      <c r="H25" s="17" t="str">
        <f t="shared" si="0"/>
        <v/>
      </c>
    </row>
    <row r="26" spans="1:8">
      <c r="A26" t="str">
        <f>IF(基础资料!A26="","",基础资料!A26)</f>
        <v/>
      </c>
      <c r="B26" t="str">
        <f>IF(A26="","",基础资料!B26)</f>
        <v/>
      </c>
      <c r="C26" s="17" t="str">
        <f>IF(A26="","",SUMIFS(期初数据!$C$5:$C$14,期初数据!$A$5:$A$14,A26))</f>
        <v/>
      </c>
      <c r="D26" s="17" t="str">
        <f>IF(A26="","",SUMIFS(资金流水!$J$4:$J$203,资金流水!$E$4:$E$203,A26,资金流水!$A$4:$A$203,"&gt;="&amp;DATE(YEAR($B$2),MONTH($B$2),1),资金流水!$A$4:$A$203,"&lt;="&amp;EOMONTH($B$2,0))+SUMIFS(资金流水!$K$4:$K$203,资金流水!$F$4:$F$203,A26,资金流水!$D$4:$D$203,"账户转账",资金流水!$A$4:$A$203,"&gt;="&amp;DATE(YEAR($B$2),MONTH($B$2),1),资金流水!$A$4:$A$203,"&lt;="&amp;EOMONTH($B$2,0)))</f>
        <v/>
      </c>
      <c r="E26" s="17" t="str">
        <f>IF(A26="","",SUMIFS(资金流水!$K$4:$K$203,资金流水!$E$4:$E$203,A26,资金流水!$A$4:$A$203,"&gt;="&amp;DATE(YEAR($B$2),MONTH($B$2),1),资金流水!$A$4:$A$203,"&lt;="&amp;EOMONTH($B$2,0)))</f>
        <v/>
      </c>
      <c r="F26" s="17" t="str">
        <f>IF(A26="","",SUMIFS(资金流水!$J$4:$J$203,资金流水!$E$4:$E$203,A26,资金流水!$A$4:$A$203,"&gt;="&amp;DATE(YEAR($B$2),1,1),资金流水!$A$4:$A$203,"&lt;="&amp;EOMONTH($B$2,0))+SUMIFS(资金流水!$K$4:$K$203,资金流水!$F$4:$F$203,A26,资金流水!$D$4:$D$203,"账户转账",资金流水!$A$4:$A$203,"&gt;="&amp;DATE(YEAR($B$2),1,1),资金流水!$A$4:$A$203,"&lt;="&amp;EOMONTH($B$2,0)))</f>
        <v/>
      </c>
      <c r="G26" s="17" t="str">
        <f>IF(A26="","",SUMIFS(资金流水!$K$4:$K$203,资金流水!$E$4:$E$203,A26,资金流水!$A$4:$A$203,"&gt;="&amp;DATE(YEAR($B$2),1,1),资金流水!$A$4:$A$203,"&lt;="&amp;EOMONTH($B$2,0)))</f>
        <v/>
      </c>
      <c r="H26" s="17" t="str">
        <f t="shared" si="0"/>
        <v/>
      </c>
    </row>
    <row r="27" spans="1:8">
      <c r="A27" t="str">
        <f>IF(基础资料!A27="","",基础资料!A27)</f>
        <v/>
      </c>
      <c r="B27" t="str">
        <f>IF(A27="","",基础资料!B27)</f>
        <v/>
      </c>
      <c r="C27" s="17" t="str">
        <f>IF(A27="","",SUMIFS(期初数据!$C$5:$C$14,期初数据!$A$5:$A$14,A27))</f>
        <v/>
      </c>
      <c r="D27" s="17" t="str">
        <f>IF(A27="","",SUMIFS(资金流水!$J$4:$J$203,资金流水!$E$4:$E$203,A27,资金流水!$A$4:$A$203,"&gt;="&amp;DATE(YEAR($B$2),MONTH($B$2),1),资金流水!$A$4:$A$203,"&lt;="&amp;EOMONTH($B$2,0))+SUMIFS(资金流水!$K$4:$K$203,资金流水!$F$4:$F$203,A27,资金流水!$D$4:$D$203,"账户转账",资金流水!$A$4:$A$203,"&gt;="&amp;DATE(YEAR($B$2),MONTH($B$2),1),资金流水!$A$4:$A$203,"&lt;="&amp;EOMONTH($B$2,0)))</f>
        <v/>
      </c>
      <c r="E27" s="17" t="str">
        <f>IF(A27="","",SUMIFS(资金流水!$K$4:$K$203,资金流水!$E$4:$E$203,A27,资金流水!$A$4:$A$203,"&gt;="&amp;DATE(YEAR($B$2),MONTH($B$2),1),资金流水!$A$4:$A$203,"&lt;="&amp;EOMONTH($B$2,0)))</f>
        <v/>
      </c>
      <c r="F27" s="17" t="str">
        <f>IF(A27="","",SUMIFS(资金流水!$J$4:$J$203,资金流水!$E$4:$E$203,A27,资金流水!$A$4:$A$203,"&gt;="&amp;DATE(YEAR($B$2),1,1),资金流水!$A$4:$A$203,"&lt;="&amp;EOMONTH($B$2,0))+SUMIFS(资金流水!$K$4:$K$203,资金流水!$F$4:$F$203,A27,资金流水!$D$4:$D$203,"账户转账",资金流水!$A$4:$A$203,"&gt;="&amp;DATE(YEAR($B$2),1,1),资金流水!$A$4:$A$203,"&lt;="&amp;EOMONTH($B$2,0)))</f>
        <v/>
      </c>
      <c r="G27" s="17" t="str">
        <f>IF(A27="","",SUMIFS(资金流水!$K$4:$K$203,资金流水!$E$4:$E$203,A27,资金流水!$A$4:$A$203,"&gt;="&amp;DATE(YEAR($B$2),1,1),资金流水!$A$4:$A$203,"&lt;="&amp;EOMONTH($B$2,0)))</f>
        <v/>
      </c>
      <c r="H27" s="17" t="str">
        <f t="shared" si="0"/>
        <v/>
      </c>
    </row>
    <row r="28" spans="1:8">
      <c r="A28" t="str">
        <f>IF(基础资料!A28="","",基础资料!A28)</f>
        <v/>
      </c>
      <c r="B28" t="str">
        <f>IF(A28="","",基础资料!B28)</f>
        <v/>
      </c>
      <c r="C28" s="17" t="str">
        <f>IF(A28="","",SUMIFS(期初数据!$C$5:$C$14,期初数据!$A$5:$A$14,A28))</f>
        <v/>
      </c>
      <c r="D28" s="17" t="str">
        <f>IF(A28="","",SUMIFS(资金流水!$J$4:$J$203,资金流水!$E$4:$E$203,A28,资金流水!$A$4:$A$203,"&gt;="&amp;DATE(YEAR($B$2),MONTH($B$2),1),资金流水!$A$4:$A$203,"&lt;="&amp;EOMONTH($B$2,0))+SUMIFS(资金流水!$K$4:$K$203,资金流水!$F$4:$F$203,A28,资金流水!$D$4:$D$203,"账户转账",资金流水!$A$4:$A$203,"&gt;="&amp;DATE(YEAR($B$2),MONTH($B$2),1),资金流水!$A$4:$A$203,"&lt;="&amp;EOMONTH($B$2,0)))</f>
        <v/>
      </c>
      <c r="E28" s="17" t="str">
        <f>IF(A28="","",SUMIFS(资金流水!$K$4:$K$203,资金流水!$E$4:$E$203,A28,资金流水!$A$4:$A$203,"&gt;="&amp;DATE(YEAR($B$2),MONTH($B$2),1),资金流水!$A$4:$A$203,"&lt;="&amp;EOMONTH($B$2,0)))</f>
        <v/>
      </c>
      <c r="F28" s="17" t="str">
        <f>IF(A28="","",SUMIFS(资金流水!$J$4:$J$203,资金流水!$E$4:$E$203,A28,资金流水!$A$4:$A$203,"&gt;="&amp;DATE(YEAR($B$2),1,1),资金流水!$A$4:$A$203,"&lt;="&amp;EOMONTH($B$2,0))+SUMIFS(资金流水!$K$4:$K$203,资金流水!$F$4:$F$203,A28,资金流水!$D$4:$D$203,"账户转账",资金流水!$A$4:$A$203,"&gt;="&amp;DATE(YEAR($B$2),1,1),资金流水!$A$4:$A$203,"&lt;="&amp;EOMONTH($B$2,0)))</f>
        <v/>
      </c>
      <c r="G28" s="17" t="str">
        <f>IF(A28="","",SUMIFS(资金流水!$K$4:$K$203,资金流水!$E$4:$E$203,A28,资金流水!$A$4:$A$203,"&gt;="&amp;DATE(YEAR($B$2),1,1),资金流水!$A$4:$A$203,"&lt;="&amp;EOMONTH($B$2,0)))</f>
        <v/>
      </c>
      <c r="H28" s="17" t="str">
        <f t="shared" si="0"/>
        <v/>
      </c>
    </row>
    <row r="29" spans="1:8">
      <c r="A29" t="str">
        <f>IF(基础资料!A29="","",基础资料!A29)</f>
        <v/>
      </c>
      <c r="B29" t="str">
        <f>IF(A29="","",基础资料!B29)</f>
        <v/>
      </c>
      <c r="C29" s="17" t="str">
        <f>IF(A29="","",SUMIFS(期初数据!$C$5:$C$14,期初数据!$A$5:$A$14,A29))</f>
        <v/>
      </c>
      <c r="D29" s="17" t="str">
        <f>IF(A29="","",SUMIFS(资金流水!$J$4:$J$203,资金流水!$E$4:$E$203,A29,资金流水!$A$4:$A$203,"&gt;="&amp;DATE(YEAR($B$2),MONTH($B$2),1),资金流水!$A$4:$A$203,"&lt;="&amp;EOMONTH($B$2,0))+SUMIFS(资金流水!$K$4:$K$203,资金流水!$F$4:$F$203,A29,资金流水!$D$4:$D$203,"账户转账",资金流水!$A$4:$A$203,"&gt;="&amp;DATE(YEAR($B$2),MONTH($B$2),1),资金流水!$A$4:$A$203,"&lt;="&amp;EOMONTH($B$2,0)))</f>
        <v/>
      </c>
      <c r="E29" s="17" t="str">
        <f>IF(A29="","",SUMIFS(资金流水!$K$4:$K$203,资金流水!$E$4:$E$203,A29,资金流水!$A$4:$A$203,"&gt;="&amp;DATE(YEAR($B$2),MONTH($B$2),1),资金流水!$A$4:$A$203,"&lt;="&amp;EOMONTH($B$2,0)))</f>
        <v/>
      </c>
      <c r="F29" s="17" t="str">
        <f>IF(A29="","",SUMIFS(资金流水!$J$4:$J$203,资金流水!$E$4:$E$203,A29,资金流水!$A$4:$A$203,"&gt;="&amp;DATE(YEAR($B$2),1,1),资金流水!$A$4:$A$203,"&lt;="&amp;EOMONTH($B$2,0))+SUMIFS(资金流水!$K$4:$K$203,资金流水!$F$4:$F$203,A29,资金流水!$D$4:$D$203,"账户转账",资金流水!$A$4:$A$203,"&gt;="&amp;DATE(YEAR($B$2),1,1),资金流水!$A$4:$A$203,"&lt;="&amp;EOMONTH($B$2,0)))</f>
        <v/>
      </c>
      <c r="G29" s="17" t="str">
        <f>IF(A29="","",SUMIFS(资金流水!$K$4:$K$203,资金流水!$E$4:$E$203,A29,资金流水!$A$4:$A$203,"&gt;="&amp;DATE(YEAR($B$2),1,1),资金流水!$A$4:$A$203,"&lt;="&amp;EOMONTH($B$2,0)))</f>
        <v/>
      </c>
      <c r="H29" s="17" t="str">
        <f t="shared" si="0"/>
        <v/>
      </c>
    </row>
    <row r="30" spans="1:8">
      <c r="A30" t="str">
        <f>IF(基础资料!A30="","",基础资料!A30)</f>
        <v/>
      </c>
      <c r="B30" t="str">
        <f>IF(A30="","",基础资料!B30)</f>
        <v/>
      </c>
      <c r="C30" s="17" t="str">
        <f>IF(A30="","",SUMIFS(期初数据!$C$5:$C$14,期初数据!$A$5:$A$14,A30))</f>
        <v/>
      </c>
      <c r="D30" s="17" t="str">
        <f>IF(A30="","",SUMIFS(资金流水!$J$4:$J$203,资金流水!$E$4:$E$203,A30,资金流水!$A$4:$A$203,"&gt;="&amp;DATE(YEAR($B$2),MONTH($B$2),1),资金流水!$A$4:$A$203,"&lt;="&amp;EOMONTH($B$2,0))+SUMIFS(资金流水!$K$4:$K$203,资金流水!$F$4:$F$203,A30,资金流水!$D$4:$D$203,"账户转账",资金流水!$A$4:$A$203,"&gt;="&amp;DATE(YEAR($B$2),MONTH($B$2),1),资金流水!$A$4:$A$203,"&lt;="&amp;EOMONTH($B$2,0)))</f>
        <v/>
      </c>
      <c r="E30" s="17" t="str">
        <f>IF(A30="","",SUMIFS(资金流水!$K$4:$K$203,资金流水!$E$4:$E$203,A30,资金流水!$A$4:$A$203,"&gt;="&amp;DATE(YEAR($B$2),MONTH($B$2),1),资金流水!$A$4:$A$203,"&lt;="&amp;EOMONTH($B$2,0)))</f>
        <v/>
      </c>
      <c r="F30" s="17" t="str">
        <f>IF(A30="","",SUMIFS(资金流水!$J$4:$J$203,资金流水!$E$4:$E$203,A30,资金流水!$A$4:$A$203,"&gt;="&amp;DATE(YEAR($B$2),1,1),资金流水!$A$4:$A$203,"&lt;="&amp;EOMONTH($B$2,0))+SUMIFS(资金流水!$K$4:$K$203,资金流水!$F$4:$F$203,A30,资金流水!$D$4:$D$203,"账户转账",资金流水!$A$4:$A$203,"&gt;="&amp;DATE(YEAR($B$2),1,1),资金流水!$A$4:$A$203,"&lt;="&amp;EOMONTH($B$2,0)))</f>
        <v/>
      </c>
      <c r="G30" s="17" t="str">
        <f>IF(A30="","",SUMIFS(资金流水!$K$4:$K$203,资金流水!$E$4:$E$203,A30,资金流水!$A$4:$A$203,"&gt;="&amp;DATE(YEAR($B$2),1,1),资金流水!$A$4:$A$203,"&lt;="&amp;EOMONTH($B$2,0)))</f>
        <v/>
      </c>
      <c r="H30" s="17" t="str">
        <f t="shared" si="0"/>
        <v/>
      </c>
    </row>
    <row r="31" spans="1:8">
      <c r="A31" t="str">
        <f>IF(基础资料!A31="","",基础资料!A31)</f>
        <v/>
      </c>
      <c r="B31" t="str">
        <f>IF(A31="","",基础资料!B31)</f>
        <v/>
      </c>
      <c r="C31" s="17" t="str">
        <f>IF(A31="","",SUMIFS(期初数据!$C$5:$C$14,期初数据!$A$5:$A$14,A31))</f>
        <v/>
      </c>
      <c r="D31" s="17" t="str">
        <f>IF(A31="","",SUMIFS(资金流水!$J$4:$J$203,资金流水!$E$4:$E$203,A31,资金流水!$A$4:$A$203,"&gt;="&amp;DATE(YEAR($B$2),MONTH($B$2),1),资金流水!$A$4:$A$203,"&lt;="&amp;EOMONTH($B$2,0))+SUMIFS(资金流水!$K$4:$K$203,资金流水!$F$4:$F$203,A31,资金流水!$D$4:$D$203,"账户转账",资金流水!$A$4:$A$203,"&gt;="&amp;DATE(YEAR($B$2),MONTH($B$2),1),资金流水!$A$4:$A$203,"&lt;="&amp;EOMONTH($B$2,0)))</f>
        <v/>
      </c>
      <c r="E31" s="17" t="str">
        <f>IF(A31="","",SUMIFS(资金流水!$K$4:$K$203,资金流水!$E$4:$E$203,A31,资金流水!$A$4:$A$203,"&gt;="&amp;DATE(YEAR($B$2),MONTH($B$2),1),资金流水!$A$4:$A$203,"&lt;="&amp;EOMONTH($B$2,0)))</f>
        <v/>
      </c>
      <c r="F31" s="17" t="str">
        <f>IF(A31="","",SUMIFS(资金流水!$J$4:$J$203,资金流水!$E$4:$E$203,A31,资金流水!$A$4:$A$203,"&gt;="&amp;DATE(YEAR($B$2),1,1),资金流水!$A$4:$A$203,"&lt;="&amp;EOMONTH($B$2,0))+SUMIFS(资金流水!$K$4:$K$203,资金流水!$F$4:$F$203,A31,资金流水!$D$4:$D$203,"账户转账",资金流水!$A$4:$A$203,"&gt;="&amp;DATE(YEAR($B$2),1,1),资金流水!$A$4:$A$203,"&lt;="&amp;EOMONTH($B$2,0)))</f>
        <v/>
      </c>
      <c r="G31" s="17" t="str">
        <f>IF(A31="","",SUMIFS(资金流水!$K$4:$K$203,资金流水!$E$4:$E$203,A31,资金流水!$A$4:$A$203,"&gt;="&amp;DATE(YEAR($B$2),1,1),资金流水!$A$4:$A$203,"&lt;="&amp;EOMONTH($B$2,0)))</f>
        <v/>
      </c>
      <c r="H31" s="17" t="str">
        <f t="shared" si="0"/>
        <v/>
      </c>
    </row>
    <row r="32" spans="1:8">
      <c r="A32" t="str">
        <f>IF(基础资料!A32="","",基础资料!A32)</f>
        <v/>
      </c>
      <c r="B32" t="str">
        <f>IF(A32="","",基础资料!B32)</f>
        <v/>
      </c>
      <c r="C32" s="17" t="str">
        <f>IF(A32="","",SUMIFS(期初数据!$C$5:$C$14,期初数据!$A$5:$A$14,A32))</f>
        <v/>
      </c>
      <c r="D32" s="17" t="str">
        <f>IF(A32="","",SUMIFS(资金流水!$J$4:$J$203,资金流水!$E$4:$E$203,A32,资金流水!$A$4:$A$203,"&gt;="&amp;DATE(YEAR($B$2),MONTH($B$2),1),资金流水!$A$4:$A$203,"&lt;="&amp;EOMONTH($B$2,0))+SUMIFS(资金流水!$K$4:$K$203,资金流水!$F$4:$F$203,A32,资金流水!$D$4:$D$203,"账户转账",资金流水!$A$4:$A$203,"&gt;="&amp;DATE(YEAR($B$2),MONTH($B$2),1),资金流水!$A$4:$A$203,"&lt;="&amp;EOMONTH($B$2,0)))</f>
        <v/>
      </c>
      <c r="E32" s="17" t="str">
        <f>IF(A32="","",SUMIFS(资金流水!$K$4:$K$203,资金流水!$E$4:$E$203,A32,资金流水!$A$4:$A$203,"&gt;="&amp;DATE(YEAR($B$2),MONTH($B$2),1),资金流水!$A$4:$A$203,"&lt;="&amp;EOMONTH($B$2,0)))</f>
        <v/>
      </c>
      <c r="F32" s="17" t="str">
        <f>IF(A32="","",SUMIFS(资金流水!$J$4:$J$203,资金流水!$E$4:$E$203,A32,资金流水!$A$4:$A$203,"&gt;="&amp;DATE(YEAR($B$2),1,1),资金流水!$A$4:$A$203,"&lt;="&amp;EOMONTH($B$2,0))+SUMIFS(资金流水!$K$4:$K$203,资金流水!$F$4:$F$203,A32,资金流水!$D$4:$D$203,"账户转账",资金流水!$A$4:$A$203,"&gt;="&amp;DATE(YEAR($B$2),1,1),资金流水!$A$4:$A$203,"&lt;="&amp;EOMONTH($B$2,0)))</f>
        <v/>
      </c>
      <c r="G32" s="17" t="str">
        <f>IF(A32="","",SUMIFS(资金流水!$K$4:$K$203,资金流水!$E$4:$E$203,A32,资金流水!$A$4:$A$203,"&gt;="&amp;DATE(YEAR($B$2),1,1),资金流水!$A$4:$A$203,"&lt;="&amp;EOMONTH($B$2,0)))</f>
        <v/>
      </c>
      <c r="H32" s="17" t="str">
        <f t="shared" si="0"/>
        <v/>
      </c>
    </row>
    <row r="33" spans="1:8">
      <c r="A33" t="str">
        <f>IF(基础资料!A33="","",基础资料!A33)</f>
        <v/>
      </c>
      <c r="B33" t="str">
        <f>IF(A33="","",基础资料!B33)</f>
        <v/>
      </c>
      <c r="C33" s="17" t="str">
        <f>IF(A33="","",SUMIFS(期初数据!$C$5:$C$14,期初数据!$A$5:$A$14,A33))</f>
        <v/>
      </c>
      <c r="D33" s="17" t="str">
        <f>IF(A33="","",SUMIFS(资金流水!$J$4:$J$203,资金流水!$E$4:$E$203,A33,资金流水!$A$4:$A$203,"&gt;="&amp;DATE(YEAR($B$2),MONTH($B$2),1),资金流水!$A$4:$A$203,"&lt;="&amp;EOMONTH($B$2,0))+SUMIFS(资金流水!$K$4:$K$203,资金流水!$F$4:$F$203,A33,资金流水!$D$4:$D$203,"账户转账",资金流水!$A$4:$A$203,"&gt;="&amp;DATE(YEAR($B$2),MONTH($B$2),1),资金流水!$A$4:$A$203,"&lt;="&amp;EOMONTH($B$2,0)))</f>
        <v/>
      </c>
      <c r="E33" s="17" t="str">
        <f>IF(A33="","",SUMIFS(资金流水!$K$4:$K$203,资金流水!$E$4:$E$203,A33,资金流水!$A$4:$A$203,"&gt;="&amp;DATE(YEAR($B$2),MONTH($B$2),1),资金流水!$A$4:$A$203,"&lt;="&amp;EOMONTH($B$2,0)))</f>
        <v/>
      </c>
      <c r="F33" s="17" t="str">
        <f>IF(A33="","",SUMIFS(资金流水!$J$4:$J$203,资金流水!$E$4:$E$203,A33,资金流水!$A$4:$A$203,"&gt;="&amp;DATE(YEAR($B$2),1,1),资金流水!$A$4:$A$203,"&lt;="&amp;EOMONTH($B$2,0))+SUMIFS(资金流水!$K$4:$K$203,资金流水!$F$4:$F$203,A33,资金流水!$D$4:$D$203,"账户转账",资金流水!$A$4:$A$203,"&gt;="&amp;DATE(YEAR($B$2),1,1),资金流水!$A$4:$A$203,"&lt;="&amp;EOMONTH($B$2,0)))</f>
        <v/>
      </c>
      <c r="G33" s="17" t="str">
        <f>IF(A33="","",SUMIFS(资金流水!$K$4:$K$203,资金流水!$E$4:$E$203,A33,资金流水!$A$4:$A$203,"&gt;="&amp;DATE(YEAR($B$2),1,1),资金流水!$A$4:$A$203,"&lt;="&amp;EOMONTH($B$2,0)))</f>
        <v/>
      </c>
      <c r="H33" s="17" t="str">
        <f t="shared" si="0"/>
        <v/>
      </c>
    </row>
    <row r="34" spans="1:8">
      <c r="A34" t="str">
        <f>IF(基础资料!A34="","",基础资料!A34)</f>
        <v/>
      </c>
      <c r="B34" t="str">
        <f>IF(A34="","",基础资料!B34)</f>
        <v/>
      </c>
      <c r="C34" s="17" t="str">
        <f>IF(A34="","",SUMIFS(期初数据!$C$5:$C$14,期初数据!$A$5:$A$14,A34))</f>
        <v/>
      </c>
      <c r="D34" s="17" t="str">
        <f>IF(A34="","",SUMIFS(资金流水!$J$4:$J$203,资金流水!$E$4:$E$203,A34,资金流水!$A$4:$A$203,"&gt;="&amp;DATE(YEAR($B$2),MONTH($B$2),1),资金流水!$A$4:$A$203,"&lt;="&amp;EOMONTH($B$2,0))+SUMIFS(资金流水!$K$4:$K$203,资金流水!$F$4:$F$203,A34,资金流水!$D$4:$D$203,"账户转账",资金流水!$A$4:$A$203,"&gt;="&amp;DATE(YEAR($B$2),MONTH($B$2),1),资金流水!$A$4:$A$203,"&lt;="&amp;EOMONTH($B$2,0)))</f>
        <v/>
      </c>
      <c r="E34" s="17" t="str">
        <f>IF(A34="","",SUMIFS(资金流水!$K$4:$K$203,资金流水!$E$4:$E$203,A34,资金流水!$A$4:$A$203,"&gt;="&amp;DATE(YEAR($B$2),MONTH($B$2),1),资金流水!$A$4:$A$203,"&lt;="&amp;EOMONTH($B$2,0)))</f>
        <v/>
      </c>
      <c r="F34" s="17" t="str">
        <f>IF(A34="","",SUMIFS(资金流水!$J$4:$J$203,资金流水!$E$4:$E$203,A34,资金流水!$A$4:$A$203,"&gt;="&amp;DATE(YEAR($B$2),1,1),资金流水!$A$4:$A$203,"&lt;="&amp;EOMONTH($B$2,0))+SUMIFS(资金流水!$K$4:$K$203,资金流水!$F$4:$F$203,A34,资金流水!$D$4:$D$203,"账户转账",资金流水!$A$4:$A$203,"&gt;="&amp;DATE(YEAR($B$2),1,1),资金流水!$A$4:$A$203,"&lt;="&amp;EOMONTH($B$2,0)))</f>
        <v/>
      </c>
      <c r="G34" s="17" t="str">
        <f>IF(A34="","",SUMIFS(资金流水!$K$4:$K$203,资金流水!$E$4:$E$203,A34,资金流水!$A$4:$A$203,"&gt;="&amp;DATE(YEAR($B$2),1,1),资金流水!$A$4:$A$203,"&lt;="&amp;EOMONTH($B$2,0)))</f>
        <v/>
      </c>
      <c r="H34" s="17" t="str">
        <f t="shared" si="0"/>
        <v/>
      </c>
    </row>
    <row r="35" spans="1:8">
      <c r="A35" t="str">
        <f>IF(基础资料!A35="","",基础资料!A35)</f>
        <v/>
      </c>
      <c r="B35" t="str">
        <f>IF(A35="","",基础资料!B35)</f>
        <v/>
      </c>
      <c r="C35" s="17" t="str">
        <f>IF(A35="","",SUMIFS(期初数据!$C$5:$C$14,期初数据!$A$5:$A$14,A35))</f>
        <v/>
      </c>
      <c r="D35" s="17" t="str">
        <f>IF(A35="","",SUMIFS(资金流水!$J$4:$J$203,资金流水!$E$4:$E$203,A35,资金流水!$A$4:$A$203,"&gt;="&amp;DATE(YEAR($B$2),MONTH($B$2),1),资金流水!$A$4:$A$203,"&lt;="&amp;EOMONTH($B$2,0))+SUMIFS(资金流水!$K$4:$K$203,资金流水!$F$4:$F$203,A35,资金流水!$D$4:$D$203,"账户转账",资金流水!$A$4:$A$203,"&gt;="&amp;DATE(YEAR($B$2),MONTH($B$2),1),资金流水!$A$4:$A$203,"&lt;="&amp;EOMONTH($B$2,0)))</f>
        <v/>
      </c>
      <c r="E35" s="17" t="str">
        <f>IF(A35="","",SUMIFS(资金流水!$K$4:$K$203,资金流水!$E$4:$E$203,A35,资金流水!$A$4:$A$203,"&gt;="&amp;DATE(YEAR($B$2),MONTH($B$2),1),资金流水!$A$4:$A$203,"&lt;="&amp;EOMONTH($B$2,0)))</f>
        <v/>
      </c>
      <c r="F35" s="17" t="str">
        <f>IF(A35="","",SUMIFS(资金流水!$J$4:$J$203,资金流水!$E$4:$E$203,A35,资金流水!$A$4:$A$203,"&gt;="&amp;DATE(YEAR($B$2),1,1),资金流水!$A$4:$A$203,"&lt;="&amp;EOMONTH($B$2,0))+SUMIFS(资金流水!$K$4:$K$203,资金流水!$F$4:$F$203,A35,资金流水!$D$4:$D$203,"账户转账",资金流水!$A$4:$A$203,"&gt;="&amp;DATE(YEAR($B$2),1,1),资金流水!$A$4:$A$203,"&lt;="&amp;EOMONTH($B$2,0)))</f>
        <v/>
      </c>
      <c r="G35" s="17" t="str">
        <f>IF(A35="","",SUMIFS(资金流水!$K$4:$K$203,资金流水!$E$4:$E$203,A35,资金流水!$A$4:$A$203,"&gt;="&amp;DATE(YEAR($B$2),1,1),资金流水!$A$4:$A$203,"&lt;="&amp;EOMONTH($B$2,0)))</f>
        <v/>
      </c>
      <c r="H35" s="17" t="str">
        <f t="shared" si="0"/>
        <v/>
      </c>
    </row>
    <row r="36" spans="1:8">
      <c r="A36" t="str">
        <f>IF(基础资料!A36="","",基础资料!A36)</f>
        <v/>
      </c>
      <c r="B36" t="str">
        <f>IF(A36="","",基础资料!B36)</f>
        <v/>
      </c>
      <c r="C36" s="17" t="str">
        <f>IF(A36="","",SUMIFS(期初数据!$C$5:$C$14,期初数据!$A$5:$A$14,A36))</f>
        <v/>
      </c>
      <c r="D36" s="17" t="str">
        <f>IF(A36="","",SUMIFS(资金流水!$J$4:$J$203,资金流水!$E$4:$E$203,A36,资金流水!$A$4:$A$203,"&gt;="&amp;DATE(YEAR($B$2),MONTH($B$2),1),资金流水!$A$4:$A$203,"&lt;="&amp;EOMONTH($B$2,0))+SUMIFS(资金流水!$K$4:$K$203,资金流水!$F$4:$F$203,A36,资金流水!$D$4:$D$203,"账户转账",资金流水!$A$4:$A$203,"&gt;="&amp;DATE(YEAR($B$2),MONTH($B$2),1),资金流水!$A$4:$A$203,"&lt;="&amp;EOMONTH($B$2,0)))</f>
        <v/>
      </c>
      <c r="E36" s="17" t="str">
        <f>IF(A36="","",SUMIFS(资金流水!$K$4:$K$203,资金流水!$E$4:$E$203,A36,资金流水!$A$4:$A$203,"&gt;="&amp;DATE(YEAR($B$2),MONTH($B$2),1),资金流水!$A$4:$A$203,"&lt;="&amp;EOMONTH($B$2,0)))</f>
        <v/>
      </c>
      <c r="F36" s="17" t="str">
        <f>IF(A36="","",SUMIFS(资金流水!$J$4:$J$203,资金流水!$E$4:$E$203,A36,资金流水!$A$4:$A$203,"&gt;="&amp;DATE(YEAR($B$2),1,1),资金流水!$A$4:$A$203,"&lt;="&amp;EOMONTH($B$2,0))+SUMIFS(资金流水!$K$4:$K$203,资金流水!$F$4:$F$203,A36,资金流水!$D$4:$D$203,"账户转账",资金流水!$A$4:$A$203,"&gt;="&amp;DATE(YEAR($B$2),1,1),资金流水!$A$4:$A$203,"&lt;="&amp;EOMONTH($B$2,0)))</f>
        <v/>
      </c>
      <c r="G36" s="17" t="str">
        <f>IF(A36="","",SUMIFS(资金流水!$K$4:$K$203,资金流水!$E$4:$E$203,A36,资金流水!$A$4:$A$203,"&gt;="&amp;DATE(YEAR($B$2),1,1),资金流水!$A$4:$A$203,"&lt;="&amp;EOMONTH($B$2,0)))</f>
        <v/>
      </c>
      <c r="H36" s="17" t="str">
        <f t="shared" si="0"/>
        <v/>
      </c>
    </row>
    <row r="37" spans="1:8">
      <c r="A37" t="str">
        <f>IF(基础资料!A37="","",基础资料!A37)</f>
        <v/>
      </c>
      <c r="B37" t="str">
        <f>IF(A37="","",基础资料!B37)</f>
        <v/>
      </c>
      <c r="C37" s="17" t="str">
        <f>IF(A37="","",SUMIFS(期初数据!$C$5:$C$14,期初数据!$A$5:$A$14,A37))</f>
        <v/>
      </c>
      <c r="D37" s="17" t="str">
        <f>IF(A37="","",SUMIFS(资金流水!$J$4:$J$203,资金流水!$E$4:$E$203,A37,资金流水!$A$4:$A$203,"&gt;="&amp;DATE(YEAR($B$2),MONTH($B$2),1),资金流水!$A$4:$A$203,"&lt;="&amp;EOMONTH($B$2,0))+SUMIFS(资金流水!$K$4:$K$203,资金流水!$F$4:$F$203,A37,资金流水!$D$4:$D$203,"账户转账",资金流水!$A$4:$A$203,"&gt;="&amp;DATE(YEAR($B$2),MONTH($B$2),1),资金流水!$A$4:$A$203,"&lt;="&amp;EOMONTH($B$2,0)))</f>
        <v/>
      </c>
      <c r="E37" s="17" t="str">
        <f>IF(A37="","",SUMIFS(资金流水!$K$4:$K$203,资金流水!$E$4:$E$203,A37,资金流水!$A$4:$A$203,"&gt;="&amp;DATE(YEAR($B$2),MONTH($B$2),1),资金流水!$A$4:$A$203,"&lt;="&amp;EOMONTH($B$2,0)))</f>
        <v/>
      </c>
      <c r="F37" s="17" t="str">
        <f>IF(A37="","",SUMIFS(资金流水!$J$4:$J$203,资金流水!$E$4:$E$203,A37,资金流水!$A$4:$A$203,"&gt;="&amp;DATE(YEAR($B$2),1,1),资金流水!$A$4:$A$203,"&lt;="&amp;EOMONTH($B$2,0))+SUMIFS(资金流水!$K$4:$K$203,资金流水!$F$4:$F$203,A37,资金流水!$D$4:$D$203,"账户转账",资金流水!$A$4:$A$203,"&gt;="&amp;DATE(YEAR($B$2),1,1),资金流水!$A$4:$A$203,"&lt;="&amp;EOMONTH($B$2,0)))</f>
        <v/>
      </c>
      <c r="G37" s="17" t="str">
        <f>IF(A37="","",SUMIFS(资金流水!$K$4:$K$203,资金流水!$E$4:$E$203,A37,资金流水!$A$4:$A$203,"&gt;="&amp;DATE(YEAR($B$2),1,1),资金流水!$A$4:$A$203,"&lt;="&amp;EOMONTH($B$2,0)))</f>
        <v/>
      </c>
      <c r="H37" s="17" t="str">
        <f t="shared" si="0"/>
        <v/>
      </c>
    </row>
    <row r="38" spans="1:8">
      <c r="A38" t="str">
        <f>IF(基础资料!A38="","",基础资料!A38)</f>
        <v/>
      </c>
      <c r="B38" t="str">
        <f>IF(A38="","",基础资料!B38)</f>
        <v/>
      </c>
      <c r="C38" s="17" t="str">
        <f>IF(A38="","",SUMIFS(期初数据!$C$5:$C$14,期初数据!$A$5:$A$14,A38))</f>
        <v/>
      </c>
      <c r="D38" s="17" t="str">
        <f>IF(A38="","",SUMIFS(资金流水!$J$4:$J$203,资金流水!$E$4:$E$203,A38,资金流水!$A$4:$A$203,"&gt;="&amp;DATE(YEAR($B$2),MONTH($B$2),1),资金流水!$A$4:$A$203,"&lt;="&amp;EOMONTH($B$2,0))+SUMIFS(资金流水!$K$4:$K$203,资金流水!$F$4:$F$203,A38,资金流水!$D$4:$D$203,"账户转账",资金流水!$A$4:$A$203,"&gt;="&amp;DATE(YEAR($B$2),MONTH($B$2),1),资金流水!$A$4:$A$203,"&lt;="&amp;EOMONTH($B$2,0)))</f>
        <v/>
      </c>
      <c r="E38" s="17" t="str">
        <f>IF(A38="","",SUMIFS(资金流水!$K$4:$K$203,资金流水!$E$4:$E$203,A38,资金流水!$A$4:$A$203,"&gt;="&amp;DATE(YEAR($B$2),MONTH($B$2),1),资金流水!$A$4:$A$203,"&lt;="&amp;EOMONTH($B$2,0)))</f>
        <v/>
      </c>
      <c r="F38" s="17" t="str">
        <f>IF(A38="","",SUMIFS(资金流水!$J$4:$J$203,资金流水!$E$4:$E$203,A38,资金流水!$A$4:$A$203,"&gt;="&amp;DATE(YEAR($B$2),1,1),资金流水!$A$4:$A$203,"&lt;="&amp;EOMONTH($B$2,0))+SUMIFS(资金流水!$K$4:$K$203,资金流水!$F$4:$F$203,A38,资金流水!$D$4:$D$203,"账户转账",资金流水!$A$4:$A$203,"&gt;="&amp;DATE(YEAR($B$2),1,1),资金流水!$A$4:$A$203,"&lt;="&amp;EOMONTH($B$2,0)))</f>
        <v/>
      </c>
      <c r="G38" s="17" t="str">
        <f>IF(A38="","",SUMIFS(资金流水!$K$4:$K$203,资金流水!$E$4:$E$203,A38,资金流水!$A$4:$A$203,"&gt;="&amp;DATE(YEAR($B$2),1,1),资金流水!$A$4:$A$203,"&lt;="&amp;EOMONTH($B$2,0)))</f>
        <v/>
      </c>
      <c r="H38" s="17" t="str">
        <f t="shared" si="0"/>
        <v/>
      </c>
    </row>
    <row r="39" spans="1:8">
      <c r="A39" t="str">
        <f>IF(基础资料!A39="","",基础资料!A39)</f>
        <v/>
      </c>
      <c r="B39" t="str">
        <f>IF(A39="","",基础资料!B39)</f>
        <v/>
      </c>
      <c r="C39" s="17" t="str">
        <f>IF(A39="","",SUMIFS(期初数据!$C$5:$C$14,期初数据!$A$5:$A$14,A39))</f>
        <v/>
      </c>
      <c r="D39" s="17" t="str">
        <f>IF(A39="","",SUMIFS(资金流水!$J$4:$J$203,资金流水!$E$4:$E$203,A39,资金流水!$A$4:$A$203,"&gt;="&amp;DATE(YEAR($B$2),MONTH($B$2),1),资金流水!$A$4:$A$203,"&lt;="&amp;EOMONTH($B$2,0))+SUMIFS(资金流水!$K$4:$K$203,资金流水!$F$4:$F$203,A39,资金流水!$D$4:$D$203,"账户转账",资金流水!$A$4:$A$203,"&gt;="&amp;DATE(YEAR($B$2),MONTH($B$2),1),资金流水!$A$4:$A$203,"&lt;="&amp;EOMONTH($B$2,0)))</f>
        <v/>
      </c>
      <c r="E39" s="17" t="str">
        <f>IF(A39="","",SUMIFS(资金流水!$K$4:$K$203,资金流水!$E$4:$E$203,A39,资金流水!$A$4:$A$203,"&gt;="&amp;DATE(YEAR($B$2),MONTH($B$2),1),资金流水!$A$4:$A$203,"&lt;="&amp;EOMONTH($B$2,0)))</f>
        <v/>
      </c>
      <c r="F39" s="17" t="str">
        <f>IF(A39="","",SUMIFS(资金流水!$J$4:$J$203,资金流水!$E$4:$E$203,A39,资金流水!$A$4:$A$203,"&gt;="&amp;DATE(YEAR($B$2),1,1),资金流水!$A$4:$A$203,"&lt;="&amp;EOMONTH($B$2,0))+SUMIFS(资金流水!$K$4:$K$203,资金流水!$F$4:$F$203,A39,资金流水!$D$4:$D$203,"账户转账",资金流水!$A$4:$A$203,"&gt;="&amp;DATE(YEAR($B$2),1,1),资金流水!$A$4:$A$203,"&lt;="&amp;EOMONTH($B$2,0)))</f>
        <v/>
      </c>
      <c r="G39" s="17" t="str">
        <f>IF(A39="","",SUMIFS(资金流水!$K$4:$K$203,资金流水!$E$4:$E$203,A39,资金流水!$A$4:$A$203,"&gt;="&amp;DATE(YEAR($B$2),1,1),资金流水!$A$4:$A$203,"&lt;="&amp;EOMONTH($B$2,0)))</f>
        <v/>
      </c>
      <c r="H39" s="17" t="str">
        <f t="shared" si="0"/>
        <v/>
      </c>
    </row>
    <row r="40" spans="1:8">
      <c r="A40" t="str">
        <f>IF(基础资料!A40="","",基础资料!A40)</f>
        <v/>
      </c>
      <c r="B40" t="str">
        <f>IF(A40="","",基础资料!B40)</f>
        <v/>
      </c>
      <c r="C40" s="17" t="str">
        <f>IF(A40="","",SUMIFS(期初数据!$C$5:$C$14,期初数据!$A$5:$A$14,A40))</f>
        <v/>
      </c>
      <c r="D40" s="17" t="str">
        <f>IF(A40="","",SUMIFS(资金流水!$J$4:$J$203,资金流水!$E$4:$E$203,A40,资金流水!$A$4:$A$203,"&gt;="&amp;DATE(YEAR($B$2),MONTH($B$2),1),资金流水!$A$4:$A$203,"&lt;="&amp;EOMONTH($B$2,0))+SUMIFS(资金流水!$K$4:$K$203,资金流水!$F$4:$F$203,A40,资金流水!$D$4:$D$203,"账户转账",资金流水!$A$4:$A$203,"&gt;="&amp;DATE(YEAR($B$2),MONTH($B$2),1),资金流水!$A$4:$A$203,"&lt;="&amp;EOMONTH($B$2,0)))</f>
        <v/>
      </c>
      <c r="E40" s="17" t="str">
        <f>IF(A40="","",SUMIFS(资金流水!$K$4:$K$203,资金流水!$E$4:$E$203,A40,资金流水!$A$4:$A$203,"&gt;="&amp;DATE(YEAR($B$2),MONTH($B$2),1),资金流水!$A$4:$A$203,"&lt;="&amp;EOMONTH($B$2,0)))</f>
        <v/>
      </c>
      <c r="F40" s="17" t="str">
        <f>IF(A40="","",SUMIFS(资金流水!$J$4:$J$203,资金流水!$E$4:$E$203,A40,资金流水!$A$4:$A$203,"&gt;="&amp;DATE(YEAR($B$2),1,1),资金流水!$A$4:$A$203,"&lt;="&amp;EOMONTH($B$2,0))+SUMIFS(资金流水!$K$4:$K$203,资金流水!$F$4:$F$203,A40,资金流水!$D$4:$D$203,"账户转账",资金流水!$A$4:$A$203,"&gt;="&amp;DATE(YEAR($B$2),1,1),资金流水!$A$4:$A$203,"&lt;="&amp;EOMONTH($B$2,0)))</f>
        <v/>
      </c>
      <c r="G40" s="17" t="str">
        <f>IF(A40="","",SUMIFS(资金流水!$K$4:$K$203,资金流水!$E$4:$E$203,A40,资金流水!$A$4:$A$203,"&gt;="&amp;DATE(YEAR($B$2),1,1),资金流水!$A$4:$A$203,"&lt;="&amp;EOMONTH($B$2,0)))</f>
        <v/>
      </c>
      <c r="H40" s="17" t="str">
        <f t="shared" si="0"/>
        <v/>
      </c>
    </row>
    <row r="41" spans="1:8">
      <c r="A41" t="str">
        <f>IF(基础资料!A41="","",基础资料!A41)</f>
        <v/>
      </c>
      <c r="B41" t="str">
        <f>IF(A41="","",基础资料!B41)</f>
        <v/>
      </c>
      <c r="C41" s="17" t="str">
        <f>IF(A41="","",SUMIFS(期初数据!$C$5:$C$14,期初数据!$A$5:$A$14,A41))</f>
        <v/>
      </c>
      <c r="D41" s="17" t="str">
        <f>IF(A41="","",SUMIFS(资金流水!$J$4:$J$203,资金流水!$E$4:$E$203,A41,资金流水!$A$4:$A$203,"&gt;="&amp;DATE(YEAR($B$2),MONTH($B$2),1),资金流水!$A$4:$A$203,"&lt;="&amp;EOMONTH($B$2,0))+SUMIFS(资金流水!$K$4:$K$203,资金流水!$F$4:$F$203,A41,资金流水!$D$4:$D$203,"账户转账",资金流水!$A$4:$A$203,"&gt;="&amp;DATE(YEAR($B$2),MONTH($B$2),1),资金流水!$A$4:$A$203,"&lt;="&amp;EOMONTH($B$2,0)))</f>
        <v/>
      </c>
      <c r="E41" s="17" t="str">
        <f>IF(A41="","",SUMIFS(资金流水!$K$4:$K$203,资金流水!$E$4:$E$203,A41,资金流水!$A$4:$A$203,"&gt;="&amp;DATE(YEAR($B$2),MONTH($B$2),1),资金流水!$A$4:$A$203,"&lt;="&amp;EOMONTH($B$2,0)))</f>
        <v/>
      </c>
      <c r="F41" s="17" t="str">
        <f>IF(A41="","",SUMIFS(资金流水!$J$4:$J$203,资金流水!$E$4:$E$203,A41,资金流水!$A$4:$A$203,"&gt;="&amp;DATE(YEAR($B$2),1,1),资金流水!$A$4:$A$203,"&lt;="&amp;EOMONTH($B$2,0))+SUMIFS(资金流水!$K$4:$K$203,资金流水!$F$4:$F$203,A41,资金流水!$D$4:$D$203,"账户转账",资金流水!$A$4:$A$203,"&gt;="&amp;DATE(YEAR($B$2),1,1),资金流水!$A$4:$A$203,"&lt;="&amp;EOMONTH($B$2,0)))</f>
        <v/>
      </c>
      <c r="G41" s="17" t="str">
        <f>IF(A41="","",SUMIFS(资金流水!$K$4:$K$203,资金流水!$E$4:$E$203,A41,资金流水!$A$4:$A$203,"&gt;="&amp;DATE(YEAR($B$2),1,1),资金流水!$A$4:$A$203,"&lt;="&amp;EOMONTH($B$2,0)))</f>
        <v/>
      </c>
      <c r="H41" s="17" t="str">
        <f t="shared" si="0"/>
        <v/>
      </c>
    </row>
    <row r="42" spans="1:8">
      <c r="A42" t="str">
        <f>IF(基础资料!A42="","",基础资料!A42)</f>
        <v/>
      </c>
      <c r="B42" t="str">
        <f>IF(A42="","",基础资料!B42)</f>
        <v/>
      </c>
      <c r="C42" s="17" t="str">
        <f>IF(A42="","",SUMIFS(期初数据!$C$5:$C$14,期初数据!$A$5:$A$14,A42))</f>
        <v/>
      </c>
      <c r="D42" s="17" t="str">
        <f>IF(A42="","",SUMIFS(资金流水!$J$4:$J$203,资金流水!$E$4:$E$203,A42,资金流水!$A$4:$A$203,"&gt;="&amp;DATE(YEAR($B$2),MONTH($B$2),1),资金流水!$A$4:$A$203,"&lt;="&amp;EOMONTH($B$2,0))+SUMIFS(资金流水!$K$4:$K$203,资金流水!$F$4:$F$203,A42,资金流水!$D$4:$D$203,"账户转账",资金流水!$A$4:$A$203,"&gt;="&amp;DATE(YEAR($B$2),MONTH($B$2),1),资金流水!$A$4:$A$203,"&lt;="&amp;EOMONTH($B$2,0)))</f>
        <v/>
      </c>
      <c r="E42" s="17" t="str">
        <f>IF(A42="","",SUMIFS(资金流水!$K$4:$K$203,资金流水!$E$4:$E$203,A42,资金流水!$A$4:$A$203,"&gt;="&amp;DATE(YEAR($B$2),MONTH($B$2),1),资金流水!$A$4:$A$203,"&lt;="&amp;EOMONTH($B$2,0)))</f>
        <v/>
      </c>
      <c r="F42" s="17" t="str">
        <f>IF(A42="","",SUMIFS(资金流水!$J$4:$J$203,资金流水!$E$4:$E$203,A42,资金流水!$A$4:$A$203,"&gt;="&amp;DATE(YEAR($B$2),1,1),资金流水!$A$4:$A$203,"&lt;="&amp;EOMONTH($B$2,0))+SUMIFS(资金流水!$K$4:$K$203,资金流水!$F$4:$F$203,A42,资金流水!$D$4:$D$203,"账户转账",资金流水!$A$4:$A$203,"&gt;="&amp;DATE(YEAR($B$2),1,1),资金流水!$A$4:$A$203,"&lt;="&amp;EOMONTH($B$2,0)))</f>
        <v/>
      </c>
      <c r="G42" s="17" t="str">
        <f>IF(A42="","",SUMIFS(资金流水!$K$4:$K$203,资金流水!$E$4:$E$203,A42,资金流水!$A$4:$A$203,"&gt;="&amp;DATE(YEAR($B$2),1,1),资金流水!$A$4:$A$203,"&lt;="&amp;EOMONTH($B$2,0)))</f>
        <v/>
      </c>
      <c r="H42" s="17" t="str">
        <f t="shared" si="0"/>
        <v/>
      </c>
    </row>
    <row r="43" spans="1:8">
      <c r="A43" t="str">
        <f>IF(基础资料!A43="","",基础资料!A43)</f>
        <v/>
      </c>
      <c r="B43" t="str">
        <f>IF(A43="","",基础资料!B43)</f>
        <v/>
      </c>
      <c r="C43" s="17" t="str">
        <f>IF(A43="","",SUMIFS(期初数据!$C$5:$C$14,期初数据!$A$5:$A$14,A43))</f>
        <v/>
      </c>
      <c r="D43" s="17" t="str">
        <f>IF(A43="","",SUMIFS(资金流水!$J$4:$J$203,资金流水!$E$4:$E$203,A43,资金流水!$A$4:$A$203,"&gt;="&amp;DATE(YEAR($B$2),MONTH($B$2),1),资金流水!$A$4:$A$203,"&lt;="&amp;EOMONTH($B$2,0))+SUMIFS(资金流水!$K$4:$K$203,资金流水!$F$4:$F$203,A43,资金流水!$D$4:$D$203,"账户转账",资金流水!$A$4:$A$203,"&gt;="&amp;DATE(YEAR($B$2),MONTH($B$2),1),资金流水!$A$4:$A$203,"&lt;="&amp;EOMONTH($B$2,0)))</f>
        <v/>
      </c>
      <c r="E43" s="17" t="str">
        <f>IF(A43="","",SUMIFS(资金流水!$K$4:$K$203,资金流水!$E$4:$E$203,A43,资金流水!$A$4:$A$203,"&gt;="&amp;DATE(YEAR($B$2),MONTH($B$2),1),资金流水!$A$4:$A$203,"&lt;="&amp;EOMONTH($B$2,0)))</f>
        <v/>
      </c>
      <c r="F43" s="17" t="str">
        <f>IF(A43="","",SUMIFS(资金流水!$J$4:$J$203,资金流水!$E$4:$E$203,A43,资金流水!$A$4:$A$203,"&gt;="&amp;DATE(YEAR($B$2),1,1),资金流水!$A$4:$A$203,"&lt;="&amp;EOMONTH($B$2,0))+SUMIFS(资金流水!$K$4:$K$203,资金流水!$F$4:$F$203,A43,资金流水!$D$4:$D$203,"账户转账",资金流水!$A$4:$A$203,"&gt;="&amp;DATE(YEAR($B$2),1,1),资金流水!$A$4:$A$203,"&lt;="&amp;EOMONTH($B$2,0)))</f>
        <v/>
      </c>
      <c r="G43" s="17" t="str">
        <f>IF(A43="","",SUMIFS(资金流水!$K$4:$K$203,资金流水!$E$4:$E$203,A43,资金流水!$A$4:$A$203,"&gt;="&amp;DATE(YEAR($B$2),1,1),资金流水!$A$4:$A$203,"&lt;="&amp;EOMONTH($B$2,0)))</f>
        <v/>
      </c>
      <c r="H43" s="17" t="str">
        <f t="shared" si="0"/>
        <v/>
      </c>
    </row>
    <row r="44" spans="1:8">
      <c r="A44" t="str">
        <f>IF(基础资料!A44="","",基础资料!A44)</f>
        <v/>
      </c>
      <c r="B44" t="str">
        <f>IF(A44="","",基础资料!B44)</f>
        <v/>
      </c>
      <c r="C44" s="17" t="str">
        <f>IF(A44="","",SUMIFS(期初数据!$C$5:$C$14,期初数据!$A$5:$A$14,A44))</f>
        <v/>
      </c>
      <c r="D44" s="17" t="str">
        <f>IF(A44="","",SUMIFS(资金流水!$J$4:$J$203,资金流水!$E$4:$E$203,A44,资金流水!$A$4:$A$203,"&gt;="&amp;DATE(YEAR($B$2),MONTH($B$2),1),资金流水!$A$4:$A$203,"&lt;="&amp;EOMONTH($B$2,0))+SUMIFS(资金流水!$K$4:$K$203,资金流水!$F$4:$F$203,A44,资金流水!$D$4:$D$203,"账户转账",资金流水!$A$4:$A$203,"&gt;="&amp;DATE(YEAR($B$2),MONTH($B$2),1),资金流水!$A$4:$A$203,"&lt;="&amp;EOMONTH($B$2,0)))</f>
        <v/>
      </c>
      <c r="E44" s="17" t="str">
        <f>IF(A44="","",SUMIFS(资金流水!$K$4:$K$203,资金流水!$E$4:$E$203,A44,资金流水!$A$4:$A$203,"&gt;="&amp;DATE(YEAR($B$2),MONTH($B$2),1),资金流水!$A$4:$A$203,"&lt;="&amp;EOMONTH($B$2,0)))</f>
        <v/>
      </c>
      <c r="F44" s="17" t="str">
        <f>IF(A44="","",SUMIFS(资金流水!$J$4:$J$203,资金流水!$E$4:$E$203,A44,资金流水!$A$4:$A$203,"&gt;="&amp;DATE(YEAR($B$2),1,1),资金流水!$A$4:$A$203,"&lt;="&amp;EOMONTH($B$2,0))+SUMIFS(资金流水!$K$4:$K$203,资金流水!$F$4:$F$203,A44,资金流水!$D$4:$D$203,"账户转账",资金流水!$A$4:$A$203,"&gt;="&amp;DATE(YEAR($B$2),1,1),资金流水!$A$4:$A$203,"&lt;="&amp;EOMONTH($B$2,0)))</f>
        <v/>
      </c>
      <c r="G44" s="17" t="str">
        <f>IF(A44="","",SUMIFS(资金流水!$K$4:$K$203,资金流水!$E$4:$E$203,A44,资金流水!$A$4:$A$203,"&gt;="&amp;DATE(YEAR($B$2),1,1),资金流水!$A$4:$A$203,"&lt;="&amp;EOMONTH($B$2,0)))</f>
        <v/>
      </c>
      <c r="H44" s="17" t="str">
        <f t="shared" si="0"/>
        <v/>
      </c>
    </row>
    <row r="45" spans="1:8">
      <c r="A45" t="str">
        <f>IF(基础资料!A45="","",基础资料!A45)</f>
        <v/>
      </c>
      <c r="B45" t="str">
        <f>IF(A45="","",基础资料!B45)</f>
        <v/>
      </c>
      <c r="C45" s="17" t="str">
        <f>IF(A45="","",SUMIFS(期初数据!$C$5:$C$14,期初数据!$A$5:$A$14,A45))</f>
        <v/>
      </c>
      <c r="D45" s="17" t="str">
        <f>IF(A45="","",SUMIFS(资金流水!$J$4:$J$203,资金流水!$E$4:$E$203,A45,资金流水!$A$4:$A$203,"&gt;="&amp;DATE(YEAR($B$2),MONTH($B$2),1),资金流水!$A$4:$A$203,"&lt;="&amp;EOMONTH($B$2,0))+SUMIFS(资金流水!$K$4:$K$203,资金流水!$F$4:$F$203,A45,资金流水!$D$4:$D$203,"账户转账",资金流水!$A$4:$A$203,"&gt;="&amp;DATE(YEAR($B$2),MONTH($B$2),1),资金流水!$A$4:$A$203,"&lt;="&amp;EOMONTH($B$2,0)))</f>
        <v/>
      </c>
      <c r="E45" s="17" t="str">
        <f>IF(A45="","",SUMIFS(资金流水!$K$4:$K$203,资金流水!$E$4:$E$203,A45,资金流水!$A$4:$A$203,"&gt;="&amp;DATE(YEAR($B$2),MONTH($B$2),1),资金流水!$A$4:$A$203,"&lt;="&amp;EOMONTH($B$2,0)))</f>
        <v/>
      </c>
      <c r="F45" s="17" t="str">
        <f>IF(A45="","",SUMIFS(资金流水!$J$4:$J$203,资金流水!$E$4:$E$203,A45,资金流水!$A$4:$A$203,"&gt;="&amp;DATE(YEAR($B$2),1,1),资金流水!$A$4:$A$203,"&lt;="&amp;EOMONTH($B$2,0))+SUMIFS(资金流水!$K$4:$K$203,资金流水!$F$4:$F$203,A45,资金流水!$D$4:$D$203,"账户转账",资金流水!$A$4:$A$203,"&gt;="&amp;DATE(YEAR($B$2),1,1),资金流水!$A$4:$A$203,"&lt;="&amp;EOMONTH($B$2,0)))</f>
        <v/>
      </c>
      <c r="G45" s="17" t="str">
        <f>IF(A45="","",SUMIFS(资金流水!$K$4:$K$203,资金流水!$E$4:$E$203,A45,资金流水!$A$4:$A$203,"&gt;="&amp;DATE(YEAR($B$2),1,1),资金流水!$A$4:$A$203,"&lt;="&amp;EOMONTH($B$2,0)))</f>
        <v/>
      </c>
      <c r="H45" s="17" t="str">
        <f t="shared" si="0"/>
        <v/>
      </c>
    </row>
    <row r="46" spans="1:8">
      <c r="A46" t="str">
        <f>IF(基础资料!A46="","",基础资料!A46)</f>
        <v/>
      </c>
      <c r="B46" t="str">
        <f>IF(A46="","",基础资料!B46)</f>
        <v/>
      </c>
      <c r="C46" s="17" t="str">
        <f>IF(A46="","",SUMIFS(期初数据!$C$5:$C$14,期初数据!$A$5:$A$14,A46))</f>
        <v/>
      </c>
      <c r="D46" s="17" t="str">
        <f>IF(A46="","",SUMIFS(资金流水!$J$4:$J$203,资金流水!$E$4:$E$203,A46,资金流水!$A$4:$A$203,"&gt;="&amp;DATE(YEAR($B$2),MONTH($B$2),1),资金流水!$A$4:$A$203,"&lt;="&amp;EOMONTH($B$2,0))+SUMIFS(资金流水!$K$4:$K$203,资金流水!$F$4:$F$203,A46,资金流水!$D$4:$D$203,"账户转账",资金流水!$A$4:$A$203,"&gt;="&amp;DATE(YEAR($B$2),MONTH($B$2),1),资金流水!$A$4:$A$203,"&lt;="&amp;EOMONTH($B$2,0)))</f>
        <v/>
      </c>
      <c r="E46" s="17" t="str">
        <f>IF(A46="","",SUMIFS(资金流水!$K$4:$K$203,资金流水!$E$4:$E$203,A46,资金流水!$A$4:$A$203,"&gt;="&amp;DATE(YEAR($B$2),MONTH($B$2),1),资金流水!$A$4:$A$203,"&lt;="&amp;EOMONTH($B$2,0)))</f>
        <v/>
      </c>
      <c r="F46" s="17" t="str">
        <f>IF(A46="","",SUMIFS(资金流水!$J$4:$J$203,资金流水!$E$4:$E$203,A46,资金流水!$A$4:$A$203,"&gt;="&amp;DATE(YEAR($B$2),1,1),资金流水!$A$4:$A$203,"&lt;="&amp;EOMONTH($B$2,0))+SUMIFS(资金流水!$K$4:$K$203,资金流水!$F$4:$F$203,A46,资金流水!$D$4:$D$203,"账户转账",资金流水!$A$4:$A$203,"&gt;="&amp;DATE(YEAR($B$2),1,1),资金流水!$A$4:$A$203,"&lt;="&amp;EOMONTH($B$2,0)))</f>
        <v/>
      </c>
      <c r="G46" s="17" t="str">
        <f>IF(A46="","",SUMIFS(资金流水!$K$4:$K$203,资金流水!$E$4:$E$203,A46,资金流水!$A$4:$A$203,"&gt;="&amp;DATE(YEAR($B$2),1,1),资金流水!$A$4:$A$203,"&lt;="&amp;EOMONTH($B$2,0)))</f>
        <v/>
      </c>
      <c r="H46" s="17" t="str">
        <f t="shared" si="0"/>
        <v/>
      </c>
    </row>
    <row r="47" spans="1:8">
      <c r="A47" t="str">
        <f>IF(基础资料!A47="","",基础资料!A47)</f>
        <v/>
      </c>
      <c r="B47" t="str">
        <f>IF(A47="","",基础资料!B47)</f>
        <v/>
      </c>
      <c r="C47" s="17" t="str">
        <f>IF(A47="","",SUMIFS(期初数据!$C$5:$C$14,期初数据!$A$5:$A$14,A47))</f>
        <v/>
      </c>
      <c r="D47" s="17" t="str">
        <f>IF(A47="","",SUMIFS(资金流水!$J$4:$J$203,资金流水!$E$4:$E$203,A47,资金流水!$A$4:$A$203,"&gt;="&amp;DATE(YEAR($B$2),MONTH($B$2),1),资金流水!$A$4:$A$203,"&lt;="&amp;EOMONTH($B$2,0))+SUMIFS(资金流水!$K$4:$K$203,资金流水!$F$4:$F$203,A47,资金流水!$D$4:$D$203,"账户转账",资金流水!$A$4:$A$203,"&gt;="&amp;DATE(YEAR($B$2),MONTH($B$2),1),资金流水!$A$4:$A$203,"&lt;="&amp;EOMONTH($B$2,0)))</f>
        <v/>
      </c>
      <c r="E47" s="17" t="str">
        <f>IF(A47="","",SUMIFS(资金流水!$K$4:$K$203,资金流水!$E$4:$E$203,A47,资金流水!$A$4:$A$203,"&gt;="&amp;DATE(YEAR($B$2),MONTH($B$2),1),资金流水!$A$4:$A$203,"&lt;="&amp;EOMONTH($B$2,0)))</f>
        <v/>
      </c>
      <c r="F47" s="17" t="str">
        <f>IF(A47="","",SUMIFS(资金流水!$J$4:$J$203,资金流水!$E$4:$E$203,A47,资金流水!$A$4:$A$203,"&gt;="&amp;DATE(YEAR($B$2),1,1),资金流水!$A$4:$A$203,"&lt;="&amp;EOMONTH($B$2,0))+SUMIFS(资金流水!$K$4:$K$203,资金流水!$F$4:$F$203,A47,资金流水!$D$4:$D$203,"账户转账",资金流水!$A$4:$A$203,"&gt;="&amp;DATE(YEAR($B$2),1,1),资金流水!$A$4:$A$203,"&lt;="&amp;EOMONTH($B$2,0)))</f>
        <v/>
      </c>
      <c r="G47" s="17" t="str">
        <f>IF(A47="","",SUMIFS(资金流水!$K$4:$K$203,资金流水!$E$4:$E$203,A47,资金流水!$A$4:$A$203,"&gt;="&amp;DATE(YEAR($B$2),1,1),资金流水!$A$4:$A$203,"&lt;="&amp;EOMONTH($B$2,0)))</f>
        <v/>
      </c>
      <c r="H47" s="17" t="str">
        <f t="shared" si="0"/>
        <v/>
      </c>
    </row>
    <row r="48" spans="1:8">
      <c r="A48" t="str">
        <f>IF(基础资料!A48="","",基础资料!A48)</f>
        <v/>
      </c>
      <c r="B48" t="str">
        <f>IF(A48="","",基础资料!B48)</f>
        <v/>
      </c>
      <c r="C48" s="17" t="str">
        <f>IF(A48="","",SUMIFS(期初数据!$C$5:$C$14,期初数据!$A$5:$A$14,A48))</f>
        <v/>
      </c>
      <c r="D48" s="17" t="str">
        <f>IF(A48="","",SUMIFS(资金流水!$J$4:$J$203,资金流水!$E$4:$E$203,A48,资金流水!$A$4:$A$203,"&gt;="&amp;DATE(YEAR($B$2),MONTH($B$2),1),资金流水!$A$4:$A$203,"&lt;="&amp;EOMONTH($B$2,0))+SUMIFS(资金流水!$K$4:$K$203,资金流水!$F$4:$F$203,A48,资金流水!$D$4:$D$203,"账户转账",资金流水!$A$4:$A$203,"&gt;="&amp;DATE(YEAR($B$2),MONTH($B$2),1),资金流水!$A$4:$A$203,"&lt;="&amp;EOMONTH($B$2,0)))</f>
        <v/>
      </c>
      <c r="E48" s="17" t="str">
        <f>IF(A48="","",SUMIFS(资金流水!$K$4:$K$203,资金流水!$E$4:$E$203,A48,资金流水!$A$4:$A$203,"&gt;="&amp;DATE(YEAR($B$2),MONTH($B$2),1),资金流水!$A$4:$A$203,"&lt;="&amp;EOMONTH($B$2,0)))</f>
        <v/>
      </c>
      <c r="F48" s="17" t="str">
        <f>IF(A48="","",SUMIFS(资金流水!$J$4:$J$203,资金流水!$E$4:$E$203,A48,资金流水!$A$4:$A$203,"&gt;="&amp;DATE(YEAR($B$2),1,1),资金流水!$A$4:$A$203,"&lt;="&amp;EOMONTH($B$2,0))+SUMIFS(资金流水!$K$4:$K$203,资金流水!$F$4:$F$203,A48,资金流水!$D$4:$D$203,"账户转账",资金流水!$A$4:$A$203,"&gt;="&amp;DATE(YEAR($B$2),1,1),资金流水!$A$4:$A$203,"&lt;="&amp;EOMONTH($B$2,0)))</f>
        <v/>
      </c>
      <c r="G48" s="17" t="str">
        <f>IF(A48="","",SUMIFS(资金流水!$K$4:$K$203,资金流水!$E$4:$E$203,A48,资金流水!$A$4:$A$203,"&gt;="&amp;DATE(YEAR($B$2),1,1),资金流水!$A$4:$A$203,"&lt;="&amp;EOMONTH($B$2,0)))</f>
        <v/>
      </c>
      <c r="H48" s="17" t="str">
        <f t="shared" si="0"/>
        <v/>
      </c>
    </row>
    <row r="49" spans="1:8">
      <c r="A49" t="str">
        <f>IF(基础资料!A49="","",基础资料!A49)</f>
        <v/>
      </c>
      <c r="B49" t="str">
        <f>IF(A49="","",基础资料!B49)</f>
        <v/>
      </c>
      <c r="C49" s="17" t="str">
        <f>IF(A49="","",SUMIFS(期初数据!$C$5:$C$14,期初数据!$A$5:$A$14,A49))</f>
        <v/>
      </c>
      <c r="D49" s="17" t="str">
        <f>IF(A49="","",SUMIFS(资金流水!$J$4:$J$203,资金流水!$E$4:$E$203,A49,资金流水!$A$4:$A$203,"&gt;="&amp;DATE(YEAR($B$2),MONTH($B$2),1),资金流水!$A$4:$A$203,"&lt;="&amp;EOMONTH($B$2,0))+SUMIFS(资金流水!$K$4:$K$203,资金流水!$F$4:$F$203,A49,资金流水!$D$4:$D$203,"账户转账",资金流水!$A$4:$A$203,"&gt;="&amp;DATE(YEAR($B$2),MONTH($B$2),1),资金流水!$A$4:$A$203,"&lt;="&amp;EOMONTH($B$2,0)))</f>
        <v/>
      </c>
      <c r="E49" s="17" t="str">
        <f>IF(A49="","",SUMIFS(资金流水!$K$4:$K$203,资金流水!$E$4:$E$203,A49,资金流水!$A$4:$A$203,"&gt;="&amp;DATE(YEAR($B$2),MONTH($B$2),1),资金流水!$A$4:$A$203,"&lt;="&amp;EOMONTH($B$2,0)))</f>
        <v/>
      </c>
      <c r="F49" s="17" t="str">
        <f>IF(A49="","",SUMIFS(资金流水!$J$4:$J$203,资金流水!$E$4:$E$203,A49,资金流水!$A$4:$A$203,"&gt;="&amp;DATE(YEAR($B$2),1,1),资金流水!$A$4:$A$203,"&lt;="&amp;EOMONTH($B$2,0))+SUMIFS(资金流水!$K$4:$K$203,资金流水!$F$4:$F$203,A49,资金流水!$D$4:$D$203,"账户转账",资金流水!$A$4:$A$203,"&gt;="&amp;DATE(YEAR($B$2),1,1),资金流水!$A$4:$A$203,"&lt;="&amp;EOMONTH($B$2,0)))</f>
        <v/>
      </c>
      <c r="G49" s="17" t="str">
        <f>IF(A49="","",SUMIFS(资金流水!$K$4:$K$203,资金流水!$E$4:$E$203,A49,资金流水!$A$4:$A$203,"&gt;="&amp;DATE(YEAR($B$2),1,1),资金流水!$A$4:$A$203,"&lt;="&amp;EOMONTH($B$2,0)))</f>
        <v/>
      </c>
      <c r="H49" s="17" t="str">
        <f t="shared" si="0"/>
        <v/>
      </c>
    </row>
    <row r="50" spans="1:8">
      <c r="A50" t="str">
        <f>IF(基础资料!A50="","",基础资料!A50)</f>
        <v/>
      </c>
      <c r="B50" t="str">
        <f>IF(A50="","",基础资料!B50)</f>
        <v/>
      </c>
      <c r="C50" s="17" t="str">
        <f>IF(A50="","",SUMIFS(期初数据!$C$5:$C$14,期初数据!$A$5:$A$14,A50))</f>
        <v/>
      </c>
      <c r="D50" s="17" t="str">
        <f>IF(A50="","",SUMIFS(资金流水!$J$4:$J$203,资金流水!$E$4:$E$203,A50,资金流水!$A$4:$A$203,"&gt;="&amp;DATE(YEAR($B$2),MONTH($B$2),1),资金流水!$A$4:$A$203,"&lt;="&amp;EOMONTH($B$2,0))+SUMIFS(资金流水!$K$4:$K$203,资金流水!$F$4:$F$203,A50,资金流水!$D$4:$D$203,"账户转账",资金流水!$A$4:$A$203,"&gt;="&amp;DATE(YEAR($B$2),MONTH($B$2),1),资金流水!$A$4:$A$203,"&lt;="&amp;EOMONTH($B$2,0)))</f>
        <v/>
      </c>
      <c r="E50" s="17" t="str">
        <f>IF(A50="","",SUMIFS(资金流水!$K$4:$K$203,资金流水!$E$4:$E$203,A50,资金流水!$A$4:$A$203,"&gt;="&amp;DATE(YEAR($B$2),MONTH($B$2),1),资金流水!$A$4:$A$203,"&lt;="&amp;EOMONTH($B$2,0)))</f>
        <v/>
      </c>
      <c r="F50" s="17" t="str">
        <f>IF(A50="","",SUMIFS(资金流水!$J$4:$J$203,资金流水!$E$4:$E$203,A50,资金流水!$A$4:$A$203,"&gt;="&amp;DATE(YEAR($B$2),1,1),资金流水!$A$4:$A$203,"&lt;="&amp;EOMONTH($B$2,0))+SUMIFS(资金流水!$K$4:$K$203,资金流水!$F$4:$F$203,A50,资金流水!$D$4:$D$203,"账户转账",资金流水!$A$4:$A$203,"&gt;="&amp;DATE(YEAR($B$2),1,1),资金流水!$A$4:$A$203,"&lt;="&amp;EOMONTH($B$2,0)))</f>
        <v/>
      </c>
      <c r="G50" s="17" t="str">
        <f>IF(A50="","",SUMIFS(资金流水!$K$4:$K$203,资金流水!$E$4:$E$203,A50,资金流水!$A$4:$A$203,"&gt;="&amp;DATE(YEAR($B$2),1,1),资金流水!$A$4:$A$203,"&lt;="&amp;EOMONTH($B$2,0)))</f>
        <v/>
      </c>
      <c r="H50" s="17" t="str">
        <f t="shared" si="0"/>
        <v/>
      </c>
    </row>
    <row r="51" spans="1:8">
      <c r="A51" t="str">
        <f>IF(基础资料!A51="","",基础资料!A51)</f>
        <v/>
      </c>
      <c r="B51" t="str">
        <f>IF(A51="","",基础资料!B51)</f>
        <v/>
      </c>
      <c r="C51" s="17" t="str">
        <f>IF(A51="","",SUMIFS(期初数据!$C$5:$C$14,期初数据!$A$5:$A$14,A51))</f>
        <v/>
      </c>
      <c r="D51" s="17" t="str">
        <f>IF(A51="","",SUMIFS(资金流水!$J$4:$J$203,资金流水!$E$4:$E$203,A51,资金流水!$A$4:$A$203,"&gt;="&amp;DATE(YEAR($B$2),MONTH($B$2),1),资金流水!$A$4:$A$203,"&lt;="&amp;EOMONTH($B$2,0))+SUMIFS(资金流水!$K$4:$K$203,资金流水!$F$4:$F$203,A51,资金流水!$D$4:$D$203,"账户转账",资金流水!$A$4:$A$203,"&gt;="&amp;DATE(YEAR($B$2),MONTH($B$2),1),资金流水!$A$4:$A$203,"&lt;="&amp;EOMONTH($B$2,0)))</f>
        <v/>
      </c>
      <c r="E51" s="17" t="str">
        <f>IF(A51="","",SUMIFS(资金流水!$K$4:$K$203,资金流水!$E$4:$E$203,A51,资金流水!$A$4:$A$203,"&gt;="&amp;DATE(YEAR($B$2),MONTH($B$2),1),资金流水!$A$4:$A$203,"&lt;="&amp;EOMONTH($B$2,0)))</f>
        <v/>
      </c>
      <c r="F51" s="17" t="str">
        <f>IF(A51="","",SUMIFS(资金流水!$J$4:$J$203,资金流水!$E$4:$E$203,A51,资金流水!$A$4:$A$203,"&gt;="&amp;DATE(YEAR($B$2),1,1),资金流水!$A$4:$A$203,"&lt;="&amp;EOMONTH($B$2,0))+SUMIFS(资金流水!$K$4:$K$203,资金流水!$F$4:$F$203,A51,资金流水!$D$4:$D$203,"账户转账",资金流水!$A$4:$A$203,"&gt;="&amp;DATE(YEAR($B$2),1,1),资金流水!$A$4:$A$203,"&lt;="&amp;EOMONTH($B$2,0)))</f>
        <v/>
      </c>
      <c r="G51" s="17" t="str">
        <f>IF(A51="","",SUMIFS(资金流水!$K$4:$K$203,资金流水!$E$4:$E$203,A51,资金流水!$A$4:$A$203,"&gt;="&amp;DATE(YEAR($B$2),1,1),资金流水!$A$4:$A$203,"&lt;="&amp;EOMONTH($B$2,0)))</f>
        <v/>
      </c>
      <c r="H51" s="17" t="str">
        <f t="shared" si="0"/>
        <v/>
      </c>
    </row>
    <row r="52" spans="1:8">
      <c r="A52" t="str">
        <f>IF(基础资料!A52="","",基础资料!A52)</f>
        <v/>
      </c>
      <c r="B52" t="str">
        <f>IF(A52="","",基础资料!B52)</f>
        <v/>
      </c>
      <c r="C52" s="17" t="str">
        <f>IF(A52="","",SUMIFS(期初数据!$C$5:$C$14,期初数据!$A$5:$A$14,A52))</f>
        <v/>
      </c>
      <c r="D52" s="17" t="str">
        <f>IF(A52="","",SUMIFS(资金流水!$J$4:$J$203,资金流水!$E$4:$E$203,A52,资金流水!$A$4:$A$203,"&gt;="&amp;DATE(YEAR($B$2),MONTH($B$2),1),资金流水!$A$4:$A$203,"&lt;="&amp;EOMONTH($B$2,0))+SUMIFS(资金流水!$K$4:$K$203,资金流水!$F$4:$F$203,A52,资金流水!$D$4:$D$203,"账户转账",资金流水!$A$4:$A$203,"&gt;="&amp;DATE(YEAR($B$2),MONTH($B$2),1),资金流水!$A$4:$A$203,"&lt;="&amp;EOMONTH($B$2,0)))</f>
        <v/>
      </c>
      <c r="E52" s="17" t="str">
        <f>IF(A52="","",SUMIFS(资金流水!$K$4:$K$203,资金流水!$E$4:$E$203,A52,资金流水!$A$4:$A$203,"&gt;="&amp;DATE(YEAR($B$2),MONTH($B$2),1),资金流水!$A$4:$A$203,"&lt;="&amp;EOMONTH($B$2,0)))</f>
        <v/>
      </c>
      <c r="F52" s="17" t="str">
        <f>IF(A52="","",SUMIFS(资金流水!$J$4:$J$203,资金流水!$E$4:$E$203,A52,资金流水!$A$4:$A$203,"&gt;="&amp;DATE(YEAR($B$2),1,1),资金流水!$A$4:$A$203,"&lt;="&amp;EOMONTH($B$2,0))+SUMIFS(资金流水!$K$4:$K$203,资金流水!$F$4:$F$203,A52,资金流水!$D$4:$D$203,"账户转账",资金流水!$A$4:$A$203,"&gt;="&amp;DATE(YEAR($B$2),1,1),资金流水!$A$4:$A$203,"&lt;="&amp;EOMONTH($B$2,0)))</f>
        <v/>
      </c>
      <c r="G52" s="17" t="str">
        <f>IF(A52="","",SUMIFS(资金流水!$K$4:$K$203,资金流水!$E$4:$E$203,A52,资金流水!$A$4:$A$203,"&gt;="&amp;DATE(YEAR($B$2),1,1),资金流水!$A$4:$A$203,"&lt;="&amp;EOMONTH($B$2,0)))</f>
        <v/>
      </c>
      <c r="H52" s="17" t="str">
        <f t="shared" si="0"/>
        <v/>
      </c>
    </row>
    <row r="53" spans="1:8">
      <c r="A53" t="str">
        <f>IF(基础资料!A53="","",基础资料!A53)</f>
        <v/>
      </c>
      <c r="B53" t="str">
        <f>IF(A53="","",基础资料!B53)</f>
        <v/>
      </c>
      <c r="C53" s="17" t="str">
        <f>IF(A53="","",SUMIFS(期初数据!$C$5:$C$14,期初数据!$A$5:$A$14,A53))</f>
        <v/>
      </c>
      <c r="D53" s="17" t="str">
        <f>IF(A53="","",SUMIFS(资金流水!$J$4:$J$203,资金流水!$E$4:$E$203,A53,资金流水!$A$4:$A$203,"&gt;="&amp;DATE(YEAR($B$2),MONTH($B$2),1),资金流水!$A$4:$A$203,"&lt;="&amp;EOMONTH($B$2,0))+SUMIFS(资金流水!$K$4:$K$203,资金流水!$F$4:$F$203,A53,资金流水!$D$4:$D$203,"账户转账",资金流水!$A$4:$A$203,"&gt;="&amp;DATE(YEAR($B$2),MONTH($B$2),1),资金流水!$A$4:$A$203,"&lt;="&amp;EOMONTH($B$2,0)))</f>
        <v/>
      </c>
      <c r="E53" s="17" t="str">
        <f>IF(A53="","",SUMIFS(资金流水!$K$4:$K$203,资金流水!$E$4:$E$203,A53,资金流水!$A$4:$A$203,"&gt;="&amp;DATE(YEAR($B$2),MONTH($B$2),1),资金流水!$A$4:$A$203,"&lt;="&amp;EOMONTH($B$2,0)))</f>
        <v/>
      </c>
      <c r="F53" s="17" t="str">
        <f>IF(A53="","",SUMIFS(资金流水!$J$4:$J$203,资金流水!$E$4:$E$203,A53,资金流水!$A$4:$A$203,"&gt;="&amp;DATE(YEAR($B$2),1,1),资金流水!$A$4:$A$203,"&lt;="&amp;EOMONTH($B$2,0))+SUMIFS(资金流水!$K$4:$K$203,资金流水!$F$4:$F$203,A53,资金流水!$D$4:$D$203,"账户转账",资金流水!$A$4:$A$203,"&gt;="&amp;DATE(YEAR($B$2),1,1),资金流水!$A$4:$A$203,"&lt;="&amp;EOMONTH($B$2,0)))</f>
        <v/>
      </c>
      <c r="G53" s="17" t="str">
        <f>IF(A53="","",SUMIFS(资金流水!$K$4:$K$203,资金流水!$E$4:$E$203,A53,资金流水!$A$4:$A$203,"&gt;="&amp;DATE(YEAR($B$2),1,1),资金流水!$A$4:$A$203,"&lt;="&amp;EOMONTH($B$2,0)))</f>
        <v/>
      </c>
      <c r="H53" s="17" t="str">
        <f t="shared" si="0"/>
        <v/>
      </c>
    </row>
    <row r="54" spans="1:8">
      <c r="A54" t="str">
        <f>IF(基础资料!A54="","",基础资料!A54)</f>
        <v/>
      </c>
      <c r="B54" t="str">
        <f>IF(A54="","",基础资料!B54)</f>
        <v/>
      </c>
      <c r="C54" s="17" t="str">
        <f>IF(A54="","",SUMIFS(期初数据!$C$5:$C$14,期初数据!$A$5:$A$14,A54))</f>
        <v/>
      </c>
      <c r="D54" s="17" t="str">
        <f>IF(A54="","",SUMIFS(资金流水!$J$4:$J$203,资金流水!$E$4:$E$203,A54,资金流水!$A$4:$A$203,"&gt;="&amp;DATE(YEAR($B$2),MONTH($B$2),1),资金流水!$A$4:$A$203,"&lt;="&amp;EOMONTH($B$2,0))+SUMIFS(资金流水!$K$4:$K$203,资金流水!$F$4:$F$203,A54,资金流水!$D$4:$D$203,"账户转账",资金流水!$A$4:$A$203,"&gt;="&amp;DATE(YEAR($B$2),MONTH($B$2),1),资金流水!$A$4:$A$203,"&lt;="&amp;EOMONTH($B$2,0)))</f>
        <v/>
      </c>
      <c r="E54" s="17" t="str">
        <f>IF(A54="","",SUMIFS(资金流水!$K$4:$K$203,资金流水!$E$4:$E$203,A54,资金流水!$A$4:$A$203,"&gt;="&amp;DATE(YEAR($B$2),MONTH($B$2),1),资金流水!$A$4:$A$203,"&lt;="&amp;EOMONTH($B$2,0)))</f>
        <v/>
      </c>
      <c r="F54" s="17" t="str">
        <f>IF(A54="","",SUMIFS(资金流水!$J$4:$J$203,资金流水!$E$4:$E$203,A54,资金流水!$A$4:$A$203,"&gt;="&amp;DATE(YEAR($B$2),1,1),资金流水!$A$4:$A$203,"&lt;="&amp;EOMONTH($B$2,0))+SUMIFS(资金流水!$K$4:$K$203,资金流水!$F$4:$F$203,A54,资金流水!$D$4:$D$203,"账户转账",资金流水!$A$4:$A$203,"&gt;="&amp;DATE(YEAR($B$2),1,1),资金流水!$A$4:$A$203,"&lt;="&amp;EOMONTH($B$2,0)))</f>
        <v/>
      </c>
      <c r="G54" s="17" t="str">
        <f>IF(A54="","",SUMIFS(资金流水!$K$4:$K$203,资金流水!$E$4:$E$203,A54,资金流水!$A$4:$A$203,"&gt;="&amp;DATE(YEAR($B$2),1,1),资金流水!$A$4:$A$203,"&lt;="&amp;EOMONTH($B$2,0)))</f>
        <v/>
      </c>
      <c r="H54" s="17" t="str">
        <f t="shared" si="0"/>
        <v/>
      </c>
    </row>
    <row r="55" spans="1:8">
      <c r="A55" t="s">
        <v>446</v>
      </c>
      <c r="C55" s="17">
        <f t="shared" ref="C55:H55" si="1">SUM(C5:C54)</f>
        <v>860000</v>
      </c>
      <c r="D55" s="17">
        <f t="shared" si="1"/>
        <v>43200</v>
      </c>
      <c r="E55" s="17">
        <f t="shared" si="1"/>
        <v>54600</v>
      </c>
      <c r="F55" s="17">
        <f t="shared" si="1"/>
        <v>43200</v>
      </c>
      <c r="G55" s="17">
        <f t="shared" si="1"/>
        <v>54600</v>
      </c>
      <c r="H55" s="17">
        <f t="shared" si="1"/>
        <v>848600</v>
      </c>
    </row>
  </sheetData>
  <mergeCells count="1">
    <mergeCell ref="A1:H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A1" sqref="A1:I1"/>
    </sheetView>
  </sheetViews>
  <sheetFormatPr defaultColWidth="9" defaultRowHeight="14.25"/>
  <cols>
    <col min="2" max="2" width="10.75" customWidth="1"/>
    <col min="3" max="3" width="8" customWidth="1"/>
    <col min="4" max="4" width="13.375" customWidth="1"/>
    <col min="5" max="5" width="29.625" customWidth="1"/>
    <col min="6" max="6" width="8.625" customWidth="1"/>
    <col min="7" max="7" width="12.875" customWidth="1"/>
    <col min="8" max="9" width="9.375" customWidth="1"/>
  </cols>
  <sheetData>
    <row r="1" ht="20.25" spans="1:9">
      <c r="A1" s="45" t="s">
        <v>530</v>
      </c>
      <c r="B1" s="45"/>
      <c r="C1" s="45"/>
      <c r="D1" s="45"/>
      <c r="E1" s="45"/>
      <c r="F1" s="45"/>
      <c r="G1" s="45"/>
      <c r="H1" s="45"/>
      <c r="I1" s="45"/>
    </row>
    <row r="2" spans="1:9">
      <c r="A2" t="s">
        <v>2</v>
      </c>
      <c r="B2" s="53">
        <f>首页!$B$4</f>
        <v>46174</v>
      </c>
    </row>
    <row r="4" spans="1:9">
      <c r="A4" s="43" t="s">
        <v>531</v>
      </c>
      <c r="B4" s="43" t="s">
        <v>409</v>
      </c>
      <c r="C4" s="43" t="s">
        <v>410</v>
      </c>
      <c r="D4" s="43" t="s">
        <v>532</v>
      </c>
      <c r="E4" s="43" t="s">
        <v>412</v>
      </c>
      <c r="F4" s="43" t="s">
        <v>52</v>
      </c>
      <c r="G4" s="43" t="s">
        <v>53</v>
      </c>
      <c r="H4" s="43" t="s">
        <v>533</v>
      </c>
      <c r="I4" s="43" t="s">
        <v>534</v>
      </c>
    </row>
    <row r="5" spans="1:9">
      <c r="A5">
        <f t="shared" ref="A5:A40" si="0">IF(B5="","",ROW()-4)</f>
        <v>1</v>
      </c>
      <c r="B5" s="5" cm="1">
        <f t="array" ref="B5:I13">_xlfn._xlws.FILTER(凭证计算!$A$86:$H$239,(凭证计算!$B$86:$B$239=TEXT($B$2,"yyyy-mm"))*((凭证计算!$G$86:$G$239+凭证计算!$H$86:$H$239)&lt;&gt;0),"")</f>
        <v>46174</v>
      </c>
      <c r="C5" t="str">
        <v>2026-06</v>
      </c>
      <c r="D5" t="str">
        <v>AUTO-202606</v>
      </c>
      <c r="E5" t="str">
        <v>银行及电子账户收付款业务汇总</v>
      </c>
      <c r="F5" t="str">
        <v>1002</v>
      </c>
      <c r="G5" t="str">
        <v>银行存款</v>
      </c>
      <c r="H5" s="17">
        <v>43200</v>
      </c>
      <c r="I5" s="17">
        <v>54600</v>
      </c>
    </row>
    <row r="6" spans="1:9">
      <c r="A6">
        <f t="shared" si="0"/>
        <v>2</v>
      </c>
      <c r="B6" s="5">
        <v>46174</v>
      </c>
      <c r="C6" t="str">
        <v>2026-06</v>
      </c>
      <c r="D6" t="str">
        <v>AUTO-202606</v>
      </c>
      <c r="E6" t="str">
        <v>销售应收及客户回款业务</v>
      </c>
      <c r="F6" t="str">
        <v>1122</v>
      </c>
      <c r="G6" t="str">
        <v>应收账款</v>
      </c>
      <c r="H6" s="17">
        <v>26080</v>
      </c>
      <c r="I6" s="17">
        <v>20000</v>
      </c>
    </row>
    <row r="7" spans="1:9">
      <c r="A7">
        <f t="shared" si="0"/>
        <v>3</v>
      </c>
      <c r="B7" s="5">
        <v>46174</v>
      </c>
      <c r="C7" t="str">
        <v>2026-06</v>
      </c>
      <c r="D7" t="str">
        <v>AUTO-202606</v>
      </c>
      <c r="E7" t="str">
        <v>采购入库及销售成本结转业务</v>
      </c>
      <c r="F7" t="str">
        <v>1405</v>
      </c>
      <c r="G7" t="str">
        <v>库存商品</v>
      </c>
      <c r="H7" s="17">
        <v>20300</v>
      </c>
      <c r="I7" s="17">
        <v>13040</v>
      </c>
    </row>
    <row r="8" spans="1:9">
      <c r="A8">
        <f t="shared" si="0"/>
        <v>4</v>
      </c>
      <c r="B8" s="5">
        <v>46174</v>
      </c>
      <c r="C8" t="str">
        <v>2026-06</v>
      </c>
      <c r="D8" t="str">
        <v>AUTO-202606</v>
      </c>
      <c r="E8" t="str">
        <v>采购应付及供应商付款业务</v>
      </c>
      <c r="F8" t="str">
        <v>2202</v>
      </c>
      <c r="G8" t="str">
        <v>应付账款</v>
      </c>
      <c r="H8" s="17">
        <v>10000</v>
      </c>
      <c r="I8" s="17">
        <v>20300</v>
      </c>
    </row>
    <row r="9" spans="1:9">
      <c r="A9">
        <f t="shared" si="0"/>
        <v>5</v>
      </c>
      <c r="B9" s="5">
        <v>46174</v>
      </c>
      <c r="C9" t="str">
        <v>2026-06</v>
      </c>
      <c r="D9" t="str">
        <v>AUTO-202606</v>
      </c>
      <c r="E9" t="str">
        <v>主营销售收入确认</v>
      </c>
      <c r="F9" t="str">
        <v>6001</v>
      </c>
      <c r="G9" t="str">
        <v>主营业务收入</v>
      </c>
      <c r="H9" s="17">
        <v>0</v>
      </c>
      <c r="I9" s="17">
        <v>26080</v>
      </c>
    </row>
    <row r="10" spans="1:9">
      <c r="A10">
        <f t="shared" si="0"/>
        <v>6</v>
      </c>
      <c r="B10" s="5">
        <v>46174</v>
      </c>
      <c r="C10" t="str">
        <v>2026-06</v>
      </c>
      <c r="D10" t="str">
        <v>AUTO-202606</v>
      </c>
      <c r="E10" t="str">
        <v>其他业务收入确认</v>
      </c>
      <c r="F10" t="str">
        <v>6051</v>
      </c>
      <c r="G10" t="str">
        <v>其他业务收入</v>
      </c>
      <c r="H10" s="17">
        <v>0</v>
      </c>
      <c r="I10" s="17">
        <v>3200</v>
      </c>
    </row>
    <row r="11" spans="1:9">
      <c r="A11">
        <f t="shared" si="0"/>
        <v>7</v>
      </c>
      <c r="B11" s="5">
        <v>46174</v>
      </c>
      <c r="C11" t="str">
        <v>2026-06</v>
      </c>
      <c r="D11" t="str">
        <v>AUTO-202606</v>
      </c>
      <c r="E11" t="str">
        <v>主营业务成本结转</v>
      </c>
      <c r="F11" t="str">
        <v>6401</v>
      </c>
      <c r="G11" t="str">
        <v>主营业务成本</v>
      </c>
      <c r="H11" s="17">
        <v>13040</v>
      </c>
      <c r="I11" s="17">
        <v>0</v>
      </c>
    </row>
    <row r="12" spans="1:9">
      <c r="A12">
        <f t="shared" si="0"/>
        <v>8</v>
      </c>
      <c r="B12" s="5">
        <v>46174</v>
      </c>
      <c r="C12" t="str">
        <v>2026-06</v>
      </c>
      <c r="D12" t="str">
        <v>AUTO-202606</v>
      </c>
      <c r="E12" t="str">
        <v>销售费用发生汇总</v>
      </c>
      <c r="F12" t="str">
        <v>6601</v>
      </c>
      <c r="G12" t="str">
        <v>销售费用</v>
      </c>
      <c r="H12" s="17">
        <v>2000</v>
      </c>
      <c r="I12" s="17">
        <v>0</v>
      </c>
    </row>
    <row r="13" spans="1:9">
      <c r="A13">
        <f t="shared" si="0"/>
        <v>9</v>
      </c>
      <c r="B13" s="5">
        <v>46174</v>
      </c>
      <c r="C13" t="str">
        <v>2026-06</v>
      </c>
      <c r="D13" t="str">
        <v>AUTO-202606</v>
      </c>
      <c r="E13" t="str">
        <v>管理费用发生汇总</v>
      </c>
      <c r="F13" t="str">
        <v>6602</v>
      </c>
      <c r="G13" t="str">
        <v>管理费用</v>
      </c>
      <c r="H13" s="17">
        <v>22600</v>
      </c>
      <c r="I13" s="17">
        <v>0</v>
      </c>
    </row>
    <row r="14" spans="1:9">
      <c r="A14" t="str">
        <f t="shared" si="0"/>
        <v/>
      </c>
      <c r="B14" s="5"/>
      <c r="H14" s="17"/>
      <c r="I14" s="17"/>
    </row>
    <row r="15" spans="1:9">
      <c r="A15" t="str">
        <f t="shared" si="0"/>
        <v/>
      </c>
      <c r="B15" s="5"/>
      <c r="H15" s="17"/>
      <c r="I15" s="17"/>
    </row>
    <row r="16" spans="1:9">
      <c r="A16" t="str">
        <f t="shared" si="0"/>
        <v/>
      </c>
      <c r="B16" s="5"/>
      <c r="H16" s="17"/>
      <c r="I16" s="17"/>
    </row>
    <row r="17" spans="1:9">
      <c r="A17" t="str">
        <f t="shared" si="0"/>
        <v/>
      </c>
      <c r="B17" s="5"/>
      <c r="H17" s="17"/>
      <c r="I17" s="17"/>
    </row>
    <row r="18" spans="1:9">
      <c r="A18" t="str">
        <f t="shared" si="0"/>
        <v/>
      </c>
      <c r="B18" s="5"/>
      <c r="H18" s="17"/>
      <c r="I18" s="17"/>
    </row>
    <row r="19" spans="1:9">
      <c r="A19" t="str">
        <f t="shared" si="0"/>
        <v/>
      </c>
      <c r="B19" s="5"/>
      <c r="H19" s="17"/>
      <c r="I19" s="17"/>
    </row>
    <row r="20" spans="1:9">
      <c r="A20" t="str">
        <f t="shared" si="0"/>
        <v/>
      </c>
      <c r="B20" s="5"/>
      <c r="H20" s="17"/>
      <c r="I20" s="17"/>
    </row>
    <row r="21" spans="1:9">
      <c r="A21" t="str">
        <f t="shared" si="0"/>
        <v/>
      </c>
      <c r="B21" s="5"/>
      <c r="H21" s="17"/>
      <c r="I21" s="17"/>
    </row>
    <row r="22" spans="1:9">
      <c r="A22" t="str">
        <f t="shared" si="0"/>
        <v/>
      </c>
      <c r="B22" s="5"/>
      <c r="H22" s="17"/>
      <c r="I22" s="17"/>
    </row>
    <row r="23" spans="1:9">
      <c r="A23" t="str">
        <f t="shared" si="0"/>
        <v/>
      </c>
      <c r="B23" s="5"/>
      <c r="H23" s="17"/>
      <c r="I23" s="17"/>
    </row>
    <row r="24" spans="1:9">
      <c r="A24" t="str">
        <f t="shared" si="0"/>
        <v/>
      </c>
      <c r="B24" s="5"/>
      <c r="H24" s="17"/>
      <c r="I24" s="17"/>
    </row>
    <row r="25" spans="1:9">
      <c r="A25" t="str">
        <f t="shared" si="0"/>
        <v/>
      </c>
      <c r="B25" s="5"/>
      <c r="H25" s="17"/>
      <c r="I25" s="17"/>
    </row>
    <row r="26" spans="1:9">
      <c r="A26" t="str">
        <f t="shared" si="0"/>
        <v/>
      </c>
      <c r="B26" s="5"/>
      <c r="H26" s="17"/>
      <c r="I26" s="17"/>
    </row>
    <row r="27" spans="1:9">
      <c r="A27" t="str">
        <f t="shared" si="0"/>
        <v/>
      </c>
      <c r="B27" s="5"/>
      <c r="H27" s="17"/>
      <c r="I27" s="17"/>
    </row>
    <row r="28" spans="1:9">
      <c r="A28" t="str">
        <f t="shared" si="0"/>
        <v/>
      </c>
      <c r="B28" s="5"/>
      <c r="H28" s="17"/>
      <c r="I28" s="17"/>
    </row>
    <row r="29" spans="1:9">
      <c r="A29" t="str">
        <f t="shared" si="0"/>
        <v/>
      </c>
      <c r="B29" s="5"/>
      <c r="H29" s="17"/>
      <c r="I29" s="17"/>
    </row>
    <row r="30" spans="1:9">
      <c r="A30" t="str">
        <f t="shared" si="0"/>
        <v/>
      </c>
      <c r="B30" s="5"/>
      <c r="H30" s="17"/>
      <c r="I30" s="17"/>
    </row>
    <row r="31" spans="1:9">
      <c r="A31" t="str">
        <f t="shared" si="0"/>
        <v/>
      </c>
      <c r="B31" s="5"/>
      <c r="H31" s="17"/>
      <c r="I31" s="17"/>
    </row>
    <row r="32" spans="1:9">
      <c r="A32" t="str">
        <f t="shared" si="0"/>
        <v/>
      </c>
      <c r="B32" s="5"/>
      <c r="H32" s="17"/>
      <c r="I32" s="17"/>
    </row>
    <row r="33" spans="1:9">
      <c r="A33" t="str">
        <f t="shared" si="0"/>
        <v/>
      </c>
      <c r="B33" s="5"/>
      <c r="H33" s="17"/>
      <c r="I33" s="17"/>
    </row>
    <row r="34" spans="1:9">
      <c r="A34" t="str">
        <f t="shared" si="0"/>
        <v/>
      </c>
      <c r="B34" s="5"/>
      <c r="H34" s="17"/>
      <c r="I34" s="17"/>
    </row>
    <row r="35" spans="1:9">
      <c r="A35" t="str">
        <f t="shared" si="0"/>
        <v/>
      </c>
      <c r="B35" s="5"/>
      <c r="H35" s="17"/>
      <c r="I35" s="17"/>
    </row>
    <row r="36" spans="1:9">
      <c r="A36" t="str">
        <f t="shared" si="0"/>
        <v/>
      </c>
      <c r="B36" s="5"/>
      <c r="H36" s="17"/>
      <c r="I36" s="17"/>
    </row>
    <row r="37" spans="1:9">
      <c r="A37" t="str">
        <f t="shared" si="0"/>
        <v/>
      </c>
      <c r="B37" s="5"/>
      <c r="H37" s="17"/>
      <c r="I37" s="17"/>
    </row>
    <row r="38" spans="1:9">
      <c r="A38" t="str">
        <f t="shared" si="0"/>
        <v/>
      </c>
      <c r="B38" s="5"/>
      <c r="H38" s="17"/>
      <c r="I38" s="17"/>
    </row>
    <row r="39" spans="1:9">
      <c r="A39" t="str">
        <f t="shared" si="0"/>
        <v/>
      </c>
      <c r="B39" s="5"/>
      <c r="H39" s="17"/>
      <c r="I39" s="17"/>
    </row>
    <row r="40" spans="1:9">
      <c r="A40" t="str">
        <f t="shared" si="0"/>
        <v/>
      </c>
      <c r="B40" s="5"/>
      <c r="H40" s="17"/>
      <c r="I40" s="17"/>
    </row>
  </sheetData>
  <mergeCells count="1">
    <mergeCell ref="A1:I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9"/>
  <sheetViews>
    <sheetView workbookViewId="0">
      <selection activeCell="A1" sqref="A1:H1"/>
    </sheetView>
  </sheetViews>
  <sheetFormatPr defaultColWidth="9" defaultRowHeight="14.25" outlineLevelCol="7"/>
  <cols>
    <col min="1" max="1" width="10.875" customWidth="1"/>
    <col min="2" max="2" width="8" customWidth="1"/>
    <col min="3" max="3" width="13.375" customWidth="1"/>
    <col min="4" max="4" width="29.625" customWidth="1"/>
    <col min="5" max="5" width="8.625" customWidth="1"/>
    <col min="6" max="6" width="23.375" customWidth="1"/>
    <col min="7" max="7" width="10.375" customWidth="1"/>
    <col min="8" max="8" width="12.125" customWidth="1"/>
  </cols>
  <sheetData>
    <row r="1" ht="20.25" spans="1:8">
      <c r="A1" s="45" t="s">
        <v>535</v>
      </c>
      <c r="B1" s="45"/>
      <c r="C1" s="45"/>
      <c r="D1" s="45"/>
      <c r="E1" s="45"/>
      <c r="F1" s="45"/>
      <c r="G1" s="45"/>
      <c r="H1" s="45"/>
    </row>
    <row r="2" spans="1:8">
      <c r="A2" t="s">
        <v>536</v>
      </c>
    </row>
    <row r="3" spans="1:8">
      <c r="A3" s="43" t="s">
        <v>409</v>
      </c>
      <c r="B3" s="43" t="s">
        <v>410</v>
      </c>
      <c r="C3" s="43" t="s">
        <v>532</v>
      </c>
      <c r="D3" s="43" t="s">
        <v>412</v>
      </c>
      <c r="E3" s="43" t="s">
        <v>52</v>
      </c>
      <c r="F3" s="43" t="s">
        <v>53</v>
      </c>
      <c r="G3" s="43" t="s">
        <v>533</v>
      </c>
      <c r="H3" s="43" t="s">
        <v>534</v>
      </c>
    </row>
    <row r="4" spans="1:8">
      <c r="A4" s="5">
        <v>46023</v>
      </c>
      <c r="B4" t="s">
        <v>537</v>
      </c>
      <c r="C4" t="s">
        <v>538</v>
      </c>
      <c r="D4" t="s">
        <v>539</v>
      </c>
      <c r="E4" t="s">
        <v>63</v>
      </c>
      <c r="F4" t="s">
        <v>80</v>
      </c>
      <c r="G4" s="17">
        <f>SUMIFS(期初数据!$AB$5:$AB$84,期初数据!$X$5:$X$84,E4)</f>
        <v>55000</v>
      </c>
      <c r="H4" s="17">
        <f>SUMIFS(期初数据!$AC$5:$AC$84,期初数据!$X$5:$X$84,E4)</f>
        <v>0</v>
      </c>
    </row>
    <row r="5" spans="1:8">
      <c r="A5" s="5">
        <v>46023</v>
      </c>
      <c r="B5" t="s">
        <v>537</v>
      </c>
      <c r="C5" t="s">
        <v>538</v>
      </c>
      <c r="D5" t="s">
        <v>539</v>
      </c>
      <c r="E5" t="s">
        <v>78</v>
      </c>
      <c r="F5" t="s">
        <v>100</v>
      </c>
      <c r="G5" s="17">
        <f>SUMIFS(期初数据!$AB$5:$AB$84,期初数据!$X$5:$X$84,E5)</f>
        <v>805000</v>
      </c>
      <c r="H5" s="17">
        <f>SUMIFS(期初数据!$AC$5:$AC$84,期初数据!$X$5:$X$84,E5)</f>
        <v>0</v>
      </c>
    </row>
    <row r="6" spans="1:8">
      <c r="A6" s="5">
        <v>46023</v>
      </c>
      <c r="B6" t="s">
        <v>537</v>
      </c>
      <c r="C6" t="s">
        <v>538</v>
      </c>
      <c r="D6" t="s">
        <v>539</v>
      </c>
      <c r="E6" t="s">
        <v>113</v>
      </c>
      <c r="F6" t="s">
        <v>114</v>
      </c>
      <c r="G6" s="17">
        <f>SUMIFS(期初数据!$AB$5:$AB$84,期初数据!$X$5:$X$84,E6)</f>
        <v>0</v>
      </c>
      <c r="H6" s="17">
        <f>SUMIFS(期初数据!$AC$5:$AC$84,期初数据!$X$5:$X$84,E6)</f>
        <v>0</v>
      </c>
    </row>
    <row r="7" spans="1:8">
      <c r="A7" s="5">
        <v>46023</v>
      </c>
      <c r="B7" t="s">
        <v>537</v>
      </c>
      <c r="C7" t="s">
        <v>538</v>
      </c>
      <c r="D7" t="s">
        <v>539</v>
      </c>
      <c r="E7" t="s">
        <v>126</v>
      </c>
      <c r="F7" t="s">
        <v>127</v>
      </c>
      <c r="G7" s="17">
        <f>SUMIFS(期初数据!$AB$5:$AB$84,期初数据!$X$5:$X$84,E7)</f>
        <v>0</v>
      </c>
      <c r="H7" s="17">
        <f>SUMIFS(期初数据!$AC$5:$AC$84,期初数据!$X$5:$X$84,E7)</f>
        <v>0</v>
      </c>
    </row>
    <row r="8" spans="1:8">
      <c r="A8" s="5">
        <v>46023</v>
      </c>
      <c r="B8" t="s">
        <v>537</v>
      </c>
      <c r="C8" t="s">
        <v>538</v>
      </c>
      <c r="D8" t="s">
        <v>539</v>
      </c>
      <c r="E8" t="s">
        <v>140</v>
      </c>
      <c r="F8" t="s">
        <v>141</v>
      </c>
      <c r="G8" s="17">
        <f>SUMIFS(期初数据!$AB$5:$AB$84,期初数据!$X$5:$X$84,E8)</f>
        <v>0</v>
      </c>
      <c r="H8" s="17">
        <f>SUMIFS(期初数据!$AC$5:$AC$84,期初数据!$X$5:$X$84,E8)</f>
        <v>0</v>
      </c>
    </row>
    <row r="9" spans="1:8">
      <c r="A9" s="5">
        <v>46023</v>
      </c>
      <c r="B9" t="s">
        <v>537</v>
      </c>
      <c r="C9" t="s">
        <v>538</v>
      </c>
      <c r="D9" t="s">
        <v>539</v>
      </c>
      <c r="E9" t="s">
        <v>79</v>
      </c>
      <c r="F9" t="s">
        <v>155</v>
      </c>
      <c r="G9" s="17">
        <f>SUMIFS(期初数据!$AB$5:$AB$84,期初数据!$X$5:$X$84,E9)</f>
        <v>158000</v>
      </c>
      <c r="H9" s="17">
        <f>SUMIFS(期初数据!$AC$5:$AC$84,期初数据!$X$5:$X$84,E9)</f>
        <v>0</v>
      </c>
    </row>
    <row r="10" spans="1:8">
      <c r="A10" s="5">
        <v>46023</v>
      </c>
      <c r="B10" t="s">
        <v>537</v>
      </c>
      <c r="C10" t="s">
        <v>538</v>
      </c>
      <c r="D10" t="s">
        <v>539</v>
      </c>
      <c r="E10" t="s">
        <v>169</v>
      </c>
      <c r="F10" t="s">
        <v>170</v>
      </c>
      <c r="G10" s="17">
        <f>SUMIFS(期初数据!$AB$5:$AB$84,期初数据!$X$5:$X$84,E10)</f>
        <v>0</v>
      </c>
      <c r="H10" s="17">
        <f>SUMIFS(期初数据!$AC$5:$AC$84,期初数据!$X$5:$X$84,E10)</f>
        <v>0</v>
      </c>
    </row>
    <row r="11" spans="1:8">
      <c r="A11" s="5">
        <v>46023</v>
      </c>
      <c r="B11" t="s">
        <v>537</v>
      </c>
      <c r="C11" t="s">
        <v>538</v>
      </c>
      <c r="D11" t="s">
        <v>539</v>
      </c>
      <c r="E11" t="s">
        <v>185</v>
      </c>
      <c r="F11" t="s">
        <v>186</v>
      </c>
      <c r="G11" s="17">
        <f>SUMIFS(期初数据!$AB$5:$AB$84,期初数据!$X$5:$X$84,E11)</f>
        <v>0</v>
      </c>
      <c r="H11" s="17">
        <f>SUMIFS(期初数据!$AC$5:$AC$84,期初数据!$X$5:$X$84,E11)</f>
        <v>0</v>
      </c>
    </row>
    <row r="12" spans="1:8">
      <c r="A12" s="5">
        <v>46023</v>
      </c>
      <c r="B12" t="s">
        <v>537</v>
      </c>
      <c r="C12" t="s">
        <v>538</v>
      </c>
      <c r="D12" t="s">
        <v>539</v>
      </c>
      <c r="E12" t="s">
        <v>199</v>
      </c>
      <c r="F12" t="s">
        <v>200</v>
      </c>
      <c r="G12" s="17">
        <f>SUMIFS(期初数据!$AB$5:$AB$84,期初数据!$X$5:$X$84,E12)</f>
        <v>0</v>
      </c>
      <c r="H12" s="17">
        <f>SUMIFS(期初数据!$AC$5:$AC$84,期初数据!$X$5:$X$84,E12)</f>
        <v>0</v>
      </c>
    </row>
    <row r="13" spans="1:8">
      <c r="A13" s="5">
        <v>46023</v>
      </c>
      <c r="B13" t="s">
        <v>537</v>
      </c>
      <c r="C13" t="s">
        <v>538</v>
      </c>
      <c r="D13" t="s">
        <v>539</v>
      </c>
      <c r="E13" t="s">
        <v>213</v>
      </c>
      <c r="F13" t="s">
        <v>214</v>
      </c>
      <c r="G13" s="17">
        <f>SUMIFS(期初数据!$AB$5:$AB$84,期初数据!$X$5:$X$84,E13)</f>
        <v>0</v>
      </c>
      <c r="H13" s="17">
        <f>SUMIFS(期初数据!$AC$5:$AC$84,期初数据!$X$5:$X$84,E13)</f>
        <v>0</v>
      </c>
    </row>
    <row r="14" spans="1:8">
      <c r="A14" s="5">
        <v>46023</v>
      </c>
      <c r="B14" t="s">
        <v>537</v>
      </c>
      <c r="C14" t="s">
        <v>538</v>
      </c>
      <c r="D14" t="s">
        <v>539</v>
      </c>
      <c r="E14" t="s">
        <v>219</v>
      </c>
      <c r="F14" t="s">
        <v>220</v>
      </c>
      <c r="G14" s="17">
        <f>SUMIFS(期初数据!$AB$5:$AB$84,期初数据!$X$5:$X$84,E14)</f>
        <v>0</v>
      </c>
      <c r="H14" s="17">
        <f>SUMIFS(期初数据!$AC$5:$AC$84,期初数据!$X$5:$X$84,E14)</f>
        <v>0</v>
      </c>
    </row>
    <row r="15" spans="1:8">
      <c r="A15" s="5">
        <v>46023</v>
      </c>
      <c r="B15" t="s">
        <v>537</v>
      </c>
      <c r="C15" t="s">
        <v>538</v>
      </c>
      <c r="D15" t="s">
        <v>539</v>
      </c>
      <c r="E15" t="s">
        <v>224</v>
      </c>
      <c r="F15" t="s">
        <v>225</v>
      </c>
      <c r="G15" s="17">
        <f>SUMIFS(期初数据!$AB$5:$AB$84,期初数据!$X$5:$X$84,E15)</f>
        <v>0</v>
      </c>
      <c r="H15" s="17">
        <f>SUMIFS(期初数据!$AC$5:$AC$84,期初数据!$X$5:$X$84,E15)</f>
        <v>0</v>
      </c>
    </row>
    <row r="16" spans="1:8">
      <c r="A16" s="5">
        <v>46023</v>
      </c>
      <c r="B16" t="s">
        <v>537</v>
      </c>
      <c r="C16" t="s">
        <v>538</v>
      </c>
      <c r="D16" t="s">
        <v>539</v>
      </c>
      <c r="E16" t="s">
        <v>228</v>
      </c>
      <c r="F16" t="s">
        <v>229</v>
      </c>
      <c r="G16" s="17">
        <f>SUMIFS(期初数据!$AB$5:$AB$84,期初数据!$X$5:$X$84,E16)</f>
        <v>0</v>
      </c>
      <c r="H16" s="17">
        <f>SUMIFS(期初数据!$AC$5:$AC$84,期初数据!$X$5:$X$84,E16)</f>
        <v>0</v>
      </c>
    </row>
    <row r="17" spans="1:8">
      <c r="A17" s="5">
        <v>46023</v>
      </c>
      <c r="B17" t="s">
        <v>537</v>
      </c>
      <c r="C17" t="s">
        <v>538</v>
      </c>
      <c r="D17" t="s">
        <v>539</v>
      </c>
      <c r="E17" t="s">
        <v>231</v>
      </c>
      <c r="F17" t="s">
        <v>232</v>
      </c>
      <c r="G17" s="17">
        <f>SUMIFS(期初数据!$AB$5:$AB$84,期初数据!$X$5:$X$84,E17)</f>
        <v>0</v>
      </c>
      <c r="H17" s="17">
        <f>SUMIFS(期初数据!$AC$5:$AC$84,期初数据!$X$5:$X$84,E17)</f>
        <v>0</v>
      </c>
    </row>
    <row r="18" spans="1:8">
      <c r="A18" s="5">
        <v>46023</v>
      </c>
      <c r="B18" t="s">
        <v>537</v>
      </c>
      <c r="C18" t="s">
        <v>538</v>
      </c>
      <c r="D18" t="s">
        <v>539</v>
      </c>
      <c r="E18" t="s">
        <v>234</v>
      </c>
      <c r="F18" t="s">
        <v>235</v>
      </c>
      <c r="G18" s="17">
        <f>SUMIFS(期初数据!$AB$5:$AB$84,期初数据!$X$5:$X$84,E18)</f>
        <v>0</v>
      </c>
      <c r="H18" s="17">
        <f>SUMIFS(期初数据!$AC$5:$AC$84,期初数据!$X$5:$X$84,E18)</f>
        <v>0</v>
      </c>
    </row>
    <row r="19" spans="1:8">
      <c r="A19" s="5">
        <v>46023</v>
      </c>
      <c r="B19" t="s">
        <v>537</v>
      </c>
      <c r="C19" t="s">
        <v>538</v>
      </c>
      <c r="D19" t="s">
        <v>539</v>
      </c>
      <c r="E19" t="s">
        <v>237</v>
      </c>
      <c r="F19" t="s">
        <v>238</v>
      </c>
      <c r="G19" s="17">
        <f>SUMIFS(期初数据!$AB$5:$AB$84,期初数据!$X$5:$X$84,E19)</f>
        <v>100000</v>
      </c>
      <c r="H19" s="17">
        <f>SUMIFS(期初数据!$AC$5:$AC$84,期初数据!$X$5:$X$84,E19)</f>
        <v>0</v>
      </c>
    </row>
    <row r="20" spans="1:8">
      <c r="A20" s="5">
        <v>46023</v>
      </c>
      <c r="B20" t="s">
        <v>537</v>
      </c>
      <c r="C20" t="s">
        <v>538</v>
      </c>
      <c r="D20" t="s">
        <v>539</v>
      </c>
      <c r="E20" t="s">
        <v>240</v>
      </c>
      <c r="F20" t="s">
        <v>241</v>
      </c>
      <c r="G20" s="17">
        <f>SUMIFS(期初数据!$AB$5:$AB$84,期初数据!$X$5:$X$84,E20)</f>
        <v>0</v>
      </c>
      <c r="H20" s="17">
        <f>SUMIFS(期初数据!$AC$5:$AC$84,期初数据!$X$5:$X$84,E20)</f>
        <v>0</v>
      </c>
    </row>
    <row r="21" spans="1:8">
      <c r="A21" s="5">
        <v>46023</v>
      </c>
      <c r="B21" t="s">
        <v>537</v>
      </c>
      <c r="C21" t="s">
        <v>538</v>
      </c>
      <c r="D21" t="s">
        <v>539</v>
      </c>
      <c r="E21" t="s">
        <v>243</v>
      </c>
      <c r="F21" t="s">
        <v>244</v>
      </c>
      <c r="G21" s="17">
        <f>SUMIFS(期初数据!$AB$5:$AB$84,期初数据!$X$5:$X$84,E21)</f>
        <v>0</v>
      </c>
      <c r="H21" s="17">
        <f>SUMIFS(期初数据!$AC$5:$AC$84,期初数据!$X$5:$X$84,E21)</f>
        <v>0</v>
      </c>
    </row>
    <row r="22" spans="1:8">
      <c r="A22" s="5">
        <v>46023</v>
      </c>
      <c r="B22" t="s">
        <v>537</v>
      </c>
      <c r="C22" t="s">
        <v>538</v>
      </c>
      <c r="D22" t="s">
        <v>539</v>
      </c>
      <c r="E22" t="s">
        <v>247</v>
      </c>
      <c r="F22" t="s">
        <v>248</v>
      </c>
      <c r="G22" s="17">
        <f>SUMIFS(期初数据!$AB$5:$AB$84,期初数据!$X$5:$X$84,E22)</f>
        <v>0</v>
      </c>
      <c r="H22" s="17">
        <f>SUMIFS(期初数据!$AC$5:$AC$84,期初数据!$X$5:$X$84,E22)</f>
        <v>0</v>
      </c>
    </row>
    <row r="23" spans="1:8">
      <c r="A23" s="5">
        <v>46023</v>
      </c>
      <c r="B23" t="s">
        <v>537</v>
      </c>
      <c r="C23" t="s">
        <v>538</v>
      </c>
      <c r="D23" t="s">
        <v>539</v>
      </c>
      <c r="E23" t="s">
        <v>250</v>
      </c>
      <c r="F23" t="s">
        <v>251</v>
      </c>
      <c r="G23" s="17">
        <f>SUMIFS(期初数据!$AB$5:$AB$84,期初数据!$X$5:$X$84,E23)</f>
        <v>0</v>
      </c>
      <c r="H23" s="17">
        <f>SUMIFS(期初数据!$AC$5:$AC$84,期初数据!$X$5:$X$84,E23)</f>
        <v>0</v>
      </c>
    </row>
    <row r="24" spans="1:8">
      <c r="A24" s="5">
        <v>46023</v>
      </c>
      <c r="B24" t="s">
        <v>537</v>
      </c>
      <c r="C24" t="s">
        <v>538</v>
      </c>
      <c r="D24" t="s">
        <v>539</v>
      </c>
      <c r="E24" t="s">
        <v>254</v>
      </c>
      <c r="F24" t="s">
        <v>255</v>
      </c>
      <c r="G24" s="17">
        <f>SUMIFS(期初数据!$AB$5:$AB$84,期初数据!$X$5:$X$84,E24)</f>
        <v>0</v>
      </c>
      <c r="H24" s="17">
        <f>SUMIFS(期初数据!$AC$5:$AC$84,期初数据!$X$5:$X$84,E24)</f>
        <v>0</v>
      </c>
    </row>
    <row r="25" spans="1:8">
      <c r="A25" s="5">
        <v>46023</v>
      </c>
      <c r="B25" t="s">
        <v>537</v>
      </c>
      <c r="C25" t="s">
        <v>538</v>
      </c>
      <c r="D25" t="s">
        <v>539</v>
      </c>
      <c r="E25" t="s">
        <v>258</v>
      </c>
      <c r="F25" t="s">
        <v>259</v>
      </c>
      <c r="G25" s="17">
        <f>SUMIFS(期初数据!$AB$5:$AB$84,期初数据!$X$5:$X$84,E25)</f>
        <v>0</v>
      </c>
      <c r="H25" s="17">
        <f>SUMIFS(期初数据!$AC$5:$AC$84,期初数据!$X$5:$X$84,E25)</f>
        <v>0</v>
      </c>
    </row>
    <row r="26" spans="1:8">
      <c r="A26" s="5">
        <v>46023</v>
      </c>
      <c r="B26" t="s">
        <v>537</v>
      </c>
      <c r="C26" t="s">
        <v>538</v>
      </c>
      <c r="D26" t="s">
        <v>539</v>
      </c>
      <c r="E26" t="s">
        <v>261</v>
      </c>
      <c r="F26" t="s">
        <v>262</v>
      </c>
      <c r="G26" s="17">
        <f>SUMIFS(期初数据!$AB$5:$AB$84,期初数据!$X$5:$X$84,E26)</f>
        <v>0</v>
      </c>
      <c r="H26" s="17">
        <f>SUMIFS(期初数据!$AC$5:$AC$84,期初数据!$X$5:$X$84,E26)</f>
        <v>0</v>
      </c>
    </row>
    <row r="27" spans="1:8">
      <c r="A27" s="5">
        <v>46023</v>
      </c>
      <c r="B27" t="s">
        <v>537</v>
      </c>
      <c r="C27" t="s">
        <v>538</v>
      </c>
      <c r="D27" t="s">
        <v>539</v>
      </c>
      <c r="E27" t="s">
        <v>263</v>
      </c>
      <c r="F27" t="s">
        <v>264</v>
      </c>
      <c r="G27" s="17">
        <f>SUMIFS(期初数据!$AB$5:$AB$84,期初数据!$X$5:$X$84,E27)</f>
        <v>0</v>
      </c>
      <c r="H27" s="17">
        <f>SUMIFS(期初数据!$AC$5:$AC$84,期初数据!$X$5:$X$84,E27)</f>
        <v>0</v>
      </c>
    </row>
    <row r="28" spans="1:8">
      <c r="A28" s="5">
        <v>46023</v>
      </c>
      <c r="B28" t="s">
        <v>537</v>
      </c>
      <c r="C28" t="s">
        <v>538</v>
      </c>
      <c r="D28" t="s">
        <v>539</v>
      </c>
      <c r="E28" t="s">
        <v>265</v>
      </c>
      <c r="F28" t="s">
        <v>266</v>
      </c>
      <c r="G28" s="17">
        <f>SUMIFS(期初数据!$AB$5:$AB$84,期初数据!$X$5:$X$84,E28)</f>
        <v>600000</v>
      </c>
      <c r="H28" s="17">
        <f>SUMIFS(期初数据!$AC$5:$AC$84,期初数据!$X$5:$X$84,E28)</f>
        <v>0</v>
      </c>
    </row>
    <row r="29" spans="1:8">
      <c r="A29" s="5">
        <v>46023</v>
      </c>
      <c r="B29" t="s">
        <v>537</v>
      </c>
      <c r="C29" t="s">
        <v>538</v>
      </c>
      <c r="D29" t="s">
        <v>539</v>
      </c>
      <c r="E29" t="s">
        <v>267</v>
      </c>
      <c r="F29" t="s">
        <v>268</v>
      </c>
      <c r="G29" s="17">
        <f>SUMIFS(期初数据!$AB$5:$AB$84,期初数据!$X$5:$X$84,E29)</f>
        <v>0</v>
      </c>
      <c r="H29" s="17">
        <f>SUMIFS(期初数据!$AC$5:$AC$84,期初数据!$X$5:$X$84,E29)</f>
        <v>0</v>
      </c>
    </row>
    <row r="30" spans="1:8">
      <c r="A30" s="5">
        <v>46023</v>
      </c>
      <c r="B30" t="s">
        <v>537</v>
      </c>
      <c r="C30" t="s">
        <v>538</v>
      </c>
      <c r="D30" t="s">
        <v>539</v>
      </c>
      <c r="E30" t="s">
        <v>269</v>
      </c>
      <c r="F30" t="s">
        <v>270</v>
      </c>
      <c r="G30" s="17">
        <f>SUMIFS(期初数据!$AB$5:$AB$84,期初数据!$X$5:$X$84,E30)</f>
        <v>0</v>
      </c>
      <c r="H30" s="17">
        <f>SUMIFS(期初数据!$AC$5:$AC$84,期初数据!$X$5:$X$84,E30)</f>
        <v>0</v>
      </c>
    </row>
    <row r="31" spans="1:8">
      <c r="A31" s="5">
        <v>46023</v>
      </c>
      <c r="B31" t="s">
        <v>537</v>
      </c>
      <c r="C31" t="s">
        <v>538</v>
      </c>
      <c r="D31" t="s">
        <v>539</v>
      </c>
      <c r="E31" t="s">
        <v>271</v>
      </c>
      <c r="F31" t="s">
        <v>272</v>
      </c>
      <c r="G31" s="17">
        <f>SUMIFS(期初数据!$AB$5:$AB$84,期初数据!$X$5:$X$84,E31)</f>
        <v>0</v>
      </c>
      <c r="H31" s="17">
        <f>SUMIFS(期初数据!$AC$5:$AC$84,期初数据!$X$5:$X$84,E31)</f>
        <v>0</v>
      </c>
    </row>
    <row r="32" spans="1:8">
      <c r="A32" s="5">
        <v>46023</v>
      </c>
      <c r="B32" t="s">
        <v>537</v>
      </c>
      <c r="C32" t="s">
        <v>538</v>
      </c>
      <c r="D32" t="s">
        <v>539</v>
      </c>
      <c r="E32" t="s">
        <v>273</v>
      </c>
      <c r="F32" t="s">
        <v>274</v>
      </c>
      <c r="G32" s="17">
        <f>SUMIFS(期初数据!$AB$5:$AB$84,期初数据!$X$5:$X$84,E32)</f>
        <v>0</v>
      </c>
      <c r="H32" s="17">
        <f>SUMIFS(期初数据!$AC$5:$AC$84,期初数据!$X$5:$X$84,E32)</f>
        <v>0</v>
      </c>
    </row>
    <row r="33" spans="1:8">
      <c r="A33" s="5">
        <v>46023</v>
      </c>
      <c r="B33" t="s">
        <v>537</v>
      </c>
      <c r="C33" t="s">
        <v>538</v>
      </c>
      <c r="D33" t="s">
        <v>539</v>
      </c>
      <c r="E33" t="s">
        <v>275</v>
      </c>
      <c r="F33" t="s">
        <v>276</v>
      </c>
      <c r="G33" s="17">
        <f>SUMIFS(期初数据!$AB$5:$AB$84,期初数据!$X$5:$X$84,E33)</f>
        <v>0</v>
      </c>
      <c r="H33" s="17">
        <f>SUMIFS(期初数据!$AC$5:$AC$84,期初数据!$X$5:$X$84,E33)</f>
        <v>0</v>
      </c>
    </row>
    <row r="34" spans="1:8">
      <c r="A34" s="5">
        <v>46023</v>
      </c>
      <c r="B34" t="s">
        <v>537</v>
      </c>
      <c r="C34" t="s">
        <v>538</v>
      </c>
      <c r="D34" t="s">
        <v>539</v>
      </c>
      <c r="E34" t="s">
        <v>277</v>
      </c>
      <c r="F34" t="s">
        <v>278</v>
      </c>
      <c r="G34" s="17">
        <f>SUMIFS(期初数据!$AB$5:$AB$84,期初数据!$X$5:$X$84,E34)</f>
        <v>0</v>
      </c>
      <c r="H34" s="17">
        <f>SUMIFS(期初数据!$AC$5:$AC$84,期初数据!$X$5:$X$84,E34)</f>
        <v>0</v>
      </c>
    </row>
    <row r="35" spans="1:8">
      <c r="A35" s="5">
        <v>46023</v>
      </c>
      <c r="B35" t="s">
        <v>537</v>
      </c>
      <c r="C35" t="s">
        <v>538</v>
      </c>
      <c r="D35" t="s">
        <v>539</v>
      </c>
      <c r="E35" t="s">
        <v>279</v>
      </c>
      <c r="F35" t="s">
        <v>280</v>
      </c>
      <c r="G35" s="17">
        <f>SUMIFS(期初数据!$AB$5:$AB$84,期初数据!$X$5:$X$84,E35)</f>
        <v>0</v>
      </c>
      <c r="H35" s="17">
        <f>SUMIFS(期初数据!$AC$5:$AC$84,期初数据!$X$5:$X$84,E35)</f>
        <v>0</v>
      </c>
    </row>
    <row r="36" spans="1:8">
      <c r="A36" s="5">
        <v>46023</v>
      </c>
      <c r="B36" t="s">
        <v>537</v>
      </c>
      <c r="C36" t="s">
        <v>538</v>
      </c>
      <c r="D36" t="s">
        <v>539</v>
      </c>
      <c r="E36" t="s">
        <v>281</v>
      </c>
      <c r="F36" t="s">
        <v>282</v>
      </c>
      <c r="G36" s="17">
        <f>SUMIFS(期初数据!$AB$5:$AB$84,期初数据!$X$5:$X$84,E36)</f>
        <v>0</v>
      </c>
      <c r="H36" s="17">
        <f>SUMIFS(期初数据!$AC$5:$AC$84,期初数据!$X$5:$X$84,E36)</f>
        <v>0</v>
      </c>
    </row>
    <row r="37" spans="1:8">
      <c r="A37" s="5">
        <v>46023</v>
      </c>
      <c r="B37" t="s">
        <v>537</v>
      </c>
      <c r="C37" t="s">
        <v>538</v>
      </c>
      <c r="D37" t="s">
        <v>539</v>
      </c>
      <c r="E37" t="s">
        <v>283</v>
      </c>
      <c r="F37" t="s">
        <v>284</v>
      </c>
      <c r="G37" s="17">
        <f>SUMIFS(期初数据!$AB$5:$AB$84,期初数据!$X$5:$X$84,E37)</f>
        <v>0</v>
      </c>
      <c r="H37" s="17">
        <f>SUMIFS(期初数据!$AC$5:$AC$84,期初数据!$X$5:$X$84,E37)</f>
        <v>0</v>
      </c>
    </row>
    <row r="38" spans="1:8">
      <c r="A38" s="5">
        <v>46023</v>
      </c>
      <c r="B38" t="s">
        <v>537</v>
      </c>
      <c r="C38" t="s">
        <v>538</v>
      </c>
      <c r="D38" t="s">
        <v>539</v>
      </c>
      <c r="E38" t="s">
        <v>286</v>
      </c>
      <c r="F38" t="s">
        <v>285</v>
      </c>
      <c r="G38" s="17">
        <f>SUMIFS(期初数据!$AB$5:$AB$84,期初数据!$X$5:$X$84,E38)</f>
        <v>0</v>
      </c>
      <c r="H38" s="17">
        <f>SUMIFS(期初数据!$AC$5:$AC$84,期初数据!$X$5:$X$84,E38)</f>
        <v>0</v>
      </c>
    </row>
    <row r="39" spans="1:8">
      <c r="A39" s="5">
        <v>46023</v>
      </c>
      <c r="B39" t="s">
        <v>537</v>
      </c>
      <c r="C39" t="s">
        <v>538</v>
      </c>
      <c r="D39" t="s">
        <v>539</v>
      </c>
      <c r="E39" t="s">
        <v>287</v>
      </c>
      <c r="F39" t="s">
        <v>288</v>
      </c>
      <c r="G39" s="17">
        <f>SUMIFS(期初数据!$AB$5:$AB$84,期初数据!$X$5:$X$84,E39)</f>
        <v>0</v>
      </c>
      <c r="H39" s="17">
        <f>SUMIFS(期初数据!$AC$5:$AC$84,期初数据!$X$5:$X$84,E39)</f>
        <v>0</v>
      </c>
    </row>
    <row r="40" spans="1:8">
      <c r="A40" s="5">
        <v>46023</v>
      </c>
      <c r="B40" t="s">
        <v>537</v>
      </c>
      <c r="C40" t="s">
        <v>538</v>
      </c>
      <c r="D40" t="s">
        <v>539</v>
      </c>
      <c r="E40" t="s">
        <v>289</v>
      </c>
      <c r="F40" t="s">
        <v>290</v>
      </c>
      <c r="G40" s="17">
        <f>SUMIFS(期初数据!$AB$5:$AB$84,期初数据!$X$5:$X$84,E40)</f>
        <v>0</v>
      </c>
      <c r="H40" s="17">
        <f>SUMIFS(期初数据!$AC$5:$AC$84,期初数据!$X$5:$X$84,E40)</f>
        <v>300000</v>
      </c>
    </row>
    <row r="41" spans="1:8">
      <c r="A41" s="5">
        <v>46023</v>
      </c>
      <c r="B41" t="s">
        <v>537</v>
      </c>
      <c r="C41" t="s">
        <v>538</v>
      </c>
      <c r="D41" t="s">
        <v>539</v>
      </c>
      <c r="E41" t="s">
        <v>293</v>
      </c>
      <c r="F41" t="s">
        <v>294</v>
      </c>
      <c r="G41" s="17">
        <f>SUMIFS(期初数据!$AB$5:$AB$84,期初数据!$X$5:$X$84,E41)</f>
        <v>0</v>
      </c>
      <c r="H41" s="17">
        <f>SUMIFS(期初数据!$AC$5:$AC$84,期初数据!$X$5:$X$84,E41)</f>
        <v>0</v>
      </c>
    </row>
    <row r="42" spans="1:8">
      <c r="A42" s="5">
        <v>46023</v>
      </c>
      <c r="B42" t="s">
        <v>537</v>
      </c>
      <c r="C42" t="s">
        <v>538</v>
      </c>
      <c r="D42" t="s">
        <v>539</v>
      </c>
      <c r="E42" t="s">
        <v>218</v>
      </c>
      <c r="F42" t="s">
        <v>295</v>
      </c>
      <c r="G42" s="17">
        <f>SUMIFS(期初数据!$AB$5:$AB$84,期初数据!$X$5:$X$84,E42)</f>
        <v>0</v>
      </c>
      <c r="H42" s="17">
        <f>SUMIFS(期初数据!$AC$5:$AC$84,期初数据!$X$5:$X$84,E42)</f>
        <v>210000</v>
      </c>
    </row>
    <row r="43" spans="1:8">
      <c r="A43" s="5">
        <v>46023</v>
      </c>
      <c r="B43" t="s">
        <v>537</v>
      </c>
      <c r="C43" t="s">
        <v>538</v>
      </c>
      <c r="D43" t="s">
        <v>539</v>
      </c>
      <c r="E43" t="s">
        <v>296</v>
      </c>
      <c r="F43" t="s">
        <v>297</v>
      </c>
      <c r="G43" s="17">
        <f>SUMIFS(期初数据!$AB$5:$AB$84,期初数据!$X$5:$X$84,E43)</f>
        <v>0</v>
      </c>
      <c r="H43" s="17">
        <f>SUMIFS(期初数据!$AC$5:$AC$84,期初数据!$X$5:$X$84,E43)</f>
        <v>0</v>
      </c>
    </row>
    <row r="44" spans="1:8">
      <c r="A44" s="5">
        <v>46023</v>
      </c>
      <c r="B44" t="s">
        <v>537</v>
      </c>
      <c r="C44" t="s">
        <v>538</v>
      </c>
      <c r="D44" t="s">
        <v>539</v>
      </c>
      <c r="E44" t="s">
        <v>299</v>
      </c>
      <c r="F44" t="s">
        <v>300</v>
      </c>
      <c r="G44" s="17">
        <f>SUMIFS(期初数据!$AB$5:$AB$84,期初数据!$X$5:$X$84,E44)</f>
        <v>0</v>
      </c>
      <c r="H44" s="17">
        <f>SUMIFS(期初数据!$AC$5:$AC$84,期初数据!$X$5:$X$84,E44)</f>
        <v>0</v>
      </c>
    </row>
    <row r="45" spans="1:8">
      <c r="A45" s="5">
        <v>46023</v>
      </c>
      <c r="B45" t="s">
        <v>537</v>
      </c>
      <c r="C45" t="s">
        <v>538</v>
      </c>
      <c r="D45" t="s">
        <v>539</v>
      </c>
      <c r="E45" t="s">
        <v>301</v>
      </c>
      <c r="F45" t="s">
        <v>302</v>
      </c>
      <c r="G45" s="17">
        <f>SUMIFS(期初数据!$AB$5:$AB$84,期初数据!$X$5:$X$84,E45)</f>
        <v>0</v>
      </c>
      <c r="H45" s="17">
        <f>SUMIFS(期初数据!$AC$5:$AC$84,期初数据!$X$5:$X$84,E45)</f>
        <v>30000</v>
      </c>
    </row>
    <row r="46" spans="1:8">
      <c r="A46" s="5">
        <v>46023</v>
      </c>
      <c r="B46" t="s">
        <v>537</v>
      </c>
      <c r="C46" t="s">
        <v>538</v>
      </c>
      <c r="D46" t="s">
        <v>539</v>
      </c>
      <c r="E46" t="s">
        <v>303</v>
      </c>
      <c r="F46" t="s">
        <v>304</v>
      </c>
      <c r="G46" s="17">
        <f>SUMIFS(期初数据!$AB$5:$AB$84,期初数据!$X$5:$X$84,E46)</f>
        <v>0</v>
      </c>
      <c r="H46" s="17">
        <f>SUMIFS(期初数据!$AC$5:$AC$84,期初数据!$X$5:$X$84,E46)</f>
        <v>0</v>
      </c>
    </row>
    <row r="47" spans="1:8">
      <c r="A47" s="5">
        <v>46023</v>
      </c>
      <c r="B47" t="s">
        <v>537</v>
      </c>
      <c r="C47" t="s">
        <v>538</v>
      </c>
      <c r="D47" t="s">
        <v>539</v>
      </c>
      <c r="E47" t="s">
        <v>305</v>
      </c>
      <c r="F47" t="s">
        <v>306</v>
      </c>
      <c r="G47" s="17">
        <f>SUMIFS(期初数据!$AB$5:$AB$84,期初数据!$X$5:$X$84,E47)</f>
        <v>0</v>
      </c>
      <c r="H47" s="17">
        <f>SUMIFS(期初数据!$AC$5:$AC$84,期初数据!$X$5:$X$84,E47)</f>
        <v>0</v>
      </c>
    </row>
    <row r="48" spans="1:8">
      <c r="A48" s="5">
        <v>46023</v>
      </c>
      <c r="B48" t="s">
        <v>537</v>
      </c>
      <c r="C48" t="s">
        <v>538</v>
      </c>
      <c r="D48" t="s">
        <v>539</v>
      </c>
      <c r="E48" t="s">
        <v>307</v>
      </c>
      <c r="F48" t="s">
        <v>308</v>
      </c>
      <c r="G48" s="17">
        <f>SUMIFS(期初数据!$AB$5:$AB$84,期初数据!$X$5:$X$84,E48)</f>
        <v>0</v>
      </c>
      <c r="H48" s="17">
        <f>SUMIFS(期初数据!$AC$5:$AC$84,期初数据!$X$5:$X$84,E48)</f>
        <v>0</v>
      </c>
    </row>
    <row r="49" spans="1:8">
      <c r="A49" s="5">
        <v>46023</v>
      </c>
      <c r="B49" t="s">
        <v>537</v>
      </c>
      <c r="C49" t="s">
        <v>538</v>
      </c>
      <c r="D49" t="s">
        <v>539</v>
      </c>
      <c r="E49" t="s">
        <v>309</v>
      </c>
      <c r="F49" t="s">
        <v>310</v>
      </c>
      <c r="G49" s="17">
        <f>SUMIFS(期初数据!$AB$5:$AB$84,期初数据!$X$5:$X$84,E49)</f>
        <v>0</v>
      </c>
      <c r="H49" s="17">
        <f>SUMIFS(期初数据!$AC$5:$AC$84,期初数据!$X$5:$X$84,E49)</f>
        <v>0</v>
      </c>
    </row>
    <row r="50" spans="1:8">
      <c r="A50" s="5">
        <v>46023</v>
      </c>
      <c r="B50" t="s">
        <v>537</v>
      </c>
      <c r="C50" t="s">
        <v>538</v>
      </c>
      <c r="D50" t="s">
        <v>539</v>
      </c>
      <c r="E50" t="s">
        <v>312</v>
      </c>
      <c r="F50" t="s">
        <v>313</v>
      </c>
      <c r="G50" s="17">
        <f>SUMIFS(期初数据!$AB$5:$AB$84,期初数据!$X$5:$X$84,E50)</f>
        <v>0</v>
      </c>
      <c r="H50" s="17">
        <f>SUMIFS(期初数据!$AC$5:$AC$84,期初数据!$X$5:$X$84,E50)</f>
        <v>0</v>
      </c>
    </row>
    <row r="51" spans="1:8">
      <c r="A51" s="5">
        <v>46023</v>
      </c>
      <c r="B51" t="s">
        <v>537</v>
      </c>
      <c r="C51" t="s">
        <v>538</v>
      </c>
      <c r="D51" t="s">
        <v>539</v>
      </c>
      <c r="E51" t="s">
        <v>314</v>
      </c>
      <c r="F51" t="s">
        <v>315</v>
      </c>
      <c r="G51" s="17">
        <f>SUMIFS(期初数据!$AB$5:$AB$84,期初数据!$X$5:$X$84,E51)</f>
        <v>0</v>
      </c>
      <c r="H51" s="17">
        <f>SUMIFS(期初数据!$AC$5:$AC$84,期初数据!$X$5:$X$84,E51)</f>
        <v>0</v>
      </c>
    </row>
    <row r="52" spans="1:8">
      <c r="A52" s="5">
        <v>46023</v>
      </c>
      <c r="B52" t="s">
        <v>537</v>
      </c>
      <c r="C52" t="s">
        <v>538</v>
      </c>
      <c r="D52" t="s">
        <v>539</v>
      </c>
      <c r="E52" t="s">
        <v>316</v>
      </c>
      <c r="F52" t="s">
        <v>317</v>
      </c>
      <c r="G52" s="17">
        <f>SUMIFS(期初数据!$AB$5:$AB$84,期初数据!$X$5:$X$84,E52)</f>
        <v>0</v>
      </c>
      <c r="H52" s="17">
        <f>SUMIFS(期初数据!$AC$5:$AC$84,期初数据!$X$5:$X$84,E52)</f>
        <v>0</v>
      </c>
    </row>
    <row r="53" spans="1:8">
      <c r="A53" s="5">
        <v>46023</v>
      </c>
      <c r="B53" t="s">
        <v>537</v>
      </c>
      <c r="C53" t="s">
        <v>538</v>
      </c>
      <c r="D53" t="s">
        <v>539</v>
      </c>
      <c r="E53" t="s">
        <v>318</v>
      </c>
      <c r="F53" t="s">
        <v>319</v>
      </c>
      <c r="G53" s="17">
        <f>SUMIFS(期初数据!$AB$5:$AB$84,期初数据!$X$5:$X$84,E53)</f>
        <v>0</v>
      </c>
      <c r="H53" s="17">
        <f>SUMIFS(期初数据!$AC$5:$AC$84,期初数据!$X$5:$X$84,E53)</f>
        <v>0</v>
      </c>
    </row>
    <row r="54" spans="1:8">
      <c r="A54" s="5">
        <v>46023</v>
      </c>
      <c r="B54" t="s">
        <v>537</v>
      </c>
      <c r="C54" t="s">
        <v>538</v>
      </c>
      <c r="D54" t="s">
        <v>539</v>
      </c>
      <c r="E54" t="s">
        <v>320</v>
      </c>
      <c r="F54" t="s">
        <v>321</v>
      </c>
      <c r="G54" s="17">
        <f>SUMIFS(期初数据!$AB$5:$AB$84,期初数据!$X$5:$X$84,E54)</f>
        <v>0</v>
      </c>
      <c r="H54" s="17">
        <f>SUMIFS(期初数据!$AC$5:$AC$84,期初数据!$X$5:$X$84,E54)</f>
        <v>0</v>
      </c>
    </row>
    <row r="55" spans="1:8">
      <c r="A55" s="5">
        <v>46023</v>
      </c>
      <c r="B55" t="s">
        <v>537</v>
      </c>
      <c r="C55" t="s">
        <v>538</v>
      </c>
      <c r="D55" t="s">
        <v>539</v>
      </c>
      <c r="E55" t="s">
        <v>322</v>
      </c>
      <c r="F55" t="s">
        <v>323</v>
      </c>
      <c r="G55" s="17">
        <f>SUMIFS(期初数据!$AB$5:$AB$84,期初数据!$X$5:$X$84,E55)</f>
        <v>0</v>
      </c>
      <c r="H55" s="17">
        <f>SUMIFS(期初数据!$AC$5:$AC$84,期初数据!$X$5:$X$84,E55)</f>
        <v>0</v>
      </c>
    </row>
    <row r="56" spans="1:8">
      <c r="A56" s="5">
        <v>46023</v>
      </c>
      <c r="B56" t="s">
        <v>537</v>
      </c>
      <c r="C56" t="s">
        <v>538</v>
      </c>
      <c r="D56" t="s">
        <v>539</v>
      </c>
      <c r="E56" t="s">
        <v>324</v>
      </c>
      <c r="F56" t="s">
        <v>325</v>
      </c>
      <c r="G56" s="17">
        <f>SUMIFS(期初数据!$AB$5:$AB$84,期初数据!$X$5:$X$84,E56)</f>
        <v>0</v>
      </c>
      <c r="H56" s="17">
        <f>SUMIFS(期初数据!$AC$5:$AC$84,期初数据!$X$5:$X$84,E56)</f>
        <v>0</v>
      </c>
    </row>
    <row r="57" spans="1:8">
      <c r="A57" s="5">
        <v>46023</v>
      </c>
      <c r="B57" t="s">
        <v>537</v>
      </c>
      <c r="C57" t="s">
        <v>538</v>
      </c>
      <c r="D57" t="s">
        <v>539</v>
      </c>
      <c r="E57" t="s">
        <v>326</v>
      </c>
      <c r="F57" t="s">
        <v>327</v>
      </c>
      <c r="G57" s="17">
        <f>SUMIFS(期初数据!$AB$5:$AB$84,期初数据!$X$5:$X$84,E57)</f>
        <v>0</v>
      </c>
      <c r="H57" s="17">
        <f>SUMIFS(期初数据!$AC$5:$AC$84,期初数据!$X$5:$X$84,E57)</f>
        <v>1000000</v>
      </c>
    </row>
    <row r="58" spans="1:8">
      <c r="A58" s="5">
        <v>46023</v>
      </c>
      <c r="B58" t="s">
        <v>537</v>
      </c>
      <c r="C58" t="s">
        <v>538</v>
      </c>
      <c r="D58" t="s">
        <v>539</v>
      </c>
      <c r="E58" t="s">
        <v>329</v>
      </c>
      <c r="F58" t="s">
        <v>330</v>
      </c>
      <c r="G58" s="17">
        <f>SUMIFS(期初数据!$AB$5:$AB$84,期初数据!$X$5:$X$84,E58)</f>
        <v>0</v>
      </c>
      <c r="H58" s="17">
        <f>SUMIFS(期初数据!$AC$5:$AC$84,期初数据!$X$5:$X$84,E58)</f>
        <v>0</v>
      </c>
    </row>
    <row r="59" spans="1:8">
      <c r="A59" s="5">
        <v>46023</v>
      </c>
      <c r="B59" t="s">
        <v>537</v>
      </c>
      <c r="C59" t="s">
        <v>538</v>
      </c>
      <c r="D59" t="s">
        <v>539</v>
      </c>
      <c r="E59" t="s">
        <v>331</v>
      </c>
      <c r="F59" t="s">
        <v>332</v>
      </c>
      <c r="G59" s="17">
        <f>SUMIFS(期初数据!$AB$5:$AB$84,期初数据!$X$5:$X$84,E59)</f>
        <v>0</v>
      </c>
      <c r="H59" s="17">
        <f>SUMIFS(期初数据!$AC$5:$AC$84,期初数据!$X$5:$X$84,E59)</f>
        <v>0</v>
      </c>
    </row>
    <row r="60" spans="1:8">
      <c r="A60" s="5">
        <v>46023</v>
      </c>
      <c r="B60" t="s">
        <v>537</v>
      </c>
      <c r="C60" t="s">
        <v>538</v>
      </c>
      <c r="D60" t="s">
        <v>539</v>
      </c>
      <c r="E60" t="s">
        <v>333</v>
      </c>
      <c r="F60" t="s">
        <v>334</v>
      </c>
      <c r="G60" s="17">
        <f>SUMIFS(期初数据!$AB$5:$AB$84,期初数据!$X$5:$X$84,E60)</f>
        <v>0</v>
      </c>
      <c r="H60" s="17">
        <f>SUMIFS(期初数据!$AC$5:$AC$84,期初数据!$X$5:$X$84,E60)</f>
        <v>0</v>
      </c>
    </row>
    <row r="61" spans="1:8">
      <c r="A61" s="5">
        <v>46023</v>
      </c>
      <c r="B61" t="s">
        <v>537</v>
      </c>
      <c r="C61" t="s">
        <v>538</v>
      </c>
      <c r="D61" t="s">
        <v>539</v>
      </c>
      <c r="E61" t="s">
        <v>335</v>
      </c>
      <c r="F61" t="s">
        <v>336</v>
      </c>
      <c r="G61" s="17">
        <f>SUMIFS(期初数据!$AB$5:$AB$84,期初数据!$X$5:$X$84,E61)</f>
        <v>0</v>
      </c>
      <c r="H61" s="17">
        <f>SUMIFS(期初数据!$AC$5:$AC$84,期初数据!$X$5:$X$84,E61)</f>
        <v>178000</v>
      </c>
    </row>
    <row r="62" spans="1:8">
      <c r="A62" s="5">
        <v>46023</v>
      </c>
      <c r="B62" t="s">
        <v>537</v>
      </c>
      <c r="C62" t="s">
        <v>538</v>
      </c>
      <c r="D62" t="s">
        <v>539</v>
      </c>
      <c r="E62" t="s">
        <v>338</v>
      </c>
      <c r="F62" t="s">
        <v>339</v>
      </c>
      <c r="G62" s="17">
        <f>SUMIFS(期初数据!$AB$5:$AB$84,期初数据!$X$5:$X$84,E62)</f>
        <v>0</v>
      </c>
      <c r="H62" s="17">
        <f>SUMIFS(期初数据!$AC$5:$AC$84,期初数据!$X$5:$X$84,E62)</f>
        <v>0</v>
      </c>
    </row>
    <row r="63" spans="1:8">
      <c r="A63" s="5">
        <v>46023</v>
      </c>
      <c r="B63" t="s">
        <v>537</v>
      </c>
      <c r="C63" t="s">
        <v>538</v>
      </c>
      <c r="D63" t="s">
        <v>539</v>
      </c>
      <c r="E63" t="s">
        <v>341</v>
      </c>
      <c r="F63" t="s">
        <v>342</v>
      </c>
      <c r="G63" s="17">
        <f>SUMIFS(期初数据!$AB$5:$AB$84,期初数据!$X$5:$X$84,E63)</f>
        <v>0</v>
      </c>
      <c r="H63" s="17">
        <f>SUMIFS(期初数据!$AC$5:$AC$84,期初数据!$X$5:$X$84,E63)</f>
        <v>0</v>
      </c>
    </row>
    <row r="64" spans="1:8">
      <c r="A64" s="5">
        <v>46023</v>
      </c>
      <c r="B64" t="s">
        <v>537</v>
      </c>
      <c r="C64" t="s">
        <v>538</v>
      </c>
      <c r="D64" t="s">
        <v>539</v>
      </c>
      <c r="E64" t="s">
        <v>343</v>
      </c>
      <c r="F64" t="s">
        <v>344</v>
      </c>
      <c r="G64" s="17">
        <f>SUMIFS(期初数据!$AB$5:$AB$84,期初数据!$X$5:$X$84,E64)</f>
        <v>0</v>
      </c>
      <c r="H64" s="17">
        <f>SUMIFS(期初数据!$AC$5:$AC$84,期初数据!$X$5:$X$84,E64)</f>
        <v>0</v>
      </c>
    </row>
    <row r="65" spans="1:8">
      <c r="A65" s="5">
        <v>46023</v>
      </c>
      <c r="B65" t="s">
        <v>537</v>
      </c>
      <c r="C65" t="s">
        <v>538</v>
      </c>
      <c r="D65" t="s">
        <v>539</v>
      </c>
      <c r="E65" t="s">
        <v>345</v>
      </c>
      <c r="F65" t="s">
        <v>346</v>
      </c>
      <c r="G65" s="17">
        <f>SUMIFS(期初数据!$AB$5:$AB$84,期初数据!$X$5:$X$84,E65)</f>
        <v>0</v>
      </c>
      <c r="H65" s="17">
        <f>SUMIFS(期初数据!$AC$5:$AC$84,期初数据!$X$5:$X$84,E65)</f>
        <v>0</v>
      </c>
    </row>
    <row r="66" spans="1:8">
      <c r="A66" s="5">
        <v>46023</v>
      </c>
      <c r="B66" t="s">
        <v>537</v>
      </c>
      <c r="C66" t="s">
        <v>538</v>
      </c>
      <c r="D66" t="s">
        <v>539</v>
      </c>
      <c r="E66" t="s">
        <v>348</v>
      </c>
      <c r="F66" t="s">
        <v>349</v>
      </c>
      <c r="G66" s="17">
        <f>SUMIFS(期初数据!$AB$5:$AB$84,期初数据!$X$5:$X$84,E66)</f>
        <v>0</v>
      </c>
      <c r="H66" s="17">
        <f>SUMIFS(期初数据!$AC$5:$AC$84,期初数据!$X$5:$X$84,E66)</f>
        <v>0</v>
      </c>
    </row>
    <row r="67" spans="1:8">
      <c r="A67" s="5">
        <v>46023</v>
      </c>
      <c r="B67" t="s">
        <v>537</v>
      </c>
      <c r="C67" t="s">
        <v>538</v>
      </c>
      <c r="D67" t="s">
        <v>539</v>
      </c>
      <c r="E67" t="s">
        <v>99</v>
      </c>
      <c r="F67" t="s">
        <v>112</v>
      </c>
      <c r="G67" s="17">
        <f>SUMIFS(期初数据!$AB$5:$AB$84,期初数据!$X$5:$X$84,E67)</f>
        <v>0</v>
      </c>
      <c r="H67" s="17">
        <f>SUMIFS(期初数据!$AC$5:$AC$84,期初数据!$X$5:$X$84,E67)</f>
        <v>0</v>
      </c>
    </row>
    <row r="68" spans="1:8">
      <c r="A68" s="5">
        <v>46023</v>
      </c>
      <c r="B68" t="s">
        <v>537</v>
      </c>
      <c r="C68" t="s">
        <v>538</v>
      </c>
      <c r="D68" t="s">
        <v>539</v>
      </c>
      <c r="E68" t="s">
        <v>352</v>
      </c>
      <c r="F68" t="s">
        <v>353</v>
      </c>
      <c r="G68" s="17">
        <f>SUMIFS(期初数据!$AB$5:$AB$84,期初数据!$X$5:$X$84,E68)</f>
        <v>0</v>
      </c>
      <c r="H68" s="17">
        <f>SUMIFS(期初数据!$AC$5:$AC$84,期初数据!$X$5:$X$84,E68)</f>
        <v>0</v>
      </c>
    </row>
    <row r="69" spans="1:8">
      <c r="A69" s="5">
        <v>46023</v>
      </c>
      <c r="B69" t="s">
        <v>537</v>
      </c>
      <c r="C69" t="s">
        <v>538</v>
      </c>
      <c r="D69" t="s">
        <v>539</v>
      </c>
      <c r="E69" t="s">
        <v>355</v>
      </c>
      <c r="F69" t="s">
        <v>356</v>
      </c>
      <c r="G69" s="17">
        <f>SUMIFS(期初数据!$AB$5:$AB$84,期初数据!$X$5:$X$84,E69)</f>
        <v>0</v>
      </c>
      <c r="H69" s="17">
        <f>SUMIFS(期初数据!$AC$5:$AC$84,期初数据!$X$5:$X$84,E69)</f>
        <v>0</v>
      </c>
    </row>
    <row r="70" spans="1:8">
      <c r="A70" s="5">
        <v>46023</v>
      </c>
      <c r="B70" t="s">
        <v>537</v>
      </c>
      <c r="C70" t="s">
        <v>538</v>
      </c>
      <c r="D70" t="s">
        <v>539</v>
      </c>
      <c r="E70" t="s">
        <v>357</v>
      </c>
      <c r="F70" t="s">
        <v>358</v>
      </c>
      <c r="G70" s="17">
        <f>SUMIFS(期初数据!$AB$5:$AB$84,期初数据!$X$5:$X$84,E70)</f>
        <v>0</v>
      </c>
      <c r="H70" s="17">
        <f>SUMIFS(期初数据!$AC$5:$AC$84,期初数据!$X$5:$X$84,E70)</f>
        <v>0</v>
      </c>
    </row>
    <row r="71" spans="1:8">
      <c r="A71" s="5">
        <v>46023</v>
      </c>
      <c r="B71" t="s">
        <v>537</v>
      </c>
      <c r="C71" t="s">
        <v>538</v>
      </c>
      <c r="D71" t="s">
        <v>539</v>
      </c>
      <c r="E71" t="s">
        <v>359</v>
      </c>
      <c r="F71" t="s">
        <v>360</v>
      </c>
      <c r="G71" s="17">
        <f>SUMIFS(期初数据!$AB$5:$AB$84,期初数据!$X$5:$X$84,E71)</f>
        <v>0</v>
      </c>
      <c r="H71" s="17">
        <f>SUMIFS(期初数据!$AC$5:$AC$84,期初数据!$X$5:$X$84,E71)</f>
        <v>0</v>
      </c>
    </row>
    <row r="72" spans="1:8">
      <c r="A72" s="5">
        <v>46023</v>
      </c>
      <c r="B72" t="s">
        <v>537</v>
      </c>
      <c r="C72" t="s">
        <v>538</v>
      </c>
      <c r="D72" t="s">
        <v>539</v>
      </c>
      <c r="E72" t="s">
        <v>361</v>
      </c>
      <c r="F72" t="s">
        <v>362</v>
      </c>
      <c r="G72" s="17">
        <f>SUMIFS(期初数据!$AB$5:$AB$84,期初数据!$X$5:$X$84,E72)</f>
        <v>0</v>
      </c>
      <c r="H72" s="17">
        <f>SUMIFS(期初数据!$AC$5:$AC$84,期初数据!$X$5:$X$84,E72)</f>
        <v>0</v>
      </c>
    </row>
    <row r="73" spans="1:8">
      <c r="A73" s="5">
        <v>46023</v>
      </c>
      <c r="B73" t="s">
        <v>537</v>
      </c>
      <c r="C73" t="s">
        <v>538</v>
      </c>
      <c r="D73" t="s">
        <v>539</v>
      </c>
      <c r="E73" t="s">
        <v>363</v>
      </c>
      <c r="F73" t="s">
        <v>364</v>
      </c>
      <c r="G73" s="17">
        <f>SUMIFS(期初数据!$AB$5:$AB$84,期初数据!$X$5:$X$84,E73)</f>
        <v>0</v>
      </c>
      <c r="H73" s="17">
        <f>SUMIFS(期初数据!$AC$5:$AC$84,期初数据!$X$5:$X$84,E73)</f>
        <v>0</v>
      </c>
    </row>
    <row r="74" spans="1:8">
      <c r="A74" s="5">
        <v>46023</v>
      </c>
      <c r="B74" t="s">
        <v>537</v>
      </c>
      <c r="C74" t="s">
        <v>538</v>
      </c>
      <c r="D74" t="s">
        <v>539</v>
      </c>
      <c r="E74" t="s">
        <v>368</v>
      </c>
      <c r="F74" t="s">
        <v>369</v>
      </c>
      <c r="G74" s="17">
        <f>SUMIFS(期初数据!$AB$5:$AB$84,期初数据!$X$5:$X$84,E74)</f>
        <v>0</v>
      </c>
      <c r="H74" s="17">
        <f>SUMIFS(期初数据!$AC$5:$AC$84,期初数据!$X$5:$X$84,E74)</f>
        <v>0</v>
      </c>
    </row>
    <row r="75" spans="1:8">
      <c r="A75" s="5">
        <v>46023</v>
      </c>
      <c r="B75" t="s">
        <v>537</v>
      </c>
      <c r="C75" t="s">
        <v>538</v>
      </c>
      <c r="D75" t="s">
        <v>539</v>
      </c>
      <c r="E75" t="s">
        <v>370</v>
      </c>
      <c r="F75" t="s">
        <v>371</v>
      </c>
      <c r="G75" s="17">
        <f>SUMIFS(期初数据!$AB$5:$AB$84,期初数据!$X$5:$X$84,E75)</f>
        <v>0</v>
      </c>
      <c r="H75" s="17">
        <f>SUMIFS(期初数据!$AC$5:$AC$84,期初数据!$X$5:$X$84,E75)</f>
        <v>0</v>
      </c>
    </row>
    <row r="76" spans="1:8">
      <c r="A76" s="5">
        <v>46023</v>
      </c>
      <c r="B76" t="s">
        <v>537</v>
      </c>
      <c r="C76" t="s">
        <v>538</v>
      </c>
      <c r="D76" t="s">
        <v>539</v>
      </c>
      <c r="E76" t="s">
        <v>246</v>
      </c>
      <c r="F76" t="s">
        <v>372</v>
      </c>
      <c r="G76" s="17">
        <f>SUMIFS(期初数据!$AB$5:$AB$84,期初数据!$X$5:$X$84,E76)</f>
        <v>0</v>
      </c>
      <c r="H76" s="17">
        <f>SUMIFS(期初数据!$AC$5:$AC$84,期初数据!$X$5:$X$84,E76)</f>
        <v>0</v>
      </c>
    </row>
    <row r="77" spans="1:8">
      <c r="A77" s="5">
        <v>46023</v>
      </c>
      <c r="B77" t="s">
        <v>537</v>
      </c>
      <c r="C77" t="s">
        <v>538</v>
      </c>
      <c r="D77" t="s">
        <v>539</v>
      </c>
      <c r="E77" t="s">
        <v>223</v>
      </c>
      <c r="F77" t="s">
        <v>374</v>
      </c>
      <c r="G77" s="17">
        <f>SUMIFS(期初数据!$AB$5:$AB$84,期初数据!$X$5:$X$84,E77)</f>
        <v>0</v>
      </c>
      <c r="H77" s="17">
        <f>SUMIFS(期初数据!$AC$5:$AC$84,期初数据!$X$5:$X$84,E77)</f>
        <v>0</v>
      </c>
    </row>
    <row r="78" spans="1:8">
      <c r="A78" s="5">
        <v>46023</v>
      </c>
      <c r="B78" t="s">
        <v>537</v>
      </c>
      <c r="C78" t="s">
        <v>538</v>
      </c>
      <c r="D78" t="s">
        <v>539</v>
      </c>
      <c r="E78" t="s">
        <v>253</v>
      </c>
      <c r="F78" t="s">
        <v>375</v>
      </c>
      <c r="G78" s="17">
        <f>SUMIFS(期初数据!$AB$5:$AB$84,期初数据!$X$5:$X$84,E78)</f>
        <v>0</v>
      </c>
      <c r="H78" s="17">
        <f>SUMIFS(期初数据!$AC$5:$AC$84,期初数据!$X$5:$X$84,E78)</f>
        <v>0</v>
      </c>
    </row>
    <row r="79" spans="1:8">
      <c r="A79" s="5">
        <v>46023</v>
      </c>
      <c r="B79" t="s">
        <v>537</v>
      </c>
      <c r="C79" t="s">
        <v>538</v>
      </c>
      <c r="D79" t="s">
        <v>539</v>
      </c>
      <c r="E79" t="s">
        <v>376</v>
      </c>
      <c r="F79" t="s">
        <v>377</v>
      </c>
      <c r="G79" s="17">
        <f>SUMIFS(期初数据!$AB$5:$AB$84,期初数据!$X$5:$X$84,E79)</f>
        <v>0</v>
      </c>
      <c r="H79" s="17">
        <f>SUMIFS(期初数据!$AC$5:$AC$84,期初数据!$X$5:$X$84,E79)</f>
        <v>0</v>
      </c>
    </row>
    <row r="80" spans="1:8">
      <c r="A80" s="5">
        <v>46023</v>
      </c>
      <c r="B80" t="s">
        <v>537</v>
      </c>
      <c r="C80" t="s">
        <v>538</v>
      </c>
      <c r="D80" t="s">
        <v>539</v>
      </c>
      <c r="E80" t="s">
        <v>378</v>
      </c>
      <c r="F80" t="s">
        <v>379</v>
      </c>
      <c r="G80" s="17">
        <f>SUMIFS(期初数据!$AB$5:$AB$84,期初数据!$X$5:$X$84,E80)</f>
        <v>0</v>
      </c>
      <c r="H80" s="17">
        <f>SUMIFS(期初数据!$AC$5:$AC$84,期初数据!$X$5:$X$84,E80)</f>
        <v>0</v>
      </c>
    </row>
    <row r="81" spans="1:8">
      <c r="A81" s="5">
        <v>46023</v>
      </c>
      <c r="B81" t="s">
        <v>537</v>
      </c>
      <c r="C81" t="s">
        <v>538</v>
      </c>
      <c r="D81" t="s">
        <v>539</v>
      </c>
      <c r="E81" t="s">
        <v>380</v>
      </c>
      <c r="F81" t="s">
        <v>381</v>
      </c>
      <c r="G81" s="17">
        <f>SUMIFS(期初数据!$AB$5:$AB$84,期初数据!$X$5:$X$84,E81)</f>
        <v>0</v>
      </c>
      <c r="H81" s="17">
        <f>SUMIFS(期初数据!$AC$5:$AC$84,期初数据!$X$5:$X$84,E81)</f>
        <v>0</v>
      </c>
    </row>
    <row r="82" spans="1:8">
      <c r="A82" s="5">
        <v>46023</v>
      </c>
      <c r="B82" t="s">
        <v>537</v>
      </c>
      <c r="C82" t="s">
        <v>538</v>
      </c>
      <c r="D82" t="s">
        <v>539</v>
      </c>
      <c r="E82" t="s">
        <v>382</v>
      </c>
      <c r="F82" t="s">
        <v>383</v>
      </c>
      <c r="G82" s="17">
        <f>SUMIFS(期初数据!$AB$5:$AB$84,期初数据!$X$5:$X$84,E82)</f>
        <v>0</v>
      </c>
      <c r="H82" s="17">
        <f>SUMIFS(期初数据!$AC$5:$AC$84,期初数据!$X$5:$X$84,E82)</f>
        <v>0</v>
      </c>
    </row>
    <row r="83" spans="1:8">
      <c r="A83" s="5">
        <v>46023</v>
      </c>
      <c r="B83" t="s">
        <v>537</v>
      </c>
      <c r="C83" t="s">
        <v>538</v>
      </c>
      <c r="D83" t="s">
        <v>539</v>
      </c>
      <c r="E83" t="s">
        <v>384</v>
      </c>
      <c r="F83" t="s">
        <v>385</v>
      </c>
      <c r="G83" s="17">
        <f>SUMIFS(期初数据!$AB$5:$AB$84,期初数据!$X$5:$X$84,E83)</f>
        <v>0</v>
      </c>
      <c r="H83" s="17">
        <f>SUMIFS(期初数据!$AC$5:$AC$84,期初数据!$X$5:$X$84,E83)</f>
        <v>0</v>
      </c>
    </row>
    <row r="84" spans="1:8">
      <c r="A84" s="5"/>
      <c r="G84" s="17"/>
      <c r="H84" s="17"/>
    </row>
    <row r="85" spans="1:8">
      <c r="A85" s="5"/>
      <c r="G85" s="17"/>
      <c r="H85" s="17"/>
    </row>
    <row r="86" spans="1:8">
      <c r="A86" s="5">
        <f t="shared" ref="A86:A149" si="0">DATE(2026,VALUE(RIGHT(B86,2)),1)</f>
        <v>46023</v>
      </c>
      <c r="B86" t="s">
        <v>537</v>
      </c>
      <c r="C86" t="s">
        <v>540</v>
      </c>
      <c r="D86" t="s">
        <v>541</v>
      </c>
      <c r="E86" t="s">
        <v>63</v>
      </c>
      <c r="F86" t="s">
        <v>80</v>
      </c>
      <c r="G86" s="17">
        <f>SUMIFS(资金流水!$Q$4:$Q$203,资金流水!$O$4:$O$203,E86,资金流水!$B$4:$B$203,B86)+IF(E86="1122",SUMIFS(销售录入!$I$4:$I$203,销售录入!$B$4:$B$203,B86),0)+IF(E86="1405",SUMIFS(采购录入!$I$4:$I$203,采购录入!$B$4:$B$203,B86),0)+IF(E86="6401",SUMIFS(销售录入!$K$4:$K$203,销售录入!$B$4:$B$203,B86),0)</f>
        <v>0</v>
      </c>
      <c r="H86" s="17">
        <f>SUMIFS(资金流水!$Q$4:$Q$203,资金流水!$P$4:$P$203,E86,资金流水!$B$4:$B$203,B86)+IF(E86="6001",SUMIFS(销售录入!$I$4:$I$203,销售录入!$B$4:$B$203,B86),0)+IF(E86="1405",SUMIFS(销售录入!$K$4:$K$203,销售录入!$B$4:$B$203,B86),0)+IF(E86="2202",SUMIFS(采购录入!$I$4:$I$203,采购录入!$B$4:$B$203,B86),0)</f>
        <v>0</v>
      </c>
    </row>
    <row r="87" spans="1:8">
      <c r="A87" s="5">
        <f t="shared" si="0"/>
        <v>46023</v>
      </c>
      <c r="B87" t="s">
        <v>537</v>
      </c>
      <c r="C87" t="s">
        <v>540</v>
      </c>
      <c r="D87" t="s">
        <v>542</v>
      </c>
      <c r="E87" t="s">
        <v>78</v>
      </c>
      <c r="F87" t="s">
        <v>100</v>
      </c>
      <c r="G87" s="17">
        <f>SUMIFS(资金流水!$Q$4:$Q$203,资金流水!$O$4:$O$203,E87,资金流水!$B$4:$B$203,B87)+IF(E87="1122",SUMIFS(销售录入!$I$4:$I$203,销售录入!$B$4:$B$203,B87),0)+IF(E87="1405",SUMIFS(采购录入!$I$4:$I$203,采购录入!$B$4:$B$203,B87),0)+IF(E87="6401",SUMIFS(销售录入!$K$4:$K$203,销售录入!$B$4:$B$203,B87),0)</f>
        <v>0</v>
      </c>
      <c r="H87" s="17">
        <f>SUMIFS(资金流水!$Q$4:$Q$203,资金流水!$P$4:$P$203,E87,资金流水!$B$4:$B$203,B87)+IF(E87="6001",SUMIFS(销售录入!$I$4:$I$203,销售录入!$B$4:$B$203,B87),0)+IF(E87="1405",SUMIFS(销售录入!$K$4:$K$203,销售录入!$B$4:$B$203,B87),0)+IF(E87="2202",SUMIFS(采购录入!$I$4:$I$203,采购录入!$B$4:$B$203,B87),0)</f>
        <v>0</v>
      </c>
    </row>
    <row r="88" spans="1:8">
      <c r="A88" s="5">
        <f t="shared" si="0"/>
        <v>46023</v>
      </c>
      <c r="B88" t="s">
        <v>537</v>
      </c>
      <c r="C88" t="s">
        <v>540</v>
      </c>
      <c r="D88" t="s">
        <v>543</v>
      </c>
      <c r="E88" t="s">
        <v>79</v>
      </c>
      <c r="F88" t="s">
        <v>155</v>
      </c>
      <c r="G88" s="17">
        <f>SUMIFS(资金流水!$Q$4:$Q$203,资金流水!$O$4:$O$203,E88,资金流水!$B$4:$B$203,B88)+IF(E88="1122",SUMIFS(销售录入!$I$4:$I$203,销售录入!$B$4:$B$203,B88),0)+IF(E88="1405",SUMIFS(采购录入!$I$4:$I$203,采购录入!$B$4:$B$203,B88),0)+IF(E88="6401",SUMIFS(销售录入!$K$4:$K$203,销售录入!$B$4:$B$203,B88),0)</f>
        <v>0</v>
      </c>
      <c r="H88" s="17">
        <f>SUMIFS(资金流水!$Q$4:$Q$203,资金流水!$P$4:$P$203,E88,资金流水!$B$4:$B$203,B88)+IF(E88="6001",SUMIFS(销售录入!$I$4:$I$203,销售录入!$B$4:$B$203,B88),0)+IF(E88="1405",SUMIFS(销售录入!$K$4:$K$203,销售录入!$B$4:$B$203,B88),0)+IF(E88="2202",SUMIFS(采购录入!$I$4:$I$203,采购录入!$B$4:$B$203,B88),0)</f>
        <v>0</v>
      </c>
    </row>
    <row r="89" spans="1:8">
      <c r="A89" s="5">
        <f t="shared" si="0"/>
        <v>46023</v>
      </c>
      <c r="B89" t="s">
        <v>537</v>
      </c>
      <c r="C89" t="s">
        <v>540</v>
      </c>
      <c r="D89" t="s">
        <v>544</v>
      </c>
      <c r="E89" t="s">
        <v>237</v>
      </c>
      <c r="F89" t="s">
        <v>238</v>
      </c>
      <c r="G89" s="17">
        <f>SUMIFS(资金流水!$Q$4:$Q$203,资金流水!$O$4:$O$203,E89,资金流水!$B$4:$B$203,B89)+IF(E89="1122",SUMIFS(销售录入!$I$4:$I$203,销售录入!$B$4:$B$203,B89),0)+IF(E89="1405",SUMIFS(采购录入!$I$4:$I$203,采购录入!$B$4:$B$203,B89),0)+IF(E89="6401",SUMIFS(销售录入!$K$4:$K$203,销售录入!$B$4:$B$203,B89),0)</f>
        <v>0</v>
      </c>
      <c r="H89" s="17">
        <f>SUMIFS(资金流水!$Q$4:$Q$203,资金流水!$P$4:$P$203,E89,资金流水!$B$4:$B$203,B89)+IF(E89="6001",SUMIFS(销售录入!$I$4:$I$203,销售录入!$B$4:$B$203,B89),0)+IF(E89="1405",SUMIFS(销售录入!$K$4:$K$203,销售录入!$B$4:$B$203,B89),0)+IF(E89="2202",SUMIFS(采购录入!$I$4:$I$203,采购录入!$B$4:$B$203,B89),0)</f>
        <v>0</v>
      </c>
    </row>
    <row r="90" spans="1:8">
      <c r="A90" s="5">
        <f t="shared" si="0"/>
        <v>46023</v>
      </c>
      <c r="B90" t="s">
        <v>537</v>
      </c>
      <c r="C90" t="s">
        <v>540</v>
      </c>
      <c r="D90" t="s">
        <v>545</v>
      </c>
      <c r="E90" t="s">
        <v>218</v>
      </c>
      <c r="F90" t="s">
        <v>295</v>
      </c>
      <c r="G90" s="17">
        <f>SUMIFS(资金流水!$Q$4:$Q$203,资金流水!$O$4:$O$203,E90,资金流水!$B$4:$B$203,B90)+IF(E90="1122",SUMIFS(销售录入!$I$4:$I$203,销售录入!$B$4:$B$203,B90),0)+IF(E90="1405",SUMIFS(采购录入!$I$4:$I$203,采购录入!$B$4:$B$203,B90),0)+IF(E90="6401",SUMIFS(销售录入!$K$4:$K$203,销售录入!$B$4:$B$203,B90),0)</f>
        <v>0</v>
      </c>
      <c r="H90" s="17">
        <f>SUMIFS(资金流水!$Q$4:$Q$203,资金流水!$P$4:$P$203,E90,资金流水!$B$4:$B$203,B90)+IF(E90="6001",SUMIFS(销售录入!$I$4:$I$203,销售录入!$B$4:$B$203,B90),0)+IF(E90="1405",SUMIFS(销售录入!$K$4:$K$203,销售录入!$B$4:$B$203,B90),0)+IF(E90="2202",SUMIFS(采购录入!$I$4:$I$203,采购录入!$B$4:$B$203,B90),0)</f>
        <v>0</v>
      </c>
    </row>
    <row r="91" spans="1:8">
      <c r="A91" s="5">
        <f t="shared" si="0"/>
        <v>46023</v>
      </c>
      <c r="B91" t="s">
        <v>537</v>
      </c>
      <c r="C91" t="s">
        <v>540</v>
      </c>
      <c r="D91" t="s">
        <v>546</v>
      </c>
      <c r="E91" t="s">
        <v>348</v>
      </c>
      <c r="F91" t="s">
        <v>349</v>
      </c>
      <c r="G91" s="17">
        <f>SUMIFS(资金流水!$Q$4:$Q$203,资金流水!$O$4:$O$203,E91,资金流水!$B$4:$B$203,B91)+IF(E91="1122",SUMIFS(销售录入!$I$4:$I$203,销售录入!$B$4:$B$203,B91),0)+IF(E91="1405",SUMIFS(采购录入!$I$4:$I$203,采购录入!$B$4:$B$203,B91),0)+IF(E91="6401",SUMIFS(销售录入!$K$4:$K$203,销售录入!$B$4:$B$203,B91),0)</f>
        <v>0</v>
      </c>
      <c r="H91" s="17">
        <f>SUMIFS(资金流水!$Q$4:$Q$203,资金流水!$P$4:$P$203,E91,资金流水!$B$4:$B$203,B91)+IF(E91="6001",SUMIFS(销售录入!$I$4:$I$203,销售录入!$B$4:$B$203,B91),0)+IF(E91="1405",SUMIFS(销售录入!$K$4:$K$203,销售录入!$B$4:$B$203,B91),0)+IF(E91="2202",SUMIFS(采购录入!$I$4:$I$203,采购录入!$B$4:$B$203,B91),0)</f>
        <v>0</v>
      </c>
    </row>
    <row r="92" spans="1:8">
      <c r="A92" s="5">
        <f t="shared" si="0"/>
        <v>46023</v>
      </c>
      <c r="B92" t="s">
        <v>537</v>
      </c>
      <c r="C92" t="s">
        <v>540</v>
      </c>
      <c r="D92" t="s">
        <v>547</v>
      </c>
      <c r="E92" t="s">
        <v>99</v>
      </c>
      <c r="F92" t="s">
        <v>112</v>
      </c>
      <c r="G92" s="17">
        <f>SUMIFS(资金流水!$Q$4:$Q$203,资金流水!$O$4:$O$203,E92,资金流水!$B$4:$B$203,B92)+IF(E92="1122",SUMIFS(销售录入!$I$4:$I$203,销售录入!$B$4:$B$203,B92),0)+IF(E92="1405",SUMIFS(采购录入!$I$4:$I$203,采购录入!$B$4:$B$203,B92),0)+IF(E92="6401",SUMIFS(销售录入!$K$4:$K$203,销售录入!$B$4:$B$203,B92),0)</f>
        <v>0</v>
      </c>
      <c r="H92" s="17">
        <f>SUMIFS(资金流水!$Q$4:$Q$203,资金流水!$P$4:$P$203,E92,资金流水!$B$4:$B$203,B92)+IF(E92="6001",SUMIFS(销售录入!$I$4:$I$203,销售录入!$B$4:$B$203,B92),0)+IF(E92="1405",SUMIFS(销售录入!$K$4:$K$203,销售录入!$B$4:$B$203,B92),0)+IF(E92="2202",SUMIFS(采购录入!$I$4:$I$203,采购录入!$B$4:$B$203,B92),0)</f>
        <v>0</v>
      </c>
    </row>
    <row r="93" spans="1:8">
      <c r="A93" s="5">
        <f t="shared" si="0"/>
        <v>46023</v>
      </c>
      <c r="B93" t="s">
        <v>537</v>
      </c>
      <c r="C93" t="s">
        <v>540</v>
      </c>
      <c r="D93" t="s">
        <v>548</v>
      </c>
      <c r="E93" t="s">
        <v>363</v>
      </c>
      <c r="F93" t="s">
        <v>364</v>
      </c>
      <c r="G93" s="17">
        <f>SUMIFS(资金流水!$Q$4:$Q$203,资金流水!$O$4:$O$203,E93,资金流水!$B$4:$B$203,B93)+IF(E93="1122",SUMIFS(销售录入!$I$4:$I$203,销售录入!$B$4:$B$203,B93),0)+IF(E93="1405",SUMIFS(采购录入!$I$4:$I$203,采购录入!$B$4:$B$203,B93),0)+IF(E93="6401",SUMIFS(销售录入!$K$4:$K$203,销售录入!$B$4:$B$203,B93),0)</f>
        <v>0</v>
      </c>
      <c r="H93" s="17">
        <f>SUMIFS(资金流水!$Q$4:$Q$203,资金流水!$P$4:$P$203,E93,资金流水!$B$4:$B$203,B93)+IF(E93="6001",SUMIFS(销售录入!$I$4:$I$203,销售录入!$B$4:$B$203,B93),0)+IF(E93="1405",SUMIFS(销售录入!$K$4:$K$203,销售录入!$B$4:$B$203,B93),0)+IF(E93="2202",SUMIFS(采购录入!$I$4:$I$203,采购录入!$B$4:$B$203,B93),0)</f>
        <v>0</v>
      </c>
    </row>
    <row r="94" spans="1:8">
      <c r="A94" s="5">
        <f t="shared" si="0"/>
        <v>46023</v>
      </c>
      <c r="B94" t="s">
        <v>537</v>
      </c>
      <c r="C94" t="s">
        <v>540</v>
      </c>
      <c r="D94" t="s">
        <v>549</v>
      </c>
      <c r="E94" t="s">
        <v>246</v>
      </c>
      <c r="F94" t="s">
        <v>372</v>
      </c>
      <c r="G94" s="17">
        <f>SUMIFS(资金流水!$Q$4:$Q$203,资金流水!$O$4:$O$203,E94,资金流水!$B$4:$B$203,B94)+IF(E94="1122",SUMIFS(销售录入!$I$4:$I$203,销售录入!$B$4:$B$203,B94),0)+IF(E94="1405",SUMIFS(采购录入!$I$4:$I$203,采购录入!$B$4:$B$203,B94),0)+IF(E94="6401",SUMIFS(销售录入!$K$4:$K$203,销售录入!$B$4:$B$203,B94),0)</f>
        <v>0</v>
      </c>
      <c r="H94" s="17">
        <f>SUMIFS(资金流水!$Q$4:$Q$203,资金流水!$P$4:$P$203,E94,资金流水!$B$4:$B$203,B94)+IF(E94="6001",SUMIFS(销售录入!$I$4:$I$203,销售录入!$B$4:$B$203,B94),0)+IF(E94="1405",SUMIFS(销售录入!$K$4:$K$203,销售录入!$B$4:$B$203,B94),0)+IF(E94="2202",SUMIFS(采购录入!$I$4:$I$203,采购录入!$B$4:$B$203,B94),0)</f>
        <v>0</v>
      </c>
    </row>
    <row r="95" spans="1:8">
      <c r="A95" s="5">
        <f t="shared" si="0"/>
        <v>46023</v>
      </c>
      <c r="B95" t="s">
        <v>537</v>
      </c>
      <c r="C95" t="s">
        <v>540</v>
      </c>
      <c r="D95" t="s">
        <v>550</v>
      </c>
      <c r="E95" t="s">
        <v>223</v>
      </c>
      <c r="F95" t="s">
        <v>374</v>
      </c>
      <c r="G95" s="17">
        <f>SUMIFS(资金流水!$Q$4:$Q$203,资金流水!$O$4:$O$203,E95,资金流水!$B$4:$B$203,B95)+IF(E95="1122",SUMIFS(销售录入!$I$4:$I$203,销售录入!$B$4:$B$203,B95),0)+IF(E95="1405",SUMIFS(采购录入!$I$4:$I$203,采购录入!$B$4:$B$203,B95),0)+IF(E95="6401",SUMIFS(销售录入!$K$4:$K$203,销售录入!$B$4:$B$203,B95),0)</f>
        <v>0</v>
      </c>
      <c r="H95" s="17">
        <f>SUMIFS(资金流水!$Q$4:$Q$203,资金流水!$P$4:$P$203,E95,资金流水!$B$4:$B$203,B95)+IF(E95="6001",SUMIFS(销售录入!$I$4:$I$203,销售录入!$B$4:$B$203,B95),0)+IF(E95="1405",SUMIFS(销售录入!$K$4:$K$203,销售录入!$B$4:$B$203,B95),0)+IF(E95="2202",SUMIFS(采购录入!$I$4:$I$203,采购录入!$B$4:$B$203,B95),0)</f>
        <v>0</v>
      </c>
    </row>
    <row r="96" spans="1:8">
      <c r="A96" s="5">
        <f t="shared" si="0"/>
        <v>46023</v>
      </c>
      <c r="B96" t="s">
        <v>537</v>
      </c>
      <c r="C96" t="s">
        <v>540</v>
      </c>
      <c r="D96" t="s">
        <v>551</v>
      </c>
      <c r="E96" t="s">
        <v>253</v>
      </c>
      <c r="F96" t="s">
        <v>375</v>
      </c>
      <c r="G96" s="17">
        <f>SUMIFS(资金流水!$Q$4:$Q$203,资金流水!$O$4:$O$203,E96,资金流水!$B$4:$B$203,B96)+IF(E96="1122",SUMIFS(销售录入!$I$4:$I$203,销售录入!$B$4:$B$203,B96),0)+IF(E96="1405",SUMIFS(采购录入!$I$4:$I$203,采购录入!$B$4:$B$203,B96),0)+IF(E96="6401",SUMIFS(销售录入!$K$4:$K$203,销售录入!$B$4:$B$203,B96),0)</f>
        <v>0</v>
      </c>
      <c r="H96" s="17">
        <f>SUMIFS(资金流水!$Q$4:$Q$203,资金流水!$P$4:$P$203,E96,资金流水!$B$4:$B$203,B96)+IF(E96="6001",SUMIFS(销售录入!$I$4:$I$203,销售录入!$B$4:$B$203,B96),0)+IF(E96="1405",SUMIFS(销售录入!$K$4:$K$203,销售录入!$B$4:$B$203,B96),0)+IF(E96="2202",SUMIFS(采购录入!$I$4:$I$203,采购录入!$B$4:$B$203,B96),0)</f>
        <v>0</v>
      </c>
    </row>
    <row r="97" spans="1:8">
      <c r="A97" s="5">
        <f t="shared" si="0"/>
        <v>46054</v>
      </c>
      <c r="B97" t="s">
        <v>552</v>
      </c>
      <c r="C97" t="s">
        <v>553</v>
      </c>
      <c r="D97" t="s">
        <v>541</v>
      </c>
      <c r="E97" t="s">
        <v>63</v>
      </c>
      <c r="F97" t="s">
        <v>80</v>
      </c>
      <c r="G97" s="17">
        <f>SUMIFS(资金流水!$Q$4:$Q$203,资金流水!$O$4:$O$203,E97,资金流水!$B$4:$B$203,B97)+IF(E97="1122",SUMIFS(销售录入!$I$4:$I$203,销售录入!$B$4:$B$203,B97),0)+IF(E97="1405",SUMIFS(采购录入!$I$4:$I$203,采购录入!$B$4:$B$203,B97),0)+IF(E97="6401",SUMIFS(销售录入!$K$4:$K$203,销售录入!$B$4:$B$203,B97),0)</f>
        <v>0</v>
      </c>
      <c r="H97" s="17">
        <f>SUMIFS(资金流水!$Q$4:$Q$203,资金流水!$P$4:$P$203,E97,资金流水!$B$4:$B$203,B97)+IF(E97="6001",SUMIFS(销售录入!$I$4:$I$203,销售录入!$B$4:$B$203,B97),0)+IF(E97="1405",SUMIFS(销售录入!$K$4:$K$203,销售录入!$B$4:$B$203,B97),0)+IF(E97="2202",SUMIFS(采购录入!$I$4:$I$203,采购录入!$B$4:$B$203,B97),0)</f>
        <v>0</v>
      </c>
    </row>
    <row r="98" spans="1:8">
      <c r="A98" s="5">
        <f t="shared" si="0"/>
        <v>46054</v>
      </c>
      <c r="B98" t="s">
        <v>552</v>
      </c>
      <c r="C98" t="s">
        <v>553</v>
      </c>
      <c r="D98" t="s">
        <v>542</v>
      </c>
      <c r="E98" t="s">
        <v>78</v>
      </c>
      <c r="F98" t="s">
        <v>100</v>
      </c>
      <c r="G98" s="17">
        <f>SUMIFS(资金流水!$Q$4:$Q$203,资金流水!$O$4:$O$203,E98,资金流水!$B$4:$B$203,B98)+IF(E98="1122",SUMIFS(销售录入!$I$4:$I$203,销售录入!$B$4:$B$203,B98),0)+IF(E98="1405",SUMIFS(采购录入!$I$4:$I$203,采购录入!$B$4:$B$203,B98),0)+IF(E98="6401",SUMIFS(销售录入!$K$4:$K$203,销售录入!$B$4:$B$203,B98),0)</f>
        <v>0</v>
      </c>
      <c r="H98" s="17">
        <f>SUMIFS(资金流水!$Q$4:$Q$203,资金流水!$P$4:$P$203,E98,资金流水!$B$4:$B$203,B98)+IF(E98="6001",SUMIFS(销售录入!$I$4:$I$203,销售录入!$B$4:$B$203,B98),0)+IF(E98="1405",SUMIFS(销售录入!$K$4:$K$203,销售录入!$B$4:$B$203,B98),0)+IF(E98="2202",SUMIFS(采购录入!$I$4:$I$203,采购录入!$B$4:$B$203,B98),0)</f>
        <v>0</v>
      </c>
    </row>
    <row r="99" spans="1:8">
      <c r="A99" s="5">
        <f t="shared" si="0"/>
        <v>46054</v>
      </c>
      <c r="B99" t="s">
        <v>552</v>
      </c>
      <c r="C99" t="s">
        <v>553</v>
      </c>
      <c r="D99" t="s">
        <v>543</v>
      </c>
      <c r="E99" t="s">
        <v>79</v>
      </c>
      <c r="F99" t="s">
        <v>155</v>
      </c>
      <c r="G99" s="17">
        <f>SUMIFS(资金流水!$Q$4:$Q$203,资金流水!$O$4:$O$203,E99,资金流水!$B$4:$B$203,B99)+IF(E99="1122",SUMIFS(销售录入!$I$4:$I$203,销售录入!$B$4:$B$203,B99),0)+IF(E99="1405",SUMIFS(采购录入!$I$4:$I$203,采购录入!$B$4:$B$203,B99),0)+IF(E99="6401",SUMIFS(销售录入!$K$4:$K$203,销售录入!$B$4:$B$203,B99),0)</f>
        <v>0</v>
      </c>
      <c r="H99" s="17">
        <f>SUMIFS(资金流水!$Q$4:$Q$203,资金流水!$P$4:$P$203,E99,资金流水!$B$4:$B$203,B99)+IF(E99="6001",SUMIFS(销售录入!$I$4:$I$203,销售录入!$B$4:$B$203,B99),0)+IF(E99="1405",SUMIFS(销售录入!$K$4:$K$203,销售录入!$B$4:$B$203,B99),0)+IF(E99="2202",SUMIFS(采购录入!$I$4:$I$203,采购录入!$B$4:$B$203,B99),0)</f>
        <v>0</v>
      </c>
    </row>
    <row r="100" spans="1:8">
      <c r="A100" s="5">
        <f t="shared" si="0"/>
        <v>46054</v>
      </c>
      <c r="B100" t="s">
        <v>552</v>
      </c>
      <c r="C100" t="s">
        <v>553</v>
      </c>
      <c r="D100" t="s">
        <v>544</v>
      </c>
      <c r="E100" t="s">
        <v>237</v>
      </c>
      <c r="F100" t="s">
        <v>238</v>
      </c>
      <c r="G100" s="17">
        <f>SUMIFS(资金流水!$Q$4:$Q$203,资金流水!$O$4:$O$203,E100,资金流水!$B$4:$B$203,B100)+IF(E100="1122",SUMIFS(销售录入!$I$4:$I$203,销售录入!$B$4:$B$203,B100),0)+IF(E100="1405",SUMIFS(采购录入!$I$4:$I$203,采购录入!$B$4:$B$203,B100),0)+IF(E100="6401",SUMIFS(销售录入!$K$4:$K$203,销售录入!$B$4:$B$203,B100),0)</f>
        <v>0</v>
      </c>
      <c r="H100" s="17">
        <f>SUMIFS(资金流水!$Q$4:$Q$203,资金流水!$P$4:$P$203,E100,资金流水!$B$4:$B$203,B100)+IF(E100="6001",SUMIFS(销售录入!$I$4:$I$203,销售录入!$B$4:$B$203,B100),0)+IF(E100="1405",SUMIFS(销售录入!$K$4:$K$203,销售录入!$B$4:$B$203,B100),0)+IF(E100="2202",SUMIFS(采购录入!$I$4:$I$203,采购录入!$B$4:$B$203,B100),0)</f>
        <v>0</v>
      </c>
    </row>
    <row r="101" spans="1:8">
      <c r="A101" s="5">
        <f t="shared" si="0"/>
        <v>46054</v>
      </c>
      <c r="B101" t="s">
        <v>552</v>
      </c>
      <c r="C101" t="s">
        <v>553</v>
      </c>
      <c r="D101" t="s">
        <v>545</v>
      </c>
      <c r="E101" t="s">
        <v>218</v>
      </c>
      <c r="F101" t="s">
        <v>295</v>
      </c>
      <c r="G101" s="17">
        <f>SUMIFS(资金流水!$Q$4:$Q$203,资金流水!$O$4:$O$203,E101,资金流水!$B$4:$B$203,B101)+IF(E101="1122",SUMIFS(销售录入!$I$4:$I$203,销售录入!$B$4:$B$203,B101),0)+IF(E101="1405",SUMIFS(采购录入!$I$4:$I$203,采购录入!$B$4:$B$203,B101),0)+IF(E101="6401",SUMIFS(销售录入!$K$4:$K$203,销售录入!$B$4:$B$203,B101),0)</f>
        <v>0</v>
      </c>
      <c r="H101" s="17">
        <f>SUMIFS(资金流水!$Q$4:$Q$203,资金流水!$P$4:$P$203,E101,资金流水!$B$4:$B$203,B101)+IF(E101="6001",SUMIFS(销售录入!$I$4:$I$203,销售录入!$B$4:$B$203,B101),0)+IF(E101="1405",SUMIFS(销售录入!$K$4:$K$203,销售录入!$B$4:$B$203,B101),0)+IF(E101="2202",SUMIFS(采购录入!$I$4:$I$203,采购录入!$B$4:$B$203,B101),0)</f>
        <v>0</v>
      </c>
    </row>
    <row r="102" spans="1:8">
      <c r="A102" s="5">
        <f t="shared" si="0"/>
        <v>46054</v>
      </c>
      <c r="B102" t="s">
        <v>552</v>
      </c>
      <c r="C102" t="s">
        <v>553</v>
      </c>
      <c r="D102" t="s">
        <v>546</v>
      </c>
      <c r="E102" t="s">
        <v>348</v>
      </c>
      <c r="F102" t="s">
        <v>349</v>
      </c>
      <c r="G102" s="17">
        <f>SUMIFS(资金流水!$Q$4:$Q$203,资金流水!$O$4:$O$203,E102,资金流水!$B$4:$B$203,B102)+IF(E102="1122",SUMIFS(销售录入!$I$4:$I$203,销售录入!$B$4:$B$203,B102),0)+IF(E102="1405",SUMIFS(采购录入!$I$4:$I$203,采购录入!$B$4:$B$203,B102),0)+IF(E102="6401",SUMIFS(销售录入!$K$4:$K$203,销售录入!$B$4:$B$203,B102),0)</f>
        <v>0</v>
      </c>
      <c r="H102" s="17">
        <f>SUMIFS(资金流水!$Q$4:$Q$203,资金流水!$P$4:$P$203,E102,资金流水!$B$4:$B$203,B102)+IF(E102="6001",SUMIFS(销售录入!$I$4:$I$203,销售录入!$B$4:$B$203,B102),0)+IF(E102="1405",SUMIFS(销售录入!$K$4:$K$203,销售录入!$B$4:$B$203,B102),0)+IF(E102="2202",SUMIFS(采购录入!$I$4:$I$203,采购录入!$B$4:$B$203,B102),0)</f>
        <v>0</v>
      </c>
    </row>
    <row r="103" spans="1:8">
      <c r="A103" s="5">
        <f t="shared" si="0"/>
        <v>46054</v>
      </c>
      <c r="B103" t="s">
        <v>552</v>
      </c>
      <c r="C103" t="s">
        <v>553</v>
      </c>
      <c r="D103" t="s">
        <v>547</v>
      </c>
      <c r="E103" t="s">
        <v>99</v>
      </c>
      <c r="F103" t="s">
        <v>112</v>
      </c>
      <c r="G103" s="17">
        <f>SUMIFS(资金流水!$Q$4:$Q$203,资金流水!$O$4:$O$203,E103,资金流水!$B$4:$B$203,B103)+IF(E103="1122",SUMIFS(销售录入!$I$4:$I$203,销售录入!$B$4:$B$203,B103),0)+IF(E103="1405",SUMIFS(采购录入!$I$4:$I$203,采购录入!$B$4:$B$203,B103),0)+IF(E103="6401",SUMIFS(销售录入!$K$4:$K$203,销售录入!$B$4:$B$203,B103),0)</f>
        <v>0</v>
      </c>
      <c r="H103" s="17">
        <f>SUMIFS(资金流水!$Q$4:$Q$203,资金流水!$P$4:$P$203,E103,资金流水!$B$4:$B$203,B103)+IF(E103="6001",SUMIFS(销售录入!$I$4:$I$203,销售录入!$B$4:$B$203,B103),0)+IF(E103="1405",SUMIFS(销售录入!$K$4:$K$203,销售录入!$B$4:$B$203,B103),0)+IF(E103="2202",SUMIFS(采购录入!$I$4:$I$203,采购录入!$B$4:$B$203,B103),0)</f>
        <v>0</v>
      </c>
    </row>
    <row r="104" spans="1:8">
      <c r="A104" s="5">
        <f t="shared" si="0"/>
        <v>46054</v>
      </c>
      <c r="B104" t="s">
        <v>552</v>
      </c>
      <c r="C104" t="s">
        <v>553</v>
      </c>
      <c r="D104" t="s">
        <v>548</v>
      </c>
      <c r="E104" t="s">
        <v>363</v>
      </c>
      <c r="F104" t="s">
        <v>364</v>
      </c>
      <c r="G104" s="17">
        <f>SUMIFS(资金流水!$Q$4:$Q$203,资金流水!$O$4:$O$203,E104,资金流水!$B$4:$B$203,B104)+IF(E104="1122",SUMIFS(销售录入!$I$4:$I$203,销售录入!$B$4:$B$203,B104),0)+IF(E104="1405",SUMIFS(采购录入!$I$4:$I$203,采购录入!$B$4:$B$203,B104),0)+IF(E104="6401",SUMIFS(销售录入!$K$4:$K$203,销售录入!$B$4:$B$203,B104),0)</f>
        <v>0</v>
      </c>
      <c r="H104" s="17">
        <f>SUMIFS(资金流水!$Q$4:$Q$203,资金流水!$P$4:$P$203,E104,资金流水!$B$4:$B$203,B104)+IF(E104="6001",SUMIFS(销售录入!$I$4:$I$203,销售录入!$B$4:$B$203,B104),0)+IF(E104="1405",SUMIFS(销售录入!$K$4:$K$203,销售录入!$B$4:$B$203,B104),0)+IF(E104="2202",SUMIFS(采购录入!$I$4:$I$203,采购录入!$B$4:$B$203,B104),0)</f>
        <v>0</v>
      </c>
    </row>
    <row r="105" spans="1:8">
      <c r="A105" s="5">
        <f t="shared" si="0"/>
        <v>46054</v>
      </c>
      <c r="B105" t="s">
        <v>552</v>
      </c>
      <c r="C105" t="s">
        <v>553</v>
      </c>
      <c r="D105" t="s">
        <v>549</v>
      </c>
      <c r="E105" t="s">
        <v>246</v>
      </c>
      <c r="F105" t="s">
        <v>372</v>
      </c>
      <c r="G105" s="17">
        <f>SUMIFS(资金流水!$Q$4:$Q$203,资金流水!$O$4:$O$203,E105,资金流水!$B$4:$B$203,B105)+IF(E105="1122",SUMIFS(销售录入!$I$4:$I$203,销售录入!$B$4:$B$203,B105),0)+IF(E105="1405",SUMIFS(采购录入!$I$4:$I$203,采购录入!$B$4:$B$203,B105),0)+IF(E105="6401",SUMIFS(销售录入!$K$4:$K$203,销售录入!$B$4:$B$203,B105),0)</f>
        <v>0</v>
      </c>
      <c r="H105" s="17">
        <f>SUMIFS(资金流水!$Q$4:$Q$203,资金流水!$P$4:$P$203,E105,资金流水!$B$4:$B$203,B105)+IF(E105="6001",SUMIFS(销售录入!$I$4:$I$203,销售录入!$B$4:$B$203,B105),0)+IF(E105="1405",SUMIFS(销售录入!$K$4:$K$203,销售录入!$B$4:$B$203,B105),0)+IF(E105="2202",SUMIFS(采购录入!$I$4:$I$203,采购录入!$B$4:$B$203,B105),0)</f>
        <v>0</v>
      </c>
    </row>
    <row r="106" spans="1:8">
      <c r="A106" s="5">
        <f t="shared" si="0"/>
        <v>46054</v>
      </c>
      <c r="B106" t="s">
        <v>552</v>
      </c>
      <c r="C106" t="s">
        <v>553</v>
      </c>
      <c r="D106" t="s">
        <v>550</v>
      </c>
      <c r="E106" t="s">
        <v>223</v>
      </c>
      <c r="F106" t="s">
        <v>374</v>
      </c>
      <c r="G106" s="17">
        <f>SUMIFS(资金流水!$Q$4:$Q$203,资金流水!$O$4:$O$203,E106,资金流水!$B$4:$B$203,B106)+IF(E106="1122",SUMIFS(销售录入!$I$4:$I$203,销售录入!$B$4:$B$203,B106),0)+IF(E106="1405",SUMIFS(采购录入!$I$4:$I$203,采购录入!$B$4:$B$203,B106),0)+IF(E106="6401",SUMIFS(销售录入!$K$4:$K$203,销售录入!$B$4:$B$203,B106),0)</f>
        <v>0</v>
      </c>
      <c r="H106" s="17">
        <f>SUMIFS(资金流水!$Q$4:$Q$203,资金流水!$P$4:$P$203,E106,资金流水!$B$4:$B$203,B106)+IF(E106="6001",SUMIFS(销售录入!$I$4:$I$203,销售录入!$B$4:$B$203,B106),0)+IF(E106="1405",SUMIFS(销售录入!$K$4:$K$203,销售录入!$B$4:$B$203,B106),0)+IF(E106="2202",SUMIFS(采购录入!$I$4:$I$203,采购录入!$B$4:$B$203,B106),0)</f>
        <v>0</v>
      </c>
    </row>
    <row r="107" spans="1:8">
      <c r="A107" s="5">
        <f t="shared" si="0"/>
        <v>46054</v>
      </c>
      <c r="B107" t="s">
        <v>552</v>
      </c>
      <c r="C107" t="s">
        <v>553</v>
      </c>
      <c r="D107" t="s">
        <v>551</v>
      </c>
      <c r="E107" t="s">
        <v>253</v>
      </c>
      <c r="F107" t="s">
        <v>375</v>
      </c>
      <c r="G107" s="17">
        <f>SUMIFS(资金流水!$Q$4:$Q$203,资金流水!$O$4:$O$203,E107,资金流水!$B$4:$B$203,B107)+IF(E107="1122",SUMIFS(销售录入!$I$4:$I$203,销售录入!$B$4:$B$203,B107),0)+IF(E107="1405",SUMIFS(采购录入!$I$4:$I$203,采购录入!$B$4:$B$203,B107),0)+IF(E107="6401",SUMIFS(销售录入!$K$4:$K$203,销售录入!$B$4:$B$203,B107),0)</f>
        <v>0</v>
      </c>
      <c r="H107" s="17">
        <f>SUMIFS(资金流水!$Q$4:$Q$203,资金流水!$P$4:$P$203,E107,资金流水!$B$4:$B$203,B107)+IF(E107="6001",SUMIFS(销售录入!$I$4:$I$203,销售录入!$B$4:$B$203,B107),0)+IF(E107="1405",SUMIFS(销售录入!$K$4:$K$203,销售录入!$B$4:$B$203,B107),0)+IF(E107="2202",SUMIFS(采购录入!$I$4:$I$203,采购录入!$B$4:$B$203,B107),0)</f>
        <v>0</v>
      </c>
    </row>
    <row r="108" spans="1:8">
      <c r="A108" s="5">
        <f t="shared" si="0"/>
        <v>46082</v>
      </c>
      <c r="B108" t="s">
        <v>554</v>
      </c>
      <c r="C108" t="s">
        <v>555</v>
      </c>
      <c r="D108" t="s">
        <v>541</v>
      </c>
      <c r="E108" t="s">
        <v>63</v>
      </c>
      <c r="F108" t="s">
        <v>80</v>
      </c>
      <c r="G108" s="17">
        <f>SUMIFS(资金流水!$Q$4:$Q$203,资金流水!$O$4:$O$203,E108,资金流水!$B$4:$B$203,B108)+IF(E108="1122",SUMIFS(销售录入!$I$4:$I$203,销售录入!$B$4:$B$203,B108),0)+IF(E108="1405",SUMIFS(采购录入!$I$4:$I$203,采购录入!$B$4:$B$203,B108),0)+IF(E108="6401",SUMIFS(销售录入!$K$4:$K$203,销售录入!$B$4:$B$203,B108),0)</f>
        <v>0</v>
      </c>
      <c r="H108" s="17">
        <f>SUMIFS(资金流水!$Q$4:$Q$203,资金流水!$P$4:$P$203,E108,资金流水!$B$4:$B$203,B108)+IF(E108="6001",SUMIFS(销售录入!$I$4:$I$203,销售录入!$B$4:$B$203,B108),0)+IF(E108="1405",SUMIFS(销售录入!$K$4:$K$203,销售录入!$B$4:$B$203,B108),0)+IF(E108="2202",SUMIFS(采购录入!$I$4:$I$203,采购录入!$B$4:$B$203,B108),0)</f>
        <v>0</v>
      </c>
    </row>
    <row r="109" spans="1:8">
      <c r="A109" s="5">
        <f t="shared" si="0"/>
        <v>46082</v>
      </c>
      <c r="B109" t="s">
        <v>554</v>
      </c>
      <c r="C109" t="s">
        <v>555</v>
      </c>
      <c r="D109" t="s">
        <v>542</v>
      </c>
      <c r="E109" t="s">
        <v>78</v>
      </c>
      <c r="F109" t="s">
        <v>100</v>
      </c>
      <c r="G109" s="17">
        <f>SUMIFS(资金流水!$Q$4:$Q$203,资金流水!$O$4:$O$203,E109,资金流水!$B$4:$B$203,B109)+IF(E109="1122",SUMIFS(销售录入!$I$4:$I$203,销售录入!$B$4:$B$203,B109),0)+IF(E109="1405",SUMIFS(采购录入!$I$4:$I$203,采购录入!$B$4:$B$203,B109),0)+IF(E109="6401",SUMIFS(销售录入!$K$4:$K$203,销售录入!$B$4:$B$203,B109),0)</f>
        <v>0</v>
      </c>
      <c r="H109" s="17">
        <f>SUMIFS(资金流水!$Q$4:$Q$203,资金流水!$P$4:$P$203,E109,资金流水!$B$4:$B$203,B109)+IF(E109="6001",SUMIFS(销售录入!$I$4:$I$203,销售录入!$B$4:$B$203,B109),0)+IF(E109="1405",SUMIFS(销售录入!$K$4:$K$203,销售录入!$B$4:$B$203,B109),0)+IF(E109="2202",SUMIFS(采购录入!$I$4:$I$203,采购录入!$B$4:$B$203,B109),0)</f>
        <v>0</v>
      </c>
    </row>
    <row r="110" spans="1:8">
      <c r="A110" s="5">
        <f t="shared" si="0"/>
        <v>46082</v>
      </c>
      <c r="B110" t="s">
        <v>554</v>
      </c>
      <c r="C110" t="s">
        <v>555</v>
      </c>
      <c r="D110" t="s">
        <v>543</v>
      </c>
      <c r="E110" t="s">
        <v>79</v>
      </c>
      <c r="F110" t="s">
        <v>155</v>
      </c>
      <c r="G110" s="17">
        <f>SUMIFS(资金流水!$Q$4:$Q$203,资金流水!$O$4:$O$203,E110,资金流水!$B$4:$B$203,B110)+IF(E110="1122",SUMIFS(销售录入!$I$4:$I$203,销售录入!$B$4:$B$203,B110),0)+IF(E110="1405",SUMIFS(采购录入!$I$4:$I$203,采购录入!$B$4:$B$203,B110),0)+IF(E110="6401",SUMIFS(销售录入!$K$4:$K$203,销售录入!$B$4:$B$203,B110),0)</f>
        <v>0</v>
      </c>
      <c r="H110" s="17">
        <f>SUMIFS(资金流水!$Q$4:$Q$203,资金流水!$P$4:$P$203,E110,资金流水!$B$4:$B$203,B110)+IF(E110="6001",SUMIFS(销售录入!$I$4:$I$203,销售录入!$B$4:$B$203,B110),0)+IF(E110="1405",SUMIFS(销售录入!$K$4:$K$203,销售录入!$B$4:$B$203,B110),0)+IF(E110="2202",SUMIFS(采购录入!$I$4:$I$203,采购录入!$B$4:$B$203,B110),0)</f>
        <v>0</v>
      </c>
    </row>
    <row r="111" spans="1:8">
      <c r="A111" s="5">
        <f t="shared" si="0"/>
        <v>46082</v>
      </c>
      <c r="B111" t="s">
        <v>554</v>
      </c>
      <c r="C111" t="s">
        <v>555</v>
      </c>
      <c r="D111" t="s">
        <v>544</v>
      </c>
      <c r="E111" t="s">
        <v>237</v>
      </c>
      <c r="F111" t="s">
        <v>238</v>
      </c>
      <c r="G111" s="17">
        <f>SUMIFS(资金流水!$Q$4:$Q$203,资金流水!$O$4:$O$203,E111,资金流水!$B$4:$B$203,B111)+IF(E111="1122",SUMIFS(销售录入!$I$4:$I$203,销售录入!$B$4:$B$203,B111),0)+IF(E111="1405",SUMIFS(采购录入!$I$4:$I$203,采购录入!$B$4:$B$203,B111),0)+IF(E111="6401",SUMIFS(销售录入!$K$4:$K$203,销售录入!$B$4:$B$203,B111),0)</f>
        <v>0</v>
      </c>
      <c r="H111" s="17">
        <f>SUMIFS(资金流水!$Q$4:$Q$203,资金流水!$P$4:$P$203,E111,资金流水!$B$4:$B$203,B111)+IF(E111="6001",SUMIFS(销售录入!$I$4:$I$203,销售录入!$B$4:$B$203,B111),0)+IF(E111="1405",SUMIFS(销售录入!$K$4:$K$203,销售录入!$B$4:$B$203,B111),0)+IF(E111="2202",SUMIFS(采购录入!$I$4:$I$203,采购录入!$B$4:$B$203,B111),0)</f>
        <v>0</v>
      </c>
    </row>
    <row r="112" spans="1:8">
      <c r="A112" s="5">
        <f t="shared" si="0"/>
        <v>46082</v>
      </c>
      <c r="B112" t="s">
        <v>554</v>
      </c>
      <c r="C112" t="s">
        <v>555</v>
      </c>
      <c r="D112" t="s">
        <v>545</v>
      </c>
      <c r="E112" t="s">
        <v>218</v>
      </c>
      <c r="F112" t="s">
        <v>295</v>
      </c>
      <c r="G112" s="17">
        <f>SUMIFS(资金流水!$Q$4:$Q$203,资金流水!$O$4:$O$203,E112,资金流水!$B$4:$B$203,B112)+IF(E112="1122",SUMIFS(销售录入!$I$4:$I$203,销售录入!$B$4:$B$203,B112),0)+IF(E112="1405",SUMIFS(采购录入!$I$4:$I$203,采购录入!$B$4:$B$203,B112),0)+IF(E112="6401",SUMIFS(销售录入!$K$4:$K$203,销售录入!$B$4:$B$203,B112),0)</f>
        <v>0</v>
      </c>
      <c r="H112" s="17">
        <f>SUMIFS(资金流水!$Q$4:$Q$203,资金流水!$P$4:$P$203,E112,资金流水!$B$4:$B$203,B112)+IF(E112="6001",SUMIFS(销售录入!$I$4:$I$203,销售录入!$B$4:$B$203,B112),0)+IF(E112="1405",SUMIFS(销售录入!$K$4:$K$203,销售录入!$B$4:$B$203,B112),0)+IF(E112="2202",SUMIFS(采购录入!$I$4:$I$203,采购录入!$B$4:$B$203,B112),0)</f>
        <v>0</v>
      </c>
    </row>
    <row r="113" spans="1:8">
      <c r="A113" s="5">
        <f t="shared" si="0"/>
        <v>46082</v>
      </c>
      <c r="B113" t="s">
        <v>554</v>
      </c>
      <c r="C113" t="s">
        <v>555</v>
      </c>
      <c r="D113" t="s">
        <v>546</v>
      </c>
      <c r="E113" t="s">
        <v>348</v>
      </c>
      <c r="F113" t="s">
        <v>349</v>
      </c>
      <c r="G113" s="17">
        <f>SUMIFS(资金流水!$Q$4:$Q$203,资金流水!$O$4:$O$203,E113,资金流水!$B$4:$B$203,B113)+IF(E113="1122",SUMIFS(销售录入!$I$4:$I$203,销售录入!$B$4:$B$203,B113),0)+IF(E113="1405",SUMIFS(采购录入!$I$4:$I$203,采购录入!$B$4:$B$203,B113),0)+IF(E113="6401",SUMIFS(销售录入!$K$4:$K$203,销售录入!$B$4:$B$203,B113),0)</f>
        <v>0</v>
      </c>
      <c r="H113" s="17">
        <f>SUMIFS(资金流水!$Q$4:$Q$203,资金流水!$P$4:$P$203,E113,资金流水!$B$4:$B$203,B113)+IF(E113="6001",SUMIFS(销售录入!$I$4:$I$203,销售录入!$B$4:$B$203,B113),0)+IF(E113="1405",SUMIFS(销售录入!$K$4:$K$203,销售录入!$B$4:$B$203,B113),0)+IF(E113="2202",SUMIFS(采购录入!$I$4:$I$203,采购录入!$B$4:$B$203,B113),0)</f>
        <v>0</v>
      </c>
    </row>
    <row r="114" spans="1:8">
      <c r="A114" s="5">
        <f t="shared" si="0"/>
        <v>46082</v>
      </c>
      <c r="B114" t="s">
        <v>554</v>
      </c>
      <c r="C114" t="s">
        <v>555</v>
      </c>
      <c r="D114" t="s">
        <v>547</v>
      </c>
      <c r="E114" t="s">
        <v>99</v>
      </c>
      <c r="F114" t="s">
        <v>112</v>
      </c>
      <c r="G114" s="17">
        <f>SUMIFS(资金流水!$Q$4:$Q$203,资金流水!$O$4:$O$203,E114,资金流水!$B$4:$B$203,B114)+IF(E114="1122",SUMIFS(销售录入!$I$4:$I$203,销售录入!$B$4:$B$203,B114),0)+IF(E114="1405",SUMIFS(采购录入!$I$4:$I$203,采购录入!$B$4:$B$203,B114),0)+IF(E114="6401",SUMIFS(销售录入!$K$4:$K$203,销售录入!$B$4:$B$203,B114),0)</f>
        <v>0</v>
      </c>
      <c r="H114" s="17">
        <f>SUMIFS(资金流水!$Q$4:$Q$203,资金流水!$P$4:$P$203,E114,资金流水!$B$4:$B$203,B114)+IF(E114="6001",SUMIFS(销售录入!$I$4:$I$203,销售录入!$B$4:$B$203,B114),0)+IF(E114="1405",SUMIFS(销售录入!$K$4:$K$203,销售录入!$B$4:$B$203,B114),0)+IF(E114="2202",SUMIFS(采购录入!$I$4:$I$203,采购录入!$B$4:$B$203,B114),0)</f>
        <v>0</v>
      </c>
    </row>
    <row r="115" spans="1:8">
      <c r="A115" s="5">
        <f t="shared" si="0"/>
        <v>46082</v>
      </c>
      <c r="B115" t="s">
        <v>554</v>
      </c>
      <c r="C115" t="s">
        <v>555</v>
      </c>
      <c r="D115" t="s">
        <v>548</v>
      </c>
      <c r="E115" t="s">
        <v>363</v>
      </c>
      <c r="F115" t="s">
        <v>364</v>
      </c>
      <c r="G115" s="17">
        <f>SUMIFS(资金流水!$Q$4:$Q$203,资金流水!$O$4:$O$203,E115,资金流水!$B$4:$B$203,B115)+IF(E115="1122",SUMIFS(销售录入!$I$4:$I$203,销售录入!$B$4:$B$203,B115),0)+IF(E115="1405",SUMIFS(采购录入!$I$4:$I$203,采购录入!$B$4:$B$203,B115),0)+IF(E115="6401",SUMIFS(销售录入!$K$4:$K$203,销售录入!$B$4:$B$203,B115),0)</f>
        <v>0</v>
      </c>
      <c r="H115" s="17">
        <f>SUMIFS(资金流水!$Q$4:$Q$203,资金流水!$P$4:$P$203,E115,资金流水!$B$4:$B$203,B115)+IF(E115="6001",SUMIFS(销售录入!$I$4:$I$203,销售录入!$B$4:$B$203,B115),0)+IF(E115="1405",SUMIFS(销售录入!$K$4:$K$203,销售录入!$B$4:$B$203,B115),0)+IF(E115="2202",SUMIFS(采购录入!$I$4:$I$203,采购录入!$B$4:$B$203,B115),0)</f>
        <v>0</v>
      </c>
    </row>
    <row r="116" spans="1:8">
      <c r="A116" s="5">
        <f t="shared" si="0"/>
        <v>46082</v>
      </c>
      <c r="B116" t="s">
        <v>554</v>
      </c>
      <c r="C116" t="s">
        <v>555</v>
      </c>
      <c r="D116" t="s">
        <v>549</v>
      </c>
      <c r="E116" t="s">
        <v>246</v>
      </c>
      <c r="F116" t="s">
        <v>372</v>
      </c>
      <c r="G116" s="17">
        <f>SUMIFS(资金流水!$Q$4:$Q$203,资金流水!$O$4:$O$203,E116,资金流水!$B$4:$B$203,B116)+IF(E116="1122",SUMIFS(销售录入!$I$4:$I$203,销售录入!$B$4:$B$203,B116),0)+IF(E116="1405",SUMIFS(采购录入!$I$4:$I$203,采购录入!$B$4:$B$203,B116),0)+IF(E116="6401",SUMIFS(销售录入!$K$4:$K$203,销售录入!$B$4:$B$203,B116),0)</f>
        <v>0</v>
      </c>
      <c r="H116" s="17">
        <f>SUMIFS(资金流水!$Q$4:$Q$203,资金流水!$P$4:$P$203,E116,资金流水!$B$4:$B$203,B116)+IF(E116="6001",SUMIFS(销售录入!$I$4:$I$203,销售录入!$B$4:$B$203,B116),0)+IF(E116="1405",SUMIFS(销售录入!$K$4:$K$203,销售录入!$B$4:$B$203,B116),0)+IF(E116="2202",SUMIFS(采购录入!$I$4:$I$203,采购录入!$B$4:$B$203,B116),0)</f>
        <v>0</v>
      </c>
    </row>
    <row r="117" spans="1:8">
      <c r="A117" s="5">
        <f t="shared" si="0"/>
        <v>46082</v>
      </c>
      <c r="B117" t="s">
        <v>554</v>
      </c>
      <c r="C117" t="s">
        <v>555</v>
      </c>
      <c r="D117" t="s">
        <v>550</v>
      </c>
      <c r="E117" t="s">
        <v>223</v>
      </c>
      <c r="F117" t="s">
        <v>374</v>
      </c>
      <c r="G117" s="17">
        <f>SUMIFS(资金流水!$Q$4:$Q$203,资金流水!$O$4:$O$203,E117,资金流水!$B$4:$B$203,B117)+IF(E117="1122",SUMIFS(销售录入!$I$4:$I$203,销售录入!$B$4:$B$203,B117),0)+IF(E117="1405",SUMIFS(采购录入!$I$4:$I$203,采购录入!$B$4:$B$203,B117),0)+IF(E117="6401",SUMIFS(销售录入!$K$4:$K$203,销售录入!$B$4:$B$203,B117),0)</f>
        <v>0</v>
      </c>
      <c r="H117" s="17">
        <f>SUMIFS(资金流水!$Q$4:$Q$203,资金流水!$P$4:$P$203,E117,资金流水!$B$4:$B$203,B117)+IF(E117="6001",SUMIFS(销售录入!$I$4:$I$203,销售录入!$B$4:$B$203,B117),0)+IF(E117="1405",SUMIFS(销售录入!$K$4:$K$203,销售录入!$B$4:$B$203,B117),0)+IF(E117="2202",SUMIFS(采购录入!$I$4:$I$203,采购录入!$B$4:$B$203,B117),0)</f>
        <v>0</v>
      </c>
    </row>
    <row r="118" spans="1:8">
      <c r="A118" s="5">
        <f t="shared" si="0"/>
        <v>46082</v>
      </c>
      <c r="B118" t="s">
        <v>554</v>
      </c>
      <c r="C118" t="s">
        <v>555</v>
      </c>
      <c r="D118" t="s">
        <v>551</v>
      </c>
      <c r="E118" t="s">
        <v>253</v>
      </c>
      <c r="F118" t="s">
        <v>375</v>
      </c>
      <c r="G118" s="17">
        <f>SUMIFS(资金流水!$Q$4:$Q$203,资金流水!$O$4:$O$203,E118,资金流水!$B$4:$B$203,B118)+IF(E118="1122",SUMIFS(销售录入!$I$4:$I$203,销售录入!$B$4:$B$203,B118),0)+IF(E118="1405",SUMIFS(采购录入!$I$4:$I$203,采购录入!$B$4:$B$203,B118),0)+IF(E118="6401",SUMIFS(销售录入!$K$4:$K$203,销售录入!$B$4:$B$203,B118),0)</f>
        <v>0</v>
      </c>
      <c r="H118" s="17">
        <f>SUMIFS(资金流水!$Q$4:$Q$203,资金流水!$P$4:$P$203,E118,资金流水!$B$4:$B$203,B118)+IF(E118="6001",SUMIFS(销售录入!$I$4:$I$203,销售录入!$B$4:$B$203,B118),0)+IF(E118="1405",SUMIFS(销售录入!$K$4:$K$203,销售录入!$B$4:$B$203,B118),0)+IF(E118="2202",SUMIFS(采购录入!$I$4:$I$203,采购录入!$B$4:$B$203,B118),0)</f>
        <v>0</v>
      </c>
    </row>
    <row r="119" spans="1:8">
      <c r="A119" s="5">
        <f t="shared" si="0"/>
        <v>46113</v>
      </c>
      <c r="B119" t="s">
        <v>556</v>
      </c>
      <c r="C119" t="s">
        <v>557</v>
      </c>
      <c r="D119" t="s">
        <v>541</v>
      </c>
      <c r="E119" t="s">
        <v>63</v>
      </c>
      <c r="F119" t="s">
        <v>80</v>
      </c>
      <c r="G119" s="17">
        <f>SUMIFS(资金流水!$Q$4:$Q$203,资金流水!$O$4:$O$203,E119,资金流水!$B$4:$B$203,B119)+IF(E119="1122",SUMIFS(销售录入!$I$4:$I$203,销售录入!$B$4:$B$203,B119),0)+IF(E119="1405",SUMIFS(采购录入!$I$4:$I$203,采购录入!$B$4:$B$203,B119),0)+IF(E119="6401",SUMIFS(销售录入!$K$4:$K$203,销售录入!$B$4:$B$203,B119),0)</f>
        <v>0</v>
      </c>
      <c r="H119" s="17">
        <f>SUMIFS(资金流水!$Q$4:$Q$203,资金流水!$P$4:$P$203,E119,资金流水!$B$4:$B$203,B119)+IF(E119="6001",SUMIFS(销售录入!$I$4:$I$203,销售录入!$B$4:$B$203,B119),0)+IF(E119="1405",SUMIFS(销售录入!$K$4:$K$203,销售录入!$B$4:$B$203,B119),0)+IF(E119="2202",SUMIFS(采购录入!$I$4:$I$203,采购录入!$B$4:$B$203,B119),0)</f>
        <v>0</v>
      </c>
    </row>
    <row r="120" spans="1:8">
      <c r="A120" s="5">
        <f t="shared" si="0"/>
        <v>46113</v>
      </c>
      <c r="B120" t="s">
        <v>556</v>
      </c>
      <c r="C120" t="s">
        <v>557</v>
      </c>
      <c r="D120" t="s">
        <v>542</v>
      </c>
      <c r="E120" t="s">
        <v>78</v>
      </c>
      <c r="F120" t="s">
        <v>100</v>
      </c>
      <c r="G120" s="17">
        <f>SUMIFS(资金流水!$Q$4:$Q$203,资金流水!$O$4:$O$203,E120,资金流水!$B$4:$B$203,B120)+IF(E120="1122",SUMIFS(销售录入!$I$4:$I$203,销售录入!$B$4:$B$203,B120),0)+IF(E120="1405",SUMIFS(采购录入!$I$4:$I$203,采购录入!$B$4:$B$203,B120),0)+IF(E120="6401",SUMIFS(销售录入!$K$4:$K$203,销售录入!$B$4:$B$203,B120),0)</f>
        <v>0</v>
      </c>
      <c r="H120" s="17">
        <f>SUMIFS(资金流水!$Q$4:$Q$203,资金流水!$P$4:$P$203,E120,资金流水!$B$4:$B$203,B120)+IF(E120="6001",SUMIFS(销售录入!$I$4:$I$203,销售录入!$B$4:$B$203,B120),0)+IF(E120="1405",SUMIFS(销售录入!$K$4:$K$203,销售录入!$B$4:$B$203,B120),0)+IF(E120="2202",SUMIFS(采购录入!$I$4:$I$203,采购录入!$B$4:$B$203,B120),0)</f>
        <v>0</v>
      </c>
    </row>
    <row r="121" spans="1:8">
      <c r="A121" s="5">
        <f t="shared" si="0"/>
        <v>46113</v>
      </c>
      <c r="B121" t="s">
        <v>556</v>
      </c>
      <c r="C121" t="s">
        <v>557</v>
      </c>
      <c r="D121" t="s">
        <v>543</v>
      </c>
      <c r="E121" t="s">
        <v>79</v>
      </c>
      <c r="F121" t="s">
        <v>155</v>
      </c>
      <c r="G121" s="17">
        <f>SUMIFS(资金流水!$Q$4:$Q$203,资金流水!$O$4:$O$203,E121,资金流水!$B$4:$B$203,B121)+IF(E121="1122",SUMIFS(销售录入!$I$4:$I$203,销售录入!$B$4:$B$203,B121),0)+IF(E121="1405",SUMIFS(采购录入!$I$4:$I$203,采购录入!$B$4:$B$203,B121),0)+IF(E121="6401",SUMIFS(销售录入!$K$4:$K$203,销售录入!$B$4:$B$203,B121),0)</f>
        <v>0</v>
      </c>
      <c r="H121" s="17">
        <f>SUMIFS(资金流水!$Q$4:$Q$203,资金流水!$P$4:$P$203,E121,资金流水!$B$4:$B$203,B121)+IF(E121="6001",SUMIFS(销售录入!$I$4:$I$203,销售录入!$B$4:$B$203,B121),0)+IF(E121="1405",SUMIFS(销售录入!$K$4:$K$203,销售录入!$B$4:$B$203,B121),0)+IF(E121="2202",SUMIFS(采购录入!$I$4:$I$203,采购录入!$B$4:$B$203,B121),0)</f>
        <v>0</v>
      </c>
    </row>
    <row r="122" spans="1:8">
      <c r="A122" s="5">
        <f t="shared" si="0"/>
        <v>46113</v>
      </c>
      <c r="B122" t="s">
        <v>556</v>
      </c>
      <c r="C122" t="s">
        <v>557</v>
      </c>
      <c r="D122" t="s">
        <v>544</v>
      </c>
      <c r="E122" t="s">
        <v>237</v>
      </c>
      <c r="F122" t="s">
        <v>238</v>
      </c>
      <c r="G122" s="17">
        <f>SUMIFS(资金流水!$Q$4:$Q$203,资金流水!$O$4:$O$203,E122,资金流水!$B$4:$B$203,B122)+IF(E122="1122",SUMIFS(销售录入!$I$4:$I$203,销售录入!$B$4:$B$203,B122),0)+IF(E122="1405",SUMIFS(采购录入!$I$4:$I$203,采购录入!$B$4:$B$203,B122),0)+IF(E122="6401",SUMIFS(销售录入!$K$4:$K$203,销售录入!$B$4:$B$203,B122),0)</f>
        <v>0</v>
      </c>
      <c r="H122" s="17">
        <f>SUMIFS(资金流水!$Q$4:$Q$203,资金流水!$P$4:$P$203,E122,资金流水!$B$4:$B$203,B122)+IF(E122="6001",SUMIFS(销售录入!$I$4:$I$203,销售录入!$B$4:$B$203,B122),0)+IF(E122="1405",SUMIFS(销售录入!$K$4:$K$203,销售录入!$B$4:$B$203,B122),0)+IF(E122="2202",SUMIFS(采购录入!$I$4:$I$203,采购录入!$B$4:$B$203,B122),0)</f>
        <v>0</v>
      </c>
    </row>
    <row r="123" spans="1:8">
      <c r="A123" s="5">
        <f t="shared" si="0"/>
        <v>46113</v>
      </c>
      <c r="B123" t="s">
        <v>556</v>
      </c>
      <c r="C123" t="s">
        <v>557</v>
      </c>
      <c r="D123" t="s">
        <v>545</v>
      </c>
      <c r="E123" t="s">
        <v>218</v>
      </c>
      <c r="F123" t="s">
        <v>295</v>
      </c>
      <c r="G123" s="17">
        <f>SUMIFS(资金流水!$Q$4:$Q$203,资金流水!$O$4:$O$203,E123,资金流水!$B$4:$B$203,B123)+IF(E123="1122",SUMIFS(销售录入!$I$4:$I$203,销售录入!$B$4:$B$203,B123),0)+IF(E123="1405",SUMIFS(采购录入!$I$4:$I$203,采购录入!$B$4:$B$203,B123),0)+IF(E123="6401",SUMIFS(销售录入!$K$4:$K$203,销售录入!$B$4:$B$203,B123),0)</f>
        <v>0</v>
      </c>
      <c r="H123" s="17">
        <f>SUMIFS(资金流水!$Q$4:$Q$203,资金流水!$P$4:$P$203,E123,资金流水!$B$4:$B$203,B123)+IF(E123="6001",SUMIFS(销售录入!$I$4:$I$203,销售录入!$B$4:$B$203,B123),0)+IF(E123="1405",SUMIFS(销售录入!$K$4:$K$203,销售录入!$B$4:$B$203,B123),0)+IF(E123="2202",SUMIFS(采购录入!$I$4:$I$203,采购录入!$B$4:$B$203,B123),0)</f>
        <v>0</v>
      </c>
    </row>
    <row r="124" spans="1:8">
      <c r="A124" s="5">
        <f t="shared" si="0"/>
        <v>46113</v>
      </c>
      <c r="B124" t="s">
        <v>556</v>
      </c>
      <c r="C124" t="s">
        <v>557</v>
      </c>
      <c r="D124" t="s">
        <v>546</v>
      </c>
      <c r="E124" t="s">
        <v>348</v>
      </c>
      <c r="F124" t="s">
        <v>349</v>
      </c>
      <c r="G124" s="17">
        <f>SUMIFS(资金流水!$Q$4:$Q$203,资金流水!$O$4:$O$203,E124,资金流水!$B$4:$B$203,B124)+IF(E124="1122",SUMIFS(销售录入!$I$4:$I$203,销售录入!$B$4:$B$203,B124),0)+IF(E124="1405",SUMIFS(采购录入!$I$4:$I$203,采购录入!$B$4:$B$203,B124),0)+IF(E124="6401",SUMIFS(销售录入!$K$4:$K$203,销售录入!$B$4:$B$203,B124),0)</f>
        <v>0</v>
      </c>
      <c r="H124" s="17">
        <f>SUMIFS(资金流水!$Q$4:$Q$203,资金流水!$P$4:$P$203,E124,资金流水!$B$4:$B$203,B124)+IF(E124="6001",SUMIFS(销售录入!$I$4:$I$203,销售录入!$B$4:$B$203,B124),0)+IF(E124="1405",SUMIFS(销售录入!$K$4:$K$203,销售录入!$B$4:$B$203,B124),0)+IF(E124="2202",SUMIFS(采购录入!$I$4:$I$203,采购录入!$B$4:$B$203,B124),0)</f>
        <v>0</v>
      </c>
    </row>
    <row r="125" spans="1:8">
      <c r="A125" s="5">
        <f t="shared" si="0"/>
        <v>46113</v>
      </c>
      <c r="B125" t="s">
        <v>556</v>
      </c>
      <c r="C125" t="s">
        <v>557</v>
      </c>
      <c r="D125" t="s">
        <v>547</v>
      </c>
      <c r="E125" t="s">
        <v>99</v>
      </c>
      <c r="F125" t="s">
        <v>112</v>
      </c>
      <c r="G125" s="17">
        <f>SUMIFS(资金流水!$Q$4:$Q$203,资金流水!$O$4:$O$203,E125,资金流水!$B$4:$B$203,B125)+IF(E125="1122",SUMIFS(销售录入!$I$4:$I$203,销售录入!$B$4:$B$203,B125),0)+IF(E125="1405",SUMIFS(采购录入!$I$4:$I$203,采购录入!$B$4:$B$203,B125),0)+IF(E125="6401",SUMIFS(销售录入!$K$4:$K$203,销售录入!$B$4:$B$203,B125),0)</f>
        <v>0</v>
      </c>
      <c r="H125" s="17">
        <f>SUMIFS(资金流水!$Q$4:$Q$203,资金流水!$P$4:$P$203,E125,资金流水!$B$4:$B$203,B125)+IF(E125="6001",SUMIFS(销售录入!$I$4:$I$203,销售录入!$B$4:$B$203,B125),0)+IF(E125="1405",SUMIFS(销售录入!$K$4:$K$203,销售录入!$B$4:$B$203,B125),0)+IF(E125="2202",SUMIFS(采购录入!$I$4:$I$203,采购录入!$B$4:$B$203,B125),0)</f>
        <v>0</v>
      </c>
    </row>
    <row r="126" spans="1:8">
      <c r="A126" s="5">
        <f t="shared" si="0"/>
        <v>46113</v>
      </c>
      <c r="B126" t="s">
        <v>556</v>
      </c>
      <c r="C126" t="s">
        <v>557</v>
      </c>
      <c r="D126" t="s">
        <v>548</v>
      </c>
      <c r="E126" t="s">
        <v>363</v>
      </c>
      <c r="F126" t="s">
        <v>364</v>
      </c>
      <c r="G126" s="17">
        <f>SUMIFS(资金流水!$Q$4:$Q$203,资金流水!$O$4:$O$203,E126,资金流水!$B$4:$B$203,B126)+IF(E126="1122",SUMIFS(销售录入!$I$4:$I$203,销售录入!$B$4:$B$203,B126),0)+IF(E126="1405",SUMIFS(采购录入!$I$4:$I$203,采购录入!$B$4:$B$203,B126),0)+IF(E126="6401",SUMIFS(销售录入!$K$4:$K$203,销售录入!$B$4:$B$203,B126),0)</f>
        <v>0</v>
      </c>
      <c r="H126" s="17">
        <f>SUMIFS(资金流水!$Q$4:$Q$203,资金流水!$P$4:$P$203,E126,资金流水!$B$4:$B$203,B126)+IF(E126="6001",SUMIFS(销售录入!$I$4:$I$203,销售录入!$B$4:$B$203,B126),0)+IF(E126="1405",SUMIFS(销售录入!$K$4:$K$203,销售录入!$B$4:$B$203,B126),0)+IF(E126="2202",SUMIFS(采购录入!$I$4:$I$203,采购录入!$B$4:$B$203,B126),0)</f>
        <v>0</v>
      </c>
    </row>
    <row r="127" spans="1:8">
      <c r="A127" s="5">
        <f t="shared" si="0"/>
        <v>46113</v>
      </c>
      <c r="B127" t="s">
        <v>556</v>
      </c>
      <c r="C127" t="s">
        <v>557</v>
      </c>
      <c r="D127" t="s">
        <v>549</v>
      </c>
      <c r="E127" t="s">
        <v>246</v>
      </c>
      <c r="F127" t="s">
        <v>372</v>
      </c>
      <c r="G127" s="17">
        <f>SUMIFS(资金流水!$Q$4:$Q$203,资金流水!$O$4:$O$203,E127,资金流水!$B$4:$B$203,B127)+IF(E127="1122",SUMIFS(销售录入!$I$4:$I$203,销售录入!$B$4:$B$203,B127),0)+IF(E127="1405",SUMIFS(采购录入!$I$4:$I$203,采购录入!$B$4:$B$203,B127),0)+IF(E127="6401",SUMIFS(销售录入!$K$4:$K$203,销售录入!$B$4:$B$203,B127),0)</f>
        <v>0</v>
      </c>
      <c r="H127" s="17">
        <f>SUMIFS(资金流水!$Q$4:$Q$203,资金流水!$P$4:$P$203,E127,资金流水!$B$4:$B$203,B127)+IF(E127="6001",SUMIFS(销售录入!$I$4:$I$203,销售录入!$B$4:$B$203,B127),0)+IF(E127="1405",SUMIFS(销售录入!$K$4:$K$203,销售录入!$B$4:$B$203,B127),0)+IF(E127="2202",SUMIFS(采购录入!$I$4:$I$203,采购录入!$B$4:$B$203,B127),0)</f>
        <v>0</v>
      </c>
    </row>
    <row r="128" spans="1:8">
      <c r="A128" s="5">
        <f t="shared" si="0"/>
        <v>46113</v>
      </c>
      <c r="B128" t="s">
        <v>556</v>
      </c>
      <c r="C128" t="s">
        <v>557</v>
      </c>
      <c r="D128" t="s">
        <v>550</v>
      </c>
      <c r="E128" t="s">
        <v>223</v>
      </c>
      <c r="F128" t="s">
        <v>374</v>
      </c>
      <c r="G128" s="17">
        <f>SUMIFS(资金流水!$Q$4:$Q$203,资金流水!$O$4:$O$203,E128,资金流水!$B$4:$B$203,B128)+IF(E128="1122",SUMIFS(销售录入!$I$4:$I$203,销售录入!$B$4:$B$203,B128),0)+IF(E128="1405",SUMIFS(采购录入!$I$4:$I$203,采购录入!$B$4:$B$203,B128),0)+IF(E128="6401",SUMIFS(销售录入!$K$4:$K$203,销售录入!$B$4:$B$203,B128),0)</f>
        <v>0</v>
      </c>
      <c r="H128" s="17">
        <f>SUMIFS(资金流水!$Q$4:$Q$203,资金流水!$P$4:$P$203,E128,资金流水!$B$4:$B$203,B128)+IF(E128="6001",SUMIFS(销售录入!$I$4:$I$203,销售录入!$B$4:$B$203,B128),0)+IF(E128="1405",SUMIFS(销售录入!$K$4:$K$203,销售录入!$B$4:$B$203,B128),0)+IF(E128="2202",SUMIFS(采购录入!$I$4:$I$203,采购录入!$B$4:$B$203,B128),0)</f>
        <v>0</v>
      </c>
    </row>
    <row r="129" spans="1:8">
      <c r="A129" s="5">
        <f t="shared" si="0"/>
        <v>46113</v>
      </c>
      <c r="B129" t="s">
        <v>556</v>
      </c>
      <c r="C129" t="s">
        <v>557</v>
      </c>
      <c r="D129" t="s">
        <v>551</v>
      </c>
      <c r="E129" t="s">
        <v>253</v>
      </c>
      <c r="F129" t="s">
        <v>375</v>
      </c>
      <c r="G129" s="17">
        <f>SUMIFS(资金流水!$Q$4:$Q$203,资金流水!$O$4:$O$203,E129,资金流水!$B$4:$B$203,B129)+IF(E129="1122",SUMIFS(销售录入!$I$4:$I$203,销售录入!$B$4:$B$203,B129),0)+IF(E129="1405",SUMIFS(采购录入!$I$4:$I$203,采购录入!$B$4:$B$203,B129),0)+IF(E129="6401",SUMIFS(销售录入!$K$4:$K$203,销售录入!$B$4:$B$203,B129),0)</f>
        <v>0</v>
      </c>
      <c r="H129" s="17">
        <f>SUMIFS(资金流水!$Q$4:$Q$203,资金流水!$P$4:$P$203,E129,资金流水!$B$4:$B$203,B129)+IF(E129="6001",SUMIFS(销售录入!$I$4:$I$203,销售录入!$B$4:$B$203,B129),0)+IF(E129="1405",SUMIFS(销售录入!$K$4:$K$203,销售录入!$B$4:$B$203,B129),0)+IF(E129="2202",SUMIFS(采购录入!$I$4:$I$203,采购录入!$B$4:$B$203,B129),0)</f>
        <v>0</v>
      </c>
    </row>
    <row r="130" spans="1:8">
      <c r="A130" s="5">
        <f t="shared" si="0"/>
        <v>46143</v>
      </c>
      <c r="B130" t="s">
        <v>558</v>
      </c>
      <c r="C130" t="s">
        <v>559</v>
      </c>
      <c r="D130" t="s">
        <v>541</v>
      </c>
      <c r="E130" t="s">
        <v>63</v>
      </c>
      <c r="F130" t="s">
        <v>80</v>
      </c>
      <c r="G130" s="17">
        <f>SUMIFS(资金流水!$Q$4:$Q$203,资金流水!$O$4:$O$203,E130,资金流水!$B$4:$B$203,B130)+IF(E130="1122",SUMIFS(销售录入!$I$4:$I$203,销售录入!$B$4:$B$203,B130),0)+IF(E130="1405",SUMIFS(采购录入!$I$4:$I$203,采购录入!$B$4:$B$203,B130),0)+IF(E130="6401",SUMIFS(销售录入!$K$4:$K$203,销售录入!$B$4:$B$203,B130),0)</f>
        <v>0</v>
      </c>
      <c r="H130" s="17">
        <f>SUMIFS(资金流水!$Q$4:$Q$203,资金流水!$P$4:$P$203,E130,资金流水!$B$4:$B$203,B130)+IF(E130="6001",SUMIFS(销售录入!$I$4:$I$203,销售录入!$B$4:$B$203,B130),0)+IF(E130="1405",SUMIFS(销售录入!$K$4:$K$203,销售录入!$B$4:$B$203,B130),0)+IF(E130="2202",SUMIFS(采购录入!$I$4:$I$203,采购录入!$B$4:$B$203,B130),0)</f>
        <v>0</v>
      </c>
    </row>
    <row r="131" spans="1:8">
      <c r="A131" s="5">
        <f t="shared" si="0"/>
        <v>46143</v>
      </c>
      <c r="B131" t="s">
        <v>558</v>
      </c>
      <c r="C131" t="s">
        <v>559</v>
      </c>
      <c r="D131" t="s">
        <v>542</v>
      </c>
      <c r="E131" t="s">
        <v>78</v>
      </c>
      <c r="F131" t="s">
        <v>100</v>
      </c>
      <c r="G131" s="17">
        <f>SUMIFS(资金流水!$Q$4:$Q$203,资金流水!$O$4:$O$203,E131,资金流水!$B$4:$B$203,B131)+IF(E131="1122",SUMIFS(销售录入!$I$4:$I$203,销售录入!$B$4:$B$203,B131),0)+IF(E131="1405",SUMIFS(采购录入!$I$4:$I$203,采购录入!$B$4:$B$203,B131),0)+IF(E131="6401",SUMIFS(销售录入!$K$4:$K$203,销售录入!$B$4:$B$203,B131),0)</f>
        <v>0</v>
      </c>
      <c r="H131" s="17">
        <f>SUMIFS(资金流水!$Q$4:$Q$203,资金流水!$P$4:$P$203,E131,资金流水!$B$4:$B$203,B131)+IF(E131="6001",SUMIFS(销售录入!$I$4:$I$203,销售录入!$B$4:$B$203,B131),0)+IF(E131="1405",SUMIFS(销售录入!$K$4:$K$203,销售录入!$B$4:$B$203,B131),0)+IF(E131="2202",SUMIFS(采购录入!$I$4:$I$203,采购录入!$B$4:$B$203,B131),0)</f>
        <v>0</v>
      </c>
    </row>
    <row r="132" spans="1:8">
      <c r="A132" s="5">
        <f t="shared" si="0"/>
        <v>46143</v>
      </c>
      <c r="B132" t="s">
        <v>558</v>
      </c>
      <c r="C132" t="s">
        <v>559</v>
      </c>
      <c r="D132" t="s">
        <v>543</v>
      </c>
      <c r="E132" t="s">
        <v>79</v>
      </c>
      <c r="F132" t="s">
        <v>155</v>
      </c>
      <c r="G132" s="17">
        <f>SUMIFS(资金流水!$Q$4:$Q$203,资金流水!$O$4:$O$203,E132,资金流水!$B$4:$B$203,B132)+IF(E132="1122",SUMIFS(销售录入!$I$4:$I$203,销售录入!$B$4:$B$203,B132),0)+IF(E132="1405",SUMIFS(采购录入!$I$4:$I$203,采购录入!$B$4:$B$203,B132),0)+IF(E132="6401",SUMIFS(销售录入!$K$4:$K$203,销售录入!$B$4:$B$203,B132),0)</f>
        <v>0</v>
      </c>
      <c r="H132" s="17">
        <f>SUMIFS(资金流水!$Q$4:$Q$203,资金流水!$P$4:$P$203,E132,资金流水!$B$4:$B$203,B132)+IF(E132="6001",SUMIFS(销售录入!$I$4:$I$203,销售录入!$B$4:$B$203,B132),0)+IF(E132="1405",SUMIFS(销售录入!$K$4:$K$203,销售录入!$B$4:$B$203,B132),0)+IF(E132="2202",SUMIFS(采购录入!$I$4:$I$203,采购录入!$B$4:$B$203,B132),0)</f>
        <v>0</v>
      </c>
    </row>
    <row r="133" spans="1:8">
      <c r="A133" s="5">
        <f t="shared" si="0"/>
        <v>46143</v>
      </c>
      <c r="B133" t="s">
        <v>558</v>
      </c>
      <c r="C133" t="s">
        <v>559</v>
      </c>
      <c r="D133" t="s">
        <v>544</v>
      </c>
      <c r="E133" t="s">
        <v>237</v>
      </c>
      <c r="F133" t="s">
        <v>238</v>
      </c>
      <c r="G133" s="17">
        <f>SUMIFS(资金流水!$Q$4:$Q$203,资金流水!$O$4:$O$203,E133,资金流水!$B$4:$B$203,B133)+IF(E133="1122",SUMIFS(销售录入!$I$4:$I$203,销售录入!$B$4:$B$203,B133),0)+IF(E133="1405",SUMIFS(采购录入!$I$4:$I$203,采购录入!$B$4:$B$203,B133),0)+IF(E133="6401",SUMIFS(销售录入!$K$4:$K$203,销售录入!$B$4:$B$203,B133),0)</f>
        <v>0</v>
      </c>
      <c r="H133" s="17">
        <f>SUMIFS(资金流水!$Q$4:$Q$203,资金流水!$P$4:$P$203,E133,资金流水!$B$4:$B$203,B133)+IF(E133="6001",SUMIFS(销售录入!$I$4:$I$203,销售录入!$B$4:$B$203,B133),0)+IF(E133="1405",SUMIFS(销售录入!$K$4:$K$203,销售录入!$B$4:$B$203,B133),0)+IF(E133="2202",SUMIFS(采购录入!$I$4:$I$203,采购录入!$B$4:$B$203,B133),0)</f>
        <v>0</v>
      </c>
    </row>
    <row r="134" spans="1:8">
      <c r="A134" s="5">
        <f t="shared" si="0"/>
        <v>46143</v>
      </c>
      <c r="B134" t="s">
        <v>558</v>
      </c>
      <c r="C134" t="s">
        <v>559</v>
      </c>
      <c r="D134" t="s">
        <v>545</v>
      </c>
      <c r="E134" t="s">
        <v>218</v>
      </c>
      <c r="F134" t="s">
        <v>295</v>
      </c>
      <c r="G134" s="17">
        <f>SUMIFS(资金流水!$Q$4:$Q$203,资金流水!$O$4:$O$203,E134,资金流水!$B$4:$B$203,B134)+IF(E134="1122",SUMIFS(销售录入!$I$4:$I$203,销售录入!$B$4:$B$203,B134),0)+IF(E134="1405",SUMIFS(采购录入!$I$4:$I$203,采购录入!$B$4:$B$203,B134),0)+IF(E134="6401",SUMIFS(销售录入!$K$4:$K$203,销售录入!$B$4:$B$203,B134),0)</f>
        <v>0</v>
      </c>
      <c r="H134" s="17">
        <f>SUMIFS(资金流水!$Q$4:$Q$203,资金流水!$P$4:$P$203,E134,资金流水!$B$4:$B$203,B134)+IF(E134="6001",SUMIFS(销售录入!$I$4:$I$203,销售录入!$B$4:$B$203,B134),0)+IF(E134="1405",SUMIFS(销售录入!$K$4:$K$203,销售录入!$B$4:$B$203,B134),0)+IF(E134="2202",SUMIFS(采购录入!$I$4:$I$203,采购录入!$B$4:$B$203,B134),0)</f>
        <v>0</v>
      </c>
    </row>
    <row r="135" spans="1:8">
      <c r="A135" s="5">
        <f t="shared" si="0"/>
        <v>46143</v>
      </c>
      <c r="B135" t="s">
        <v>558</v>
      </c>
      <c r="C135" t="s">
        <v>559</v>
      </c>
      <c r="D135" t="s">
        <v>546</v>
      </c>
      <c r="E135" t="s">
        <v>348</v>
      </c>
      <c r="F135" t="s">
        <v>349</v>
      </c>
      <c r="G135" s="17">
        <f>SUMIFS(资金流水!$Q$4:$Q$203,资金流水!$O$4:$O$203,E135,资金流水!$B$4:$B$203,B135)+IF(E135="1122",SUMIFS(销售录入!$I$4:$I$203,销售录入!$B$4:$B$203,B135),0)+IF(E135="1405",SUMIFS(采购录入!$I$4:$I$203,采购录入!$B$4:$B$203,B135),0)+IF(E135="6401",SUMIFS(销售录入!$K$4:$K$203,销售录入!$B$4:$B$203,B135),0)</f>
        <v>0</v>
      </c>
      <c r="H135" s="17">
        <f>SUMIFS(资金流水!$Q$4:$Q$203,资金流水!$P$4:$P$203,E135,资金流水!$B$4:$B$203,B135)+IF(E135="6001",SUMIFS(销售录入!$I$4:$I$203,销售录入!$B$4:$B$203,B135),0)+IF(E135="1405",SUMIFS(销售录入!$K$4:$K$203,销售录入!$B$4:$B$203,B135),0)+IF(E135="2202",SUMIFS(采购录入!$I$4:$I$203,采购录入!$B$4:$B$203,B135),0)</f>
        <v>0</v>
      </c>
    </row>
    <row r="136" spans="1:8">
      <c r="A136" s="5">
        <f t="shared" si="0"/>
        <v>46143</v>
      </c>
      <c r="B136" t="s">
        <v>558</v>
      </c>
      <c r="C136" t="s">
        <v>559</v>
      </c>
      <c r="D136" t="s">
        <v>547</v>
      </c>
      <c r="E136" t="s">
        <v>99</v>
      </c>
      <c r="F136" t="s">
        <v>112</v>
      </c>
      <c r="G136" s="17">
        <f>SUMIFS(资金流水!$Q$4:$Q$203,资金流水!$O$4:$O$203,E136,资金流水!$B$4:$B$203,B136)+IF(E136="1122",SUMIFS(销售录入!$I$4:$I$203,销售录入!$B$4:$B$203,B136),0)+IF(E136="1405",SUMIFS(采购录入!$I$4:$I$203,采购录入!$B$4:$B$203,B136),0)+IF(E136="6401",SUMIFS(销售录入!$K$4:$K$203,销售录入!$B$4:$B$203,B136),0)</f>
        <v>0</v>
      </c>
      <c r="H136" s="17">
        <f>SUMIFS(资金流水!$Q$4:$Q$203,资金流水!$P$4:$P$203,E136,资金流水!$B$4:$B$203,B136)+IF(E136="6001",SUMIFS(销售录入!$I$4:$I$203,销售录入!$B$4:$B$203,B136),0)+IF(E136="1405",SUMIFS(销售录入!$K$4:$K$203,销售录入!$B$4:$B$203,B136),0)+IF(E136="2202",SUMIFS(采购录入!$I$4:$I$203,采购录入!$B$4:$B$203,B136),0)</f>
        <v>0</v>
      </c>
    </row>
    <row r="137" spans="1:8">
      <c r="A137" s="5">
        <f t="shared" si="0"/>
        <v>46143</v>
      </c>
      <c r="B137" t="s">
        <v>558</v>
      </c>
      <c r="C137" t="s">
        <v>559</v>
      </c>
      <c r="D137" t="s">
        <v>548</v>
      </c>
      <c r="E137" t="s">
        <v>363</v>
      </c>
      <c r="F137" t="s">
        <v>364</v>
      </c>
      <c r="G137" s="17">
        <f>SUMIFS(资金流水!$Q$4:$Q$203,资金流水!$O$4:$O$203,E137,资金流水!$B$4:$B$203,B137)+IF(E137="1122",SUMIFS(销售录入!$I$4:$I$203,销售录入!$B$4:$B$203,B137),0)+IF(E137="1405",SUMIFS(采购录入!$I$4:$I$203,采购录入!$B$4:$B$203,B137),0)+IF(E137="6401",SUMIFS(销售录入!$K$4:$K$203,销售录入!$B$4:$B$203,B137),0)</f>
        <v>0</v>
      </c>
      <c r="H137" s="17">
        <f>SUMIFS(资金流水!$Q$4:$Q$203,资金流水!$P$4:$P$203,E137,资金流水!$B$4:$B$203,B137)+IF(E137="6001",SUMIFS(销售录入!$I$4:$I$203,销售录入!$B$4:$B$203,B137),0)+IF(E137="1405",SUMIFS(销售录入!$K$4:$K$203,销售录入!$B$4:$B$203,B137),0)+IF(E137="2202",SUMIFS(采购录入!$I$4:$I$203,采购录入!$B$4:$B$203,B137),0)</f>
        <v>0</v>
      </c>
    </row>
    <row r="138" spans="1:8">
      <c r="A138" s="5">
        <f t="shared" si="0"/>
        <v>46143</v>
      </c>
      <c r="B138" t="s">
        <v>558</v>
      </c>
      <c r="C138" t="s">
        <v>559</v>
      </c>
      <c r="D138" t="s">
        <v>549</v>
      </c>
      <c r="E138" t="s">
        <v>246</v>
      </c>
      <c r="F138" t="s">
        <v>372</v>
      </c>
      <c r="G138" s="17">
        <f>SUMIFS(资金流水!$Q$4:$Q$203,资金流水!$O$4:$O$203,E138,资金流水!$B$4:$B$203,B138)+IF(E138="1122",SUMIFS(销售录入!$I$4:$I$203,销售录入!$B$4:$B$203,B138),0)+IF(E138="1405",SUMIFS(采购录入!$I$4:$I$203,采购录入!$B$4:$B$203,B138),0)+IF(E138="6401",SUMIFS(销售录入!$K$4:$K$203,销售录入!$B$4:$B$203,B138),0)</f>
        <v>0</v>
      </c>
      <c r="H138" s="17">
        <f>SUMIFS(资金流水!$Q$4:$Q$203,资金流水!$P$4:$P$203,E138,资金流水!$B$4:$B$203,B138)+IF(E138="6001",SUMIFS(销售录入!$I$4:$I$203,销售录入!$B$4:$B$203,B138),0)+IF(E138="1405",SUMIFS(销售录入!$K$4:$K$203,销售录入!$B$4:$B$203,B138),0)+IF(E138="2202",SUMIFS(采购录入!$I$4:$I$203,采购录入!$B$4:$B$203,B138),0)</f>
        <v>0</v>
      </c>
    </row>
    <row r="139" spans="1:8">
      <c r="A139" s="5">
        <f t="shared" si="0"/>
        <v>46143</v>
      </c>
      <c r="B139" t="s">
        <v>558</v>
      </c>
      <c r="C139" t="s">
        <v>559</v>
      </c>
      <c r="D139" t="s">
        <v>550</v>
      </c>
      <c r="E139" t="s">
        <v>223</v>
      </c>
      <c r="F139" t="s">
        <v>374</v>
      </c>
      <c r="G139" s="17">
        <f>SUMIFS(资金流水!$Q$4:$Q$203,资金流水!$O$4:$O$203,E139,资金流水!$B$4:$B$203,B139)+IF(E139="1122",SUMIFS(销售录入!$I$4:$I$203,销售录入!$B$4:$B$203,B139),0)+IF(E139="1405",SUMIFS(采购录入!$I$4:$I$203,采购录入!$B$4:$B$203,B139),0)+IF(E139="6401",SUMIFS(销售录入!$K$4:$K$203,销售录入!$B$4:$B$203,B139),0)</f>
        <v>0</v>
      </c>
      <c r="H139" s="17">
        <f>SUMIFS(资金流水!$Q$4:$Q$203,资金流水!$P$4:$P$203,E139,资金流水!$B$4:$B$203,B139)+IF(E139="6001",SUMIFS(销售录入!$I$4:$I$203,销售录入!$B$4:$B$203,B139),0)+IF(E139="1405",SUMIFS(销售录入!$K$4:$K$203,销售录入!$B$4:$B$203,B139),0)+IF(E139="2202",SUMIFS(采购录入!$I$4:$I$203,采购录入!$B$4:$B$203,B139),0)</f>
        <v>0</v>
      </c>
    </row>
    <row r="140" spans="1:8">
      <c r="A140" s="5">
        <f t="shared" si="0"/>
        <v>46143</v>
      </c>
      <c r="B140" t="s">
        <v>558</v>
      </c>
      <c r="C140" t="s">
        <v>559</v>
      </c>
      <c r="D140" t="s">
        <v>551</v>
      </c>
      <c r="E140" t="s">
        <v>253</v>
      </c>
      <c r="F140" t="s">
        <v>375</v>
      </c>
      <c r="G140" s="17">
        <f>SUMIFS(资金流水!$Q$4:$Q$203,资金流水!$O$4:$O$203,E140,资金流水!$B$4:$B$203,B140)+IF(E140="1122",SUMIFS(销售录入!$I$4:$I$203,销售录入!$B$4:$B$203,B140),0)+IF(E140="1405",SUMIFS(采购录入!$I$4:$I$203,采购录入!$B$4:$B$203,B140),0)+IF(E140="6401",SUMIFS(销售录入!$K$4:$K$203,销售录入!$B$4:$B$203,B140),0)</f>
        <v>0</v>
      </c>
      <c r="H140" s="17">
        <f>SUMIFS(资金流水!$Q$4:$Q$203,资金流水!$P$4:$P$203,E140,资金流水!$B$4:$B$203,B140)+IF(E140="6001",SUMIFS(销售录入!$I$4:$I$203,销售录入!$B$4:$B$203,B140),0)+IF(E140="1405",SUMIFS(销售录入!$K$4:$K$203,销售录入!$B$4:$B$203,B140),0)+IF(E140="2202",SUMIFS(采购录入!$I$4:$I$203,采购录入!$B$4:$B$203,B140),0)</f>
        <v>0</v>
      </c>
    </row>
    <row r="141" spans="1:8">
      <c r="A141" s="5">
        <f t="shared" si="0"/>
        <v>46174</v>
      </c>
      <c r="B141" t="s">
        <v>560</v>
      </c>
      <c r="C141" t="s">
        <v>561</v>
      </c>
      <c r="D141" t="s">
        <v>541</v>
      </c>
      <c r="E141" t="s">
        <v>63</v>
      </c>
      <c r="F141" t="s">
        <v>80</v>
      </c>
      <c r="G141" s="17">
        <f>SUMIFS(资金流水!$Q$4:$Q$203,资金流水!$O$4:$O$203,E141,资金流水!$B$4:$B$203,B141)+IF(E141="1122",SUMIFS(销售录入!$I$4:$I$203,销售录入!$B$4:$B$203,B141),0)+IF(E141="1405",SUMIFS(采购录入!$I$4:$I$203,采购录入!$B$4:$B$203,B141),0)+IF(E141="6401",SUMIFS(销售录入!$K$4:$K$203,销售录入!$B$4:$B$203,B141),0)</f>
        <v>0</v>
      </c>
      <c r="H141" s="17">
        <f>SUMIFS(资金流水!$Q$4:$Q$203,资金流水!$P$4:$P$203,E141,资金流水!$B$4:$B$203,B141)+IF(E141="6001",SUMIFS(销售录入!$I$4:$I$203,销售录入!$B$4:$B$203,B141),0)+IF(E141="1405",SUMIFS(销售录入!$K$4:$K$203,销售录入!$B$4:$B$203,B141),0)+IF(E141="2202",SUMIFS(采购录入!$I$4:$I$203,采购录入!$B$4:$B$203,B141),0)</f>
        <v>0</v>
      </c>
    </row>
    <row r="142" spans="1:8">
      <c r="A142" s="5">
        <f t="shared" si="0"/>
        <v>46174</v>
      </c>
      <c r="B142" t="s">
        <v>560</v>
      </c>
      <c r="C142" t="s">
        <v>561</v>
      </c>
      <c r="D142" t="s">
        <v>542</v>
      </c>
      <c r="E142" t="s">
        <v>78</v>
      </c>
      <c r="F142" t="s">
        <v>100</v>
      </c>
      <c r="G142" s="17">
        <f>SUMIFS(资金流水!$Q$4:$Q$203,资金流水!$O$4:$O$203,E142,资金流水!$B$4:$B$203,B142)+IF(E142="1122",SUMIFS(销售录入!$I$4:$I$203,销售录入!$B$4:$B$203,B142),0)+IF(E142="1405",SUMIFS(采购录入!$I$4:$I$203,采购录入!$B$4:$B$203,B142),0)+IF(E142="6401",SUMIFS(销售录入!$K$4:$K$203,销售录入!$B$4:$B$203,B142),0)</f>
        <v>43200</v>
      </c>
      <c r="H142" s="17">
        <f>SUMIFS(资金流水!$Q$4:$Q$203,资金流水!$P$4:$P$203,E142,资金流水!$B$4:$B$203,B142)+IF(E142="6001",SUMIFS(销售录入!$I$4:$I$203,销售录入!$B$4:$B$203,B142),0)+IF(E142="1405",SUMIFS(销售录入!$K$4:$K$203,销售录入!$B$4:$B$203,B142),0)+IF(E142="2202",SUMIFS(采购录入!$I$4:$I$203,采购录入!$B$4:$B$203,B142),0)</f>
        <v>54600</v>
      </c>
    </row>
    <row r="143" spans="1:8">
      <c r="A143" s="5">
        <f t="shared" si="0"/>
        <v>46174</v>
      </c>
      <c r="B143" t="s">
        <v>560</v>
      </c>
      <c r="C143" t="s">
        <v>561</v>
      </c>
      <c r="D143" t="s">
        <v>543</v>
      </c>
      <c r="E143" t="s">
        <v>79</v>
      </c>
      <c r="F143" t="s">
        <v>155</v>
      </c>
      <c r="G143" s="17">
        <f>SUMIFS(资金流水!$Q$4:$Q$203,资金流水!$O$4:$O$203,E143,资金流水!$B$4:$B$203,B143)+IF(E143="1122",SUMIFS(销售录入!$I$4:$I$203,销售录入!$B$4:$B$203,B143),0)+IF(E143="1405",SUMIFS(采购录入!$I$4:$I$203,采购录入!$B$4:$B$203,B143),0)+IF(E143="6401",SUMIFS(销售录入!$K$4:$K$203,销售录入!$B$4:$B$203,B143),0)</f>
        <v>26080</v>
      </c>
      <c r="H143" s="17">
        <f>SUMIFS(资金流水!$Q$4:$Q$203,资金流水!$P$4:$P$203,E143,资金流水!$B$4:$B$203,B143)+IF(E143="6001",SUMIFS(销售录入!$I$4:$I$203,销售录入!$B$4:$B$203,B143),0)+IF(E143="1405",SUMIFS(销售录入!$K$4:$K$203,销售录入!$B$4:$B$203,B143),0)+IF(E143="2202",SUMIFS(采购录入!$I$4:$I$203,采购录入!$B$4:$B$203,B143),0)</f>
        <v>20000</v>
      </c>
    </row>
    <row r="144" spans="1:8">
      <c r="A144" s="5">
        <f t="shared" si="0"/>
        <v>46174</v>
      </c>
      <c r="B144" t="s">
        <v>560</v>
      </c>
      <c r="C144" t="s">
        <v>561</v>
      </c>
      <c r="D144" t="s">
        <v>544</v>
      </c>
      <c r="E144" t="s">
        <v>237</v>
      </c>
      <c r="F144" t="s">
        <v>238</v>
      </c>
      <c r="G144" s="17">
        <f>SUMIFS(资金流水!$Q$4:$Q$203,资金流水!$O$4:$O$203,E144,资金流水!$B$4:$B$203,B144)+IF(E144="1122",SUMIFS(销售录入!$I$4:$I$203,销售录入!$B$4:$B$203,B144),0)+IF(E144="1405",SUMIFS(采购录入!$I$4:$I$203,采购录入!$B$4:$B$203,B144),0)+IF(E144="6401",SUMIFS(销售录入!$K$4:$K$203,销售录入!$B$4:$B$203,B144),0)</f>
        <v>20300</v>
      </c>
      <c r="H144" s="17">
        <f>SUMIFS(资金流水!$Q$4:$Q$203,资金流水!$P$4:$P$203,E144,资金流水!$B$4:$B$203,B144)+IF(E144="6001",SUMIFS(销售录入!$I$4:$I$203,销售录入!$B$4:$B$203,B144),0)+IF(E144="1405",SUMIFS(销售录入!$K$4:$K$203,销售录入!$B$4:$B$203,B144),0)+IF(E144="2202",SUMIFS(采购录入!$I$4:$I$203,采购录入!$B$4:$B$203,B144),0)</f>
        <v>13040</v>
      </c>
    </row>
    <row r="145" spans="1:8">
      <c r="A145" s="5">
        <f t="shared" si="0"/>
        <v>46174</v>
      </c>
      <c r="B145" t="s">
        <v>560</v>
      </c>
      <c r="C145" t="s">
        <v>561</v>
      </c>
      <c r="D145" t="s">
        <v>545</v>
      </c>
      <c r="E145" t="s">
        <v>218</v>
      </c>
      <c r="F145" t="s">
        <v>295</v>
      </c>
      <c r="G145" s="17">
        <f>SUMIFS(资金流水!$Q$4:$Q$203,资金流水!$O$4:$O$203,E145,资金流水!$B$4:$B$203,B145)+IF(E145="1122",SUMIFS(销售录入!$I$4:$I$203,销售录入!$B$4:$B$203,B145),0)+IF(E145="1405",SUMIFS(采购录入!$I$4:$I$203,采购录入!$B$4:$B$203,B145),0)+IF(E145="6401",SUMIFS(销售录入!$K$4:$K$203,销售录入!$B$4:$B$203,B145),0)</f>
        <v>10000</v>
      </c>
      <c r="H145" s="17">
        <f>SUMIFS(资金流水!$Q$4:$Q$203,资金流水!$P$4:$P$203,E145,资金流水!$B$4:$B$203,B145)+IF(E145="6001",SUMIFS(销售录入!$I$4:$I$203,销售录入!$B$4:$B$203,B145),0)+IF(E145="1405",SUMIFS(销售录入!$K$4:$K$203,销售录入!$B$4:$B$203,B145),0)+IF(E145="2202",SUMIFS(采购录入!$I$4:$I$203,采购录入!$B$4:$B$203,B145),0)</f>
        <v>20300</v>
      </c>
    </row>
    <row r="146" spans="1:8">
      <c r="A146" s="5">
        <f t="shared" si="0"/>
        <v>46174</v>
      </c>
      <c r="B146" t="s">
        <v>560</v>
      </c>
      <c r="C146" t="s">
        <v>561</v>
      </c>
      <c r="D146" t="s">
        <v>546</v>
      </c>
      <c r="E146" t="s">
        <v>348</v>
      </c>
      <c r="F146" t="s">
        <v>349</v>
      </c>
      <c r="G146" s="17">
        <f>SUMIFS(资金流水!$Q$4:$Q$203,资金流水!$O$4:$O$203,E146,资金流水!$B$4:$B$203,B146)+IF(E146="1122",SUMIFS(销售录入!$I$4:$I$203,销售录入!$B$4:$B$203,B146),0)+IF(E146="1405",SUMIFS(采购录入!$I$4:$I$203,采购录入!$B$4:$B$203,B146),0)+IF(E146="6401",SUMIFS(销售录入!$K$4:$K$203,销售录入!$B$4:$B$203,B146),0)</f>
        <v>0</v>
      </c>
      <c r="H146" s="17">
        <f>SUMIFS(资金流水!$Q$4:$Q$203,资金流水!$P$4:$P$203,E146,资金流水!$B$4:$B$203,B146)+IF(E146="6001",SUMIFS(销售录入!$I$4:$I$203,销售录入!$B$4:$B$203,B146),0)+IF(E146="1405",SUMIFS(销售录入!$K$4:$K$203,销售录入!$B$4:$B$203,B146),0)+IF(E146="2202",SUMIFS(采购录入!$I$4:$I$203,采购录入!$B$4:$B$203,B146),0)</f>
        <v>26080</v>
      </c>
    </row>
    <row r="147" spans="1:8">
      <c r="A147" s="5">
        <f t="shared" si="0"/>
        <v>46174</v>
      </c>
      <c r="B147" t="s">
        <v>560</v>
      </c>
      <c r="C147" t="s">
        <v>561</v>
      </c>
      <c r="D147" t="s">
        <v>547</v>
      </c>
      <c r="E147" t="s">
        <v>99</v>
      </c>
      <c r="F147" t="s">
        <v>112</v>
      </c>
      <c r="G147" s="17">
        <f>SUMIFS(资金流水!$Q$4:$Q$203,资金流水!$O$4:$O$203,E147,资金流水!$B$4:$B$203,B147)+IF(E147="1122",SUMIFS(销售录入!$I$4:$I$203,销售录入!$B$4:$B$203,B147),0)+IF(E147="1405",SUMIFS(采购录入!$I$4:$I$203,采购录入!$B$4:$B$203,B147),0)+IF(E147="6401",SUMIFS(销售录入!$K$4:$K$203,销售录入!$B$4:$B$203,B147),0)</f>
        <v>0</v>
      </c>
      <c r="H147" s="17">
        <f>SUMIFS(资金流水!$Q$4:$Q$203,资金流水!$P$4:$P$203,E147,资金流水!$B$4:$B$203,B147)+IF(E147="6001",SUMIFS(销售录入!$I$4:$I$203,销售录入!$B$4:$B$203,B147),0)+IF(E147="1405",SUMIFS(销售录入!$K$4:$K$203,销售录入!$B$4:$B$203,B147),0)+IF(E147="2202",SUMIFS(采购录入!$I$4:$I$203,采购录入!$B$4:$B$203,B147),0)</f>
        <v>3200</v>
      </c>
    </row>
    <row r="148" spans="1:8">
      <c r="A148" s="5">
        <f t="shared" si="0"/>
        <v>46174</v>
      </c>
      <c r="B148" t="s">
        <v>560</v>
      </c>
      <c r="C148" t="s">
        <v>561</v>
      </c>
      <c r="D148" t="s">
        <v>548</v>
      </c>
      <c r="E148" t="s">
        <v>363</v>
      </c>
      <c r="F148" t="s">
        <v>364</v>
      </c>
      <c r="G148" s="17">
        <f>SUMIFS(资金流水!$Q$4:$Q$203,资金流水!$O$4:$O$203,E148,资金流水!$B$4:$B$203,B148)+IF(E148="1122",SUMIFS(销售录入!$I$4:$I$203,销售录入!$B$4:$B$203,B148),0)+IF(E148="1405",SUMIFS(采购录入!$I$4:$I$203,采购录入!$B$4:$B$203,B148),0)+IF(E148="6401",SUMIFS(销售录入!$K$4:$K$203,销售录入!$B$4:$B$203,B148),0)</f>
        <v>13040</v>
      </c>
      <c r="H148" s="17">
        <f>SUMIFS(资金流水!$Q$4:$Q$203,资金流水!$P$4:$P$203,E148,资金流水!$B$4:$B$203,B148)+IF(E148="6001",SUMIFS(销售录入!$I$4:$I$203,销售录入!$B$4:$B$203,B148),0)+IF(E148="1405",SUMIFS(销售录入!$K$4:$K$203,销售录入!$B$4:$B$203,B148),0)+IF(E148="2202",SUMIFS(采购录入!$I$4:$I$203,采购录入!$B$4:$B$203,B148),0)</f>
        <v>0</v>
      </c>
    </row>
    <row r="149" spans="1:8">
      <c r="A149" s="5">
        <f t="shared" si="0"/>
        <v>46174</v>
      </c>
      <c r="B149" t="s">
        <v>560</v>
      </c>
      <c r="C149" t="s">
        <v>561</v>
      </c>
      <c r="D149" t="s">
        <v>549</v>
      </c>
      <c r="E149" t="s">
        <v>246</v>
      </c>
      <c r="F149" t="s">
        <v>372</v>
      </c>
      <c r="G149" s="17">
        <f>SUMIFS(资金流水!$Q$4:$Q$203,资金流水!$O$4:$O$203,E149,资金流水!$B$4:$B$203,B149)+IF(E149="1122",SUMIFS(销售录入!$I$4:$I$203,销售录入!$B$4:$B$203,B149),0)+IF(E149="1405",SUMIFS(采购录入!$I$4:$I$203,采购录入!$B$4:$B$203,B149),0)+IF(E149="6401",SUMIFS(销售录入!$K$4:$K$203,销售录入!$B$4:$B$203,B149),0)</f>
        <v>2000</v>
      </c>
      <c r="H149" s="17">
        <f>SUMIFS(资金流水!$Q$4:$Q$203,资金流水!$P$4:$P$203,E149,资金流水!$B$4:$B$203,B149)+IF(E149="6001",SUMIFS(销售录入!$I$4:$I$203,销售录入!$B$4:$B$203,B149),0)+IF(E149="1405",SUMIFS(销售录入!$K$4:$K$203,销售录入!$B$4:$B$203,B149),0)+IF(E149="2202",SUMIFS(采购录入!$I$4:$I$203,采购录入!$B$4:$B$203,B149),0)</f>
        <v>0</v>
      </c>
    </row>
    <row r="150" spans="1:8">
      <c r="A150" s="5">
        <f t="shared" ref="A150:A213" si="1">DATE(2026,VALUE(RIGHT(B150,2)),1)</f>
        <v>46174</v>
      </c>
      <c r="B150" t="s">
        <v>560</v>
      </c>
      <c r="C150" t="s">
        <v>561</v>
      </c>
      <c r="D150" t="s">
        <v>550</v>
      </c>
      <c r="E150" t="s">
        <v>223</v>
      </c>
      <c r="F150" t="s">
        <v>374</v>
      </c>
      <c r="G150" s="17">
        <f>SUMIFS(资金流水!$Q$4:$Q$203,资金流水!$O$4:$O$203,E150,资金流水!$B$4:$B$203,B150)+IF(E150="1122",SUMIFS(销售录入!$I$4:$I$203,销售录入!$B$4:$B$203,B150),0)+IF(E150="1405",SUMIFS(采购录入!$I$4:$I$203,采购录入!$B$4:$B$203,B150),0)+IF(E150="6401",SUMIFS(销售录入!$K$4:$K$203,销售录入!$B$4:$B$203,B150),0)</f>
        <v>22600</v>
      </c>
      <c r="H150" s="17">
        <f>SUMIFS(资金流水!$Q$4:$Q$203,资金流水!$P$4:$P$203,E150,资金流水!$B$4:$B$203,B150)+IF(E150="6001",SUMIFS(销售录入!$I$4:$I$203,销售录入!$B$4:$B$203,B150),0)+IF(E150="1405",SUMIFS(销售录入!$K$4:$K$203,销售录入!$B$4:$B$203,B150),0)+IF(E150="2202",SUMIFS(采购录入!$I$4:$I$203,采购录入!$B$4:$B$203,B150),0)</f>
        <v>0</v>
      </c>
    </row>
    <row r="151" spans="1:8">
      <c r="A151" s="5">
        <f t="shared" si="1"/>
        <v>46174</v>
      </c>
      <c r="B151" t="s">
        <v>560</v>
      </c>
      <c r="C151" t="s">
        <v>561</v>
      </c>
      <c r="D151" t="s">
        <v>551</v>
      </c>
      <c r="E151" t="s">
        <v>253</v>
      </c>
      <c r="F151" t="s">
        <v>375</v>
      </c>
      <c r="G151" s="17">
        <f>SUMIFS(资金流水!$Q$4:$Q$203,资金流水!$O$4:$O$203,E151,资金流水!$B$4:$B$203,B151)+IF(E151="1122",SUMIFS(销售录入!$I$4:$I$203,销售录入!$B$4:$B$203,B151),0)+IF(E151="1405",SUMIFS(采购录入!$I$4:$I$203,采购录入!$B$4:$B$203,B151),0)+IF(E151="6401",SUMIFS(销售录入!$K$4:$K$203,销售录入!$B$4:$B$203,B151),0)</f>
        <v>0</v>
      </c>
      <c r="H151" s="17">
        <f>SUMIFS(资金流水!$Q$4:$Q$203,资金流水!$P$4:$P$203,E151,资金流水!$B$4:$B$203,B151)+IF(E151="6001",SUMIFS(销售录入!$I$4:$I$203,销售录入!$B$4:$B$203,B151),0)+IF(E151="1405",SUMIFS(销售录入!$K$4:$K$203,销售录入!$B$4:$B$203,B151),0)+IF(E151="2202",SUMIFS(采购录入!$I$4:$I$203,采购录入!$B$4:$B$203,B151),0)</f>
        <v>0</v>
      </c>
    </row>
    <row r="152" spans="1:8">
      <c r="A152" s="5">
        <f t="shared" si="1"/>
        <v>46204</v>
      </c>
      <c r="B152" t="s">
        <v>562</v>
      </c>
      <c r="C152" t="s">
        <v>563</v>
      </c>
      <c r="D152" t="s">
        <v>541</v>
      </c>
      <c r="E152" t="s">
        <v>63</v>
      </c>
      <c r="F152" t="s">
        <v>80</v>
      </c>
      <c r="G152" s="17">
        <f>SUMIFS(资金流水!$Q$4:$Q$203,资金流水!$O$4:$O$203,E152,资金流水!$B$4:$B$203,B152)+IF(E152="1122",SUMIFS(销售录入!$I$4:$I$203,销售录入!$B$4:$B$203,B152),0)+IF(E152="1405",SUMIFS(采购录入!$I$4:$I$203,采购录入!$B$4:$B$203,B152),0)+IF(E152="6401",SUMIFS(销售录入!$K$4:$K$203,销售录入!$B$4:$B$203,B152),0)</f>
        <v>0</v>
      </c>
      <c r="H152" s="17">
        <f>SUMIFS(资金流水!$Q$4:$Q$203,资金流水!$P$4:$P$203,E152,资金流水!$B$4:$B$203,B152)+IF(E152="6001",SUMIFS(销售录入!$I$4:$I$203,销售录入!$B$4:$B$203,B152),0)+IF(E152="1405",SUMIFS(销售录入!$K$4:$K$203,销售录入!$B$4:$B$203,B152),0)+IF(E152="2202",SUMIFS(采购录入!$I$4:$I$203,采购录入!$B$4:$B$203,B152),0)</f>
        <v>0</v>
      </c>
    </row>
    <row r="153" spans="1:8">
      <c r="A153" s="5">
        <f t="shared" si="1"/>
        <v>46204</v>
      </c>
      <c r="B153" t="s">
        <v>562</v>
      </c>
      <c r="C153" t="s">
        <v>563</v>
      </c>
      <c r="D153" t="s">
        <v>542</v>
      </c>
      <c r="E153" t="s">
        <v>78</v>
      </c>
      <c r="F153" t="s">
        <v>100</v>
      </c>
      <c r="G153" s="17">
        <f>SUMIFS(资金流水!$Q$4:$Q$203,资金流水!$O$4:$O$203,E153,资金流水!$B$4:$B$203,B153)+IF(E153="1122",SUMIFS(销售录入!$I$4:$I$203,销售录入!$B$4:$B$203,B153),0)+IF(E153="1405",SUMIFS(采购录入!$I$4:$I$203,采购录入!$B$4:$B$203,B153),0)+IF(E153="6401",SUMIFS(销售录入!$K$4:$K$203,销售录入!$B$4:$B$203,B153),0)</f>
        <v>0</v>
      </c>
      <c r="H153" s="17">
        <f>SUMIFS(资金流水!$Q$4:$Q$203,资金流水!$P$4:$P$203,E153,资金流水!$B$4:$B$203,B153)+IF(E153="6001",SUMIFS(销售录入!$I$4:$I$203,销售录入!$B$4:$B$203,B153),0)+IF(E153="1405",SUMIFS(销售录入!$K$4:$K$203,销售录入!$B$4:$B$203,B153),0)+IF(E153="2202",SUMIFS(采购录入!$I$4:$I$203,采购录入!$B$4:$B$203,B153),0)</f>
        <v>0</v>
      </c>
    </row>
    <row r="154" spans="1:8">
      <c r="A154" s="5">
        <f t="shared" si="1"/>
        <v>46204</v>
      </c>
      <c r="B154" t="s">
        <v>562</v>
      </c>
      <c r="C154" t="s">
        <v>563</v>
      </c>
      <c r="D154" t="s">
        <v>543</v>
      </c>
      <c r="E154" t="s">
        <v>79</v>
      </c>
      <c r="F154" t="s">
        <v>155</v>
      </c>
      <c r="G154" s="17">
        <f>SUMIFS(资金流水!$Q$4:$Q$203,资金流水!$O$4:$O$203,E154,资金流水!$B$4:$B$203,B154)+IF(E154="1122",SUMIFS(销售录入!$I$4:$I$203,销售录入!$B$4:$B$203,B154),0)+IF(E154="1405",SUMIFS(采购录入!$I$4:$I$203,采购录入!$B$4:$B$203,B154),0)+IF(E154="6401",SUMIFS(销售录入!$K$4:$K$203,销售录入!$B$4:$B$203,B154),0)</f>
        <v>0</v>
      </c>
      <c r="H154" s="17">
        <f>SUMIFS(资金流水!$Q$4:$Q$203,资金流水!$P$4:$P$203,E154,资金流水!$B$4:$B$203,B154)+IF(E154="6001",SUMIFS(销售录入!$I$4:$I$203,销售录入!$B$4:$B$203,B154),0)+IF(E154="1405",SUMIFS(销售录入!$K$4:$K$203,销售录入!$B$4:$B$203,B154),0)+IF(E154="2202",SUMIFS(采购录入!$I$4:$I$203,采购录入!$B$4:$B$203,B154),0)</f>
        <v>0</v>
      </c>
    </row>
    <row r="155" spans="1:8">
      <c r="A155" s="5">
        <f t="shared" si="1"/>
        <v>46204</v>
      </c>
      <c r="B155" t="s">
        <v>562</v>
      </c>
      <c r="C155" t="s">
        <v>563</v>
      </c>
      <c r="D155" t="s">
        <v>544</v>
      </c>
      <c r="E155" t="s">
        <v>237</v>
      </c>
      <c r="F155" t="s">
        <v>238</v>
      </c>
      <c r="G155" s="17">
        <f>SUMIFS(资金流水!$Q$4:$Q$203,资金流水!$O$4:$O$203,E155,资金流水!$B$4:$B$203,B155)+IF(E155="1122",SUMIFS(销售录入!$I$4:$I$203,销售录入!$B$4:$B$203,B155),0)+IF(E155="1405",SUMIFS(采购录入!$I$4:$I$203,采购录入!$B$4:$B$203,B155),0)+IF(E155="6401",SUMIFS(销售录入!$K$4:$K$203,销售录入!$B$4:$B$203,B155),0)</f>
        <v>0</v>
      </c>
      <c r="H155" s="17">
        <f>SUMIFS(资金流水!$Q$4:$Q$203,资金流水!$P$4:$P$203,E155,资金流水!$B$4:$B$203,B155)+IF(E155="6001",SUMIFS(销售录入!$I$4:$I$203,销售录入!$B$4:$B$203,B155),0)+IF(E155="1405",SUMIFS(销售录入!$K$4:$K$203,销售录入!$B$4:$B$203,B155),0)+IF(E155="2202",SUMIFS(采购录入!$I$4:$I$203,采购录入!$B$4:$B$203,B155),0)</f>
        <v>0</v>
      </c>
    </row>
    <row r="156" spans="1:8">
      <c r="A156" s="5">
        <f t="shared" si="1"/>
        <v>46204</v>
      </c>
      <c r="B156" t="s">
        <v>562</v>
      </c>
      <c r="C156" t="s">
        <v>563</v>
      </c>
      <c r="D156" t="s">
        <v>545</v>
      </c>
      <c r="E156" t="s">
        <v>218</v>
      </c>
      <c r="F156" t="s">
        <v>295</v>
      </c>
      <c r="G156" s="17">
        <f>SUMIFS(资金流水!$Q$4:$Q$203,资金流水!$O$4:$O$203,E156,资金流水!$B$4:$B$203,B156)+IF(E156="1122",SUMIFS(销售录入!$I$4:$I$203,销售录入!$B$4:$B$203,B156),0)+IF(E156="1405",SUMIFS(采购录入!$I$4:$I$203,采购录入!$B$4:$B$203,B156),0)+IF(E156="6401",SUMIFS(销售录入!$K$4:$K$203,销售录入!$B$4:$B$203,B156),0)</f>
        <v>0</v>
      </c>
      <c r="H156" s="17">
        <f>SUMIFS(资金流水!$Q$4:$Q$203,资金流水!$P$4:$P$203,E156,资金流水!$B$4:$B$203,B156)+IF(E156="6001",SUMIFS(销售录入!$I$4:$I$203,销售录入!$B$4:$B$203,B156),0)+IF(E156="1405",SUMIFS(销售录入!$K$4:$K$203,销售录入!$B$4:$B$203,B156),0)+IF(E156="2202",SUMIFS(采购录入!$I$4:$I$203,采购录入!$B$4:$B$203,B156),0)</f>
        <v>0</v>
      </c>
    </row>
    <row r="157" spans="1:8">
      <c r="A157" s="5">
        <f t="shared" si="1"/>
        <v>46204</v>
      </c>
      <c r="B157" t="s">
        <v>562</v>
      </c>
      <c r="C157" t="s">
        <v>563</v>
      </c>
      <c r="D157" t="s">
        <v>546</v>
      </c>
      <c r="E157" t="s">
        <v>348</v>
      </c>
      <c r="F157" t="s">
        <v>349</v>
      </c>
      <c r="G157" s="17">
        <f>SUMIFS(资金流水!$Q$4:$Q$203,资金流水!$O$4:$O$203,E157,资金流水!$B$4:$B$203,B157)+IF(E157="1122",SUMIFS(销售录入!$I$4:$I$203,销售录入!$B$4:$B$203,B157),0)+IF(E157="1405",SUMIFS(采购录入!$I$4:$I$203,采购录入!$B$4:$B$203,B157),0)+IF(E157="6401",SUMIFS(销售录入!$K$4:$K$203,销售录入!$B$4:$B$203,B157),0)</f>
        <v>0</v>
      </c>
      <c r="H157" s="17">
        <f>SUMIFS(资金流水!$Q$4:$Q$203,资金流水!$P$4:$P$203,E157,资金流水!$B$4:$B$203,B157)+IF(E157="6001",SUMIFS(销售录入!$I$4:$I$203,销售录入!$B$4:$B$203,B157),0)+IF(E157="1405",SUMIFS(销售录入!$K$4:$K$203,销售录入!$B$4:$B$203,B157),0)+IF(E157="2202",SUMIFS(采购录入!$I$4:$I$203,采购录入!$B$4:$B$203,B157),0)</f>
        <v>0</v>
      </c>
    </row>
    <row r="158" spans="1:8">
      <c r="A158" s="5">
        <f t="shared" si="1"/>
        <v>46204</v>
      </c>
      <c r="B158" t="s">
        <v>562</v>
      </c>
      <c r="C158" t="s">
        <v>563</v>
      </c>
      <c r="D158" t="s">
        <v>547</v>
      </c>
      <c r="E158" t="s">
        <v>99</v>
      </c>
      <c r="F158" t="s">
        <v>112</v>
      </c>
      <c r="G158" s="17">
        <f>SUMIFS(资金流水!$Q$4:$Q$203,资金流水!$O$4:$O$203,E158,资金流水!$B$4:$B$203,B158)+IF(E158="1122",SUMIFS(销售录入!$I$4:$I$203,销售录入!$B$4:$B$203,B158),0)+IF(E158="1405",SUMIFS(采购录入!$I$4:$I$203,采购录入!$B$4:$B$203,B158),0)+IF(E158="6401",SUMIFS(销售录入!$K$4:$K$203,销售录入!$B$4:$B$203,B158),0)</f>
        <v>0</v>
      </c>
      <c r="H158" s="17">
        <f>SUMIFS(资金流水!$Q$4:$Q$203,资金流水!$P$4:$P$203,E158,资金流水!$B$4:$B$203,B158)+IF(E158="6001",SUMIFS(销售录入!$I$4:$I$203,销售录入!$B$4:$B$203,B158),0)+IF(E158="1405",SUMIFS(销售录入!$K$4:$K$203,销售录入!$B$4:$B$203,B158),0)+IF(E158="2202",SUMIFS(采购录入!$I$4:$I$203,采购录入!$B$4:$B$203,B158),0)</f>
        <v>0</v>
      </c>
    </row>
    <row r="159" spans="1:8">
      <c r="A159" s="5">
        <f t="shared" si="1"/>
        <v>46204</v>
      </c>
      <c r="B159" t="s">
        <v>562</v>
      </c>
      <c r="C159" t="s">
        <v>563</v>
      </c>
      <c r="D159" t="s">
        <v>548</v>
      </c>
      <c r="E159" t="s">
        <v>363</v>
      </c>
      <c r="F159" t="s">
        <v>364</v>
      </c>
      <c r="G159" s="17">
        <f>SUMIFS(资金流水!$Q$4:$Q$203,资金流水!$O$4:$O$203,E159,资金流水!$B$4:$B$203,B159)+IF(E159="1122",SUMIFS(销售录入!$I$4:$I$203,销售录入!$B$4:$B$203,B159),0)+IF(E159="1405",SUMIFS(采购录入!$I$4:$I$203,采购录入!$B$4:$B$203,B159),0)+IF(E159="6401",SUMIFS(销售录入!$K$4:$K$203,销售录入!$B$4:$B$203,B159),0)</f>
        <v>0</v>
      </c>
      <c r="H159" s="17">
        <f>SUMIFS(资金流水!$Q$4:$Q$203,资金流水!$P$4:$P$203,E159,资金流水!$B$4:$B$203,B159)+IF(E159="6001",SUMIFS(销售录入!$I$4:$I$203,销售录入!$B$4:$B$203,B159),0)+IF(E159="1405",SUMIFS(销售录入!$K$4:$K$203,销售录入!$B$4:$B$203,B159),0)+IF(E159="2202",SUMIFS(采购录入!$I$4:$I$203,采购录入!$B$4:$B$203,B159),0)</f>
        <v>0</v>
      </c>
    </row>
    <row r="160" spans="1:8">
      <c r="A160" s="5">
        <f t="shared" si="1"/>
        <v>46204</v>
      </c>
      <c r="B160" t="s">
        <v>562</v>
      </c>
      <c r="C160" t="s">
        <v>563</v>
      </c>
      <c r="D160" t="s">
        <v>549</v>
      </c>
      <c r="E160" t="s">
        <v>246</v>
      </c>
      <c r="F160" t="s">
        <v>372</v>
      </c>
      <c r="G160" s="17">
        <f>SUMIFS(资金流水!$Q$4:$Q$203,资金流水!$O$4:$O$203,E160,资金流水!$B$4:$B$203,B160)+IF(E160="1122",SUMIFS(销售录入!$I$4:$I$203,销售录入!$B$4:$B$203,B160),0)+IF(E160="1405",SUMIFS(采购录入!$I$4:$I$203,采购录入!$B$4:$B$203,B160),0)+IF(E160="6401",SUMIFS(销售录入!$K$4:$K$203,销售录入!$B$4:$B$203,B160),0)</f>
        <v>0</v>
      </c>
      <c r="H160" s="17">
        <f>SUMIFS(资金流水!$Q$4:$Q$203,资金流水!$P$4:$P$203,E160,资金流水!$B$4:$B$203,B160)+IF(E160="6001",SUMIFS(销售录入!$I$4:$I$203,销售录入!$B$4:$B$203,B160),0)+IF(E160="1405",SUMIFS(销售录入!$K$4:$K$203,销售录入!$B$4:$B$203,B160),0)+IF(E160="2202",SUMIFS(采购录入!$I$4:$I$203,采购录入!$B$4:$B$203,B160),0)</f>
        <v>0</v>
      </c>
    </row>
    <row r="161" spans="1:8">
      <c r="A161" s="5">
        <f t="shared" si="1"/>
        <v>46204</v>
      </c>
      <c r="B161" t="s">
        <v>562</v>
      </c>
      <c r="C161" t="s">
        <v>563</v>
      </c>
      <c r="D161" t="s">
        <v>550</v>
      </c>
      <c r="E161" t="s">
        <v>223</v>
      </c>
      <c r="F161" t="s">
        <v>374</v>
      </c>
      <c r="G161" s="17">
        <f>SUMIFS(资金流水!$Q$4:$Q$203,资金流水!$O$4:$O$203,E161,资金流水!$B$4:$B$203,B161)+IF(E161="1122",SUMIFS(销售录入!$I$4:$I$203,销售录入!$B$4:$B$203,B161),0)+IF(E161="1405",SUMIFS(采购录入!$I$4:$I$203,采购录入!$B$4:$B$203,B161),0)+IF(E161="6401",SUMIFS(销售录入!$K$4:$K$203,销售录入!$B$4:$B$203,B161),0)</f>
        <v>0</v>
      </c>
      <c r="H161" s="17">
        <f>SUMIFS(资金流水!$Q$4:$Q$203,资金流水!$P$4:$P$203,E161,资金流水!$B$4:$B$203,B161)+IF(E161="6001",SUMIFS(销售录入!$I$4:$I$203,销售录入!$B$4:$B$203,B161),0)+IF(E161="1405",SUMIFS(销售录入!$K$4:$K$203,销售录入!$B$4:$B$203,B161),0)+IF(E161="2202",SUMIFS(采购录入!$I$4:$I$203,采购录入!$B$4:$B$203,B161),0)</f>
        <v>0</v>
      </c>
    </row>
    <row r="162" spans="1:8">
      <c r="A162" s="5">
        <f t="shared" si="1"/>
        <v>46204</v>
      </c>
      <c r="B162" t="s">
        <v>562</v>
      </c>
      <c r="C162" t="s">
        <v>563</v>
      </c>
      <c r="D162" t="s">
        <v>551</v>
      </c>
      <c r="E162" t="s">
        <v>253</v>
      </c>
      <c r="F162" t="s">
        <v>375</v>
      </c>
      <c r="G162" s="17">
        <f>SUMIFS(资金流水!$Q$4:$Q$203,资金流水!$O$4:$O$203,E162,资金流水!$B$4:$B$203,B162)+IF(E162="1122",SUMIFS(销售录入!$I$4:$I$203,销售录入!$B$4:$B$203,B162),0)+IF(E162="1405",SUMIFS(采购录入!$I$4:$I$203,采购录入!$B$4:$B$203,B162),0)+IF(E162="6401",SUMIFS(销售录入!$K$4:$K$203,销售录入!$B$4:$B$203,B162),0)</f>
        <v>0</v>
      </c>
      <c r="H162" s="17">
        <f>SUMIFS(资金流水!$Q$4:$Q$203,资金流水!$P$4:$P$203,E162,资金流水!$B$4:$B$203,B162)+IF(E162="6001",SUMIFS(销售录入!$I$4:$I$203,销售录入!$B$4:$B$203,B162),0)+IF(E162="1405",SUMIFS(销售录入!$K$4:$K$203,销售录入!$B$4:$B$203,B162),0)+IF(E162="2202",SUMIFS(采购录入!$I$4:$I$203,采购录入!$B$4:$B$203,B162),0)</f>
        <v>0</v>
      </c>
    </row>
    <row r="163" spans="1:8">
      <c r="A163" s="5">
        <f t="shared" si="1"/>
        <v>46235</v>
      </c>
      <c r="B163" t="s">
        <v>564</v>
      </c>
      <c r="C163" t="s">
        <v>565</v>
      </c>
      <c r="D163" t="s">
        <v>541</v>
      </c>
      <c r="E163" t="s">
        <v>63</v>
      </c>
      <c r="F163" t="s">
        <v>80</v>
      </c>
      <c r="G163" s="17">
        <f>SUMIFS(资金流水!$Q$4:$Q$203,资金流水!$O$4:$O$203,E163,资金流水!$B$4:$B$203,B163)+IF(E163="1122",SUMIFS(销售录入!$I$4:$I$203,销售录入!$B$4:$B$203,B163),0)+IF(E163="1405",SUMIFS(采购录入!$I$4:$I$203,采购录入!$B$4:$B$203,B163),0)+IF(E163="6401",SUMIFS(销售录入!$K$4:$K$203,销售录入!$B$4:$B$203,B163),0)</f>
        <v>0</v>
      </c>
      <c r="H163" s="17">
        <f>SUMIFS(资金流水!$Q$4:$Q$203,资金流水!$P$4:$P$203,E163,资金流水!$B$4:$B$203,B163)+IF(E163="6001",SUMIFS(销售录入!$I$4:$I$203,销售录入!$B$4:$B$203,B163),0)+IF(E163="1405",SUMIFS(销售录入!$K$4:$K$203,销售录入!$B$4:$B$203,B163),0)+IF(E163="2202",SUMIFS(采购录入!$I$4:$I$203,采购录入!$B$4:$B$203,B163),0)</f>
        <v>0</v>
      </c>
    </row>
    <row r="164" spans="1:8">
      <c r="A164" s="5">
        <f t="shared" si="1"/>
        <v>46235</v>
      </c>
      <c r="B164" t="s">
        <v>564</v>
      </c>
      <c r="C164" t="s">
        <v>565</v>
      </c>
      <c r="D164" t="s">
        <v>542</v>
      </c>
      <c r="E164" t="s">
        <v>78</v>
      </c>
      <c r="F164" t="s">
        <v>100</v>
      </c>
      <c r="G164" s="17">
        <f>SUMIFS(资金流水!$Q$4:$Q$203,资金流水!$O$4:$O$203,E164,资金流水!$B$4:$B$203,B164)+IF(E164="1122",SUMIFS(销售录入!$I$4:$I$203,销售录入!$B$4:$B$203,B164),0)+IF(E164="1405",SUMIFS(采购录入!$I$4:$I$203,采购录入!$B$4:$B$203,B164),0)+IF(E164="6401",SUMIFS(销售录入!$K$4:$K$203,销售录入!$B$4:$B$203,B164),0)</f>
        <v>0</v>
      </c>
      <c r="H164" s="17">
        <f>SUMIFS(资金流水!$Q$4:$Q$203,资金流水!$P$4:$P$203,E164,资金流水!$B$4:$B$203,B164)+IF(E164="6001",SUMIFS(销售录入!$I$4:$I$203,销售录入!$B$4:$B$203,B164),0)+IF(E164="1405",SUMIFS(销售录入!$K$4:$K$203,销售录入!$B$4:$B$203,B164),0)+IF(E164="2202",SUMIFS(采购录入!$I$4:$I$203,采购录入!$B$4:$B$203,B164),0)</f>
        <v>0</v>
      </c>
    </row>
    <row r="165" spans="1:8">
      <c r="A165" s="5">
        <f t="shared" si="1"/>
        <v>46235</v>
      </c>
      <c r="B165" t="s">
        <v>564</v>
      </c>
      <c r="C165" t="s">
        <v>565</v>
      </c>
      <c r="D165" t="s">
        <v>543</v>
      </c>
      <c r="E165" t="s">
        <v>79</v>
      </c>
      <c r="F165" t="s">
        <v>155</v>
      </c>
      <c r="G165" s="17">
        <f>SUMIFS(资金流水!$Q$4:$Q$203,资金流水!$O$4:$O$203,E165,资金流水!$B$4:$B$203,B165)+IF(E165="1122",SUMIFS(销售录入!$I$4:$I$203,销售录入!$B$4:$B$203,B165),0)+IF(E165="1405",SUMIFS(采购录入!$I$4:$I$203,采购录入!$B$4:$B$203,B165),0)+IF(E165="6401",SUMIFS(销售录入!$K$4:$K$203,销售录入!$B$4:$B$203,B165),0)</f>
        <v>0</v>
      </c>
      <c r="H165" s="17">
        <f>SUMIFS(资金流水!$Q$4:$Q$203,资金流水!$P$4:$P$203,E165,资金流水!$B$4:$B$203,B165)+IF(E165="6001",SUMIFS(销售录入!$I$4:$I$203,销售录入!$B$4:$B$203,B165),0)+IF(E165="1405",SUMIFS(销售录入!$K$4:$K$203,销售录入!$B$4:$B$203,B165),0)+IF(E165="2202",SUMIFS(采购录入!$I$4:$I$203,采购录入!$B$4:$B$203,B165),0)</f>
        <v>0</v>
      </c>
    </row>
    <row r="166" spans="1:8">
      <c r="A166" s="5">
        <f t="shared" si="1"/>
        <v>46235</v>
      </c>
      <c r="B166" t="s">
        <v>564</v>
      </c>
      <c r="C166" t="s">
        <v>565</v>
      </c>
      <c r="D166" t="s">
        <v>544</v>
      </c>
      <c r="E166" t="s">
        <v>237</v>
      </c>
      <c r="F166" t="s">
        <v>238</v>
      </c>
      <c r="G166" s="17">
        <f>SUMIFS(资金流水!$Q$4:$Q$203,资金流水!$O$4:$O$203,E166,资金流水!$B$4:$B$203,B166)+IF(E166="1122",SUMIFS(销售录入!$I$4:$I$203,销售录入!$B$4:$B$203,B166),0)+IF(E166="1405",SUMIFS(采购录入!$I$4:$I$203,采购录入!$B$4:$B$203,B166),0)+IF(E166="6401",SUMIFS(销售录入!$K$4:$K$203,销售录入!$B$4:$B$203,B166),0)</f>
        <v>0</v>
      </c>
      <c r="H166" s="17">
        <f>SUMIFS(资金流水!$Q$4:$Q$203,资金流水!$P$4:$P$203,E166,资金流水!$B$4:$B$203,B166)+IF(E166="6001",SUMIFS(销售录入!$I$4:$I$203,销售录入!$B$4:$B$203,B166),0)+IF(E166="1405",SUMIFS(销售录入!$K$4:$K$203,销售录入!$B$4:$B$203,B166),0)+IF(E166="2202",SUMIFS(采购录入!$I$4:$I$203,采购录入!$B$4:$B$203,B166),0)</f>
        <v>0</v>
      </c>
    </row>
    <row r="167" spans="1:8">
      <c r="A167" s="5">
        <f t="shared" si="1"/>
        <v>46235</v>
      </c>
      <c r="B167" t="s">
        <v>564</v>
      </c>
      <c r="C167" t="s">
        <v>565</v>
      </c>
      <c r="D167" t="s">
        <v>545</v>
      </c>
      <c r="E167" t="s">
        <v>218</v>
      </c>
      <c r="F167" t="s">
        <v>295</v>
      </c>
      <c r="G167" s="17">
        <f>SUMIFS(资金流水!$Q$4:$Q$203,资金流水!$O$4:$O$203,E167,资金流水!$B$4:$B$203,B167)+IF(E167="1122",SUMIFS(销售录入!$I$4:$I$203,销售录入!$B$4:$B$203,B167),0)+IF(E167="1405",SUMIFS(采购录入!$I$4:$I$203,采购录入!$B$4:$B$203,B167),0)+IF(E167="6401",SUMIFS(销售录入!$K$4:$K$203,销售录入!$B$4:$B$203,B167),0)</f>
        <v>0</v>
      </c>
      <c r="H167" s="17">
        <f>SUMIFS(资金流水!$Q$4:$Q$203,资金流水!$P$4:$P$203,E167,资金流水!$B$4:$B$203,B167)+IF(E167="6001",SUMIFS(销售录入!$I$4:$I$203,销售录入!$B$4:$B$203,B167),0)+IF(E167="1405",SUMIFS(销售录入!$K$4:$K$203,销售录入!$B$4:$B$203,B167),0)+IF(E167="2202",SUMIFS(采购录入!$I$4:$I$203,采购录入!$B$4:$B$203,B167),0)</f>
        <v>0</v>
      </c>
    </row>
    <row r="168" spans="1:8">
      <c r="A168" s="5">
        <f t="shared" si="1"/>
        <v>46235</v>
      </c>
      <c r="B168" t="s">
        <v>564</v>
      </c>
      <c r="C168" t="s">
        <v>565</v>
      </c>
      <c r="D168" t="s">
        <v>546</v>
      </c>
      <c r="E168" t="s">
        <v>348</v>
      </c>
      <c r="F168" t="s">
        <v>349</v>
      </c>
      <c r="G168" s="17">
        <f>SUMIFS(资金流水!$Q$4:$Q$203,资金流水!$O$4:$O$203,E168,资金流水!$B$4:$B$203,B168)+IF(E168="1122",SUMIFS(销售录入!$I$4:$I$203,销售录入!$B$4:$B$203,B168),0)+IF(E168="1405",SUMIFS(采购录入!$I$4:$I$203,采购录入!$B$4:$B$203,B168),0)+IF(E168="6401",SUMIFS(销售录入!$K$4:$K$203,销售录入!$B$4:$B$203,B168),0)</f>
        <v>0</v>
      </c>
      <c r="H168" s="17">
        <f>SUMIFS(资金流水!$Q$4:$Q$203,资金流水!$P$4:$P$203,E168,资金流水!$B$4:$B$203,B168)+IF(E168="6001",SUMIFS(销售录入!$I$4:$I$203,销售录入!$B$4:$B$203,B168),0)+IF(E168="1405",SUMIFS(销售录入!$K$4:$K$203,销售录入!$B$4:$B$203,B168),0)+IF(E168="2202",SUMIFS(采购录入!$I$4:$I$203,采购录入!$B$4:$B$203,B168),0)</f>
        <v>0</v>
      </c>
    </row>
    <row r="169" spans="1:8">
      <c r="A169" s="5">
        <f t="shared" si="1"/>
        <v>46235</v>
      </c>
      <c r="B169" t="s">
        <v>564</v>
      </c>
      <c r="C169" t="s">
        <v>565</v>
      </c>
      <c r="D169" t="s">
        <v>547</v>
      </c>
      <c r="E169" t="s">
        <v>99</v>
      </c>
      <c r="F169" t="s">
        <v>112</v>
      </c>
      <c r="G169" s="17">
        <f>SUMIFS(资金流水!$Q$4:$Q$203,资金流水!$O$4:$O$203,E169,资金流水!$B$4:$B$203,B169)+IF(E169="1122",SUMIFS(销售录入!$I$4:$I$203,销售录入!$B$4:$B$203,B169),0)+IF(E169="1405",SUMIFS(采购录入!$I$4:$I$203,采购录入!$B$4:$B$203,B169),0)+IF(E169="6401",SUMIFS(销售录入!$K$4:$K$203,销售录入!$B$4:$B$203,B169),0)</f>
        <v>0</v>
      </c>
      <c r="H169" s="17">
        <f>SUMIFS(资金流水!$Q$4:$Q$203,资金流水!$P$4:$P$203,E169,资金流水!$B$4:$B$203,B169)+IF(E169="6001",SUMIFS(销售录入!$I$4:$I$203,销售录入!$B$4:$B$203,B169),0)+IF(E169="1405",SUMIFS(销售录入!$K$4:$K$203,销售录入!$B$4:$B$203,B169),0)+IF(E169="2202",SUMIFS(采购录入!$I$4:$I$203,采购录入!$B$4:$B$203,B169),0)</f>
        <v>0</v>
      </c>
    </row>
    <row r="170" spans="1:8">
      <c r="A170" s="5">
        <f t="shared" si="1"/>
        <v>46235</v>
      </c>
      <c r="B170" t="s">
        <v>564</v>
      </c>
      <c r="C170" t="s">
        <v>565</v>
      </c>
      <c r="D170" t="s">
        <v>548</v>
      </c>
      <c r="E170" t="s">
        <v>363</v>
      </c>
      <c r="F170" t="s">
        <v>364</v>
      </c>
      <c r="G170" s="17">
        <f>SUMIFS(资金流水!$Q$4:$Q$203,资金流水!$O$4:$O$203,E170,资金流水!$B$4:$B$203,B170)+IF(E170="1122",SUMIFS(销售录入!$I$4:$I$203,销售录入!$B$4:$B$203,B170),0)+IF(E170="1405",SUMIFS(采购录入!$I$4:$I$203,采购录入!$B$4:$B$203,B170),0)+IF(E170="6401",SUMIFS(销售录入!$K$4:$K$203,销售录入!$B$4:$B$203,B170),0)</f>
        <v>0</v>
      </c>
      <c r="H170" s="17">
        <f>SUMIFS(资金流水!$Q$4:$Q$203,资金流水!$P$4:$P$203,E170,资金流水!$B$4:$B$203,B170)+IF(E170="6001",SUMIFS(销售录入!$I$4:$I$203,销售录入!$B$4:$B$203,B170),0)+IF(E170="1405",SUMIFS(销售录入!$K$4:$K$203,销售录入!$B$4:$B$203,B170),0)+IF(E170="2202",SUMIFS(采购录入!$I$4:$I$203,采购录入!$B$4:$B$203,B170),0)</f>
        <v>0</v>
      </c>
    </row>
    <row r="171" spans="1:8">
      <c r="A171" s="5">
        <f t="shared" si="1"/>
        <v>46235</v>
      </c>
      <c r="B171" t="s">
        <v>564</v>
      </c>
      <c r="C171" t="s">
        <v>565</v>
      </c>
      <c r="D171" t="s">
        <v>549</v>
      </c>
      <c r="E171" t="s">
        <v>246</v>
      </c>
      <c r="F171" t="s">
        <v>372</v>
      </c>
      <c r="G171" s="17">
        <f>SUMIFS(资金流水!$Q$4:$Q$203,资金流水!$O$4:$O$203,E171,资金流水!$B$4:$B$203,B171)+IF(E171="1122",SUMIFS(销售录入!$I$4:$I$203,销售录入!$B$4:$B$203,B171),0)+IF(E171="1405",SUMIFS(采购录入!$I$4:$I$203,采购录入!$B$4:$B$203,B171),0)+IF(E171="6401",SUMIFS(销售录入!$K$4:$K$203,销售录入!$B$4:$B$203,B171),0)</f>
        <v>0</v>
      </c>
      <c r="H171" s="17">
        <f>SUMIFS(资金流水!$Q$4:$Q$203,资金流水!$P$4:$P$203,E171,资金流水!$B$4:$B$203,B171)+IF(E171="6001",SUMIFS(销售录入!$I$4:$I$203,销售录入!$B$4:$B$203,B171),0)+IF(E171="1405",SUMIFS(销售录入!$K$4:$K$203,销售录入!$B$4:$B$203,B171),0)+IF(E171="2202",SUMIFS(采购录入!$I$4:$I$203,采购录入!$B$4:$B$203,B171),0)</f>
        <v>0</v>
      </c>
    </row>
    <row r="172" spans="1:8">
      <c r="A172" s="5">
        <f t="shared" si="1"/>
        <v>46235</v>
      </c>
      <c r="B172" t="s">
        <v>564</v>
      </c>
      <c r="C172" t="s">
        <v>565</v>
      </c>
      <c r="D172" t="s">
        <v>550</v>
      </c>
      <c r="E172" t="s">
        <v>223</v>
      </c>
      <c r="F172" t="s">
        <v>374</v>
      </c>
      <c r="G172" s="17">
        <f>SUMIFS(资金流水!$Q$4:$Q$203,资金流水!$O$4:$O$203,E172,资金流水!$B$4:$B$203,B172)+IF(E172="1122",SUMIFS(销售录入!$I$4:$I$203,销售录入!$B$4:$B$203,B172),0)+IF(E172="1405",SUMIFS(采购录入!$I$4:$I$203,采购录入!$B$4:$B$203,B172),0)+IF(E172="6401",SUMIFS(销售录入!$K$4:$K$203,销售录入!$B$4:$B$203,B172),0)</f>
        <v>0</v>
      </c>
      <c r="H172" s="17">
        <f>SUMIFS(资金流水!$Q$4:$Q$203,资金流水!$P$4:$P$203,E172,资金流水!$B$4:$B$203,B172)+IF(E172="6001",SUMIFS(销售录入!$I$4:$I$203,销售录入!$B$4:$B$203,B172),0)+IF(E172="1405",SUMIFS(销售录入!$K$4:$K$203,销售录入!$B$4:$B$203,B172),0)+IF(E172="2202",SUMIFS(采购录入!$I$4:$I$203,采购录入!$B$4:$B$203,B172),0)</f>
        <v>0</v>
      </c>
    </row>
    <row r="173" spans="1:8">
      <c r="A173" s="5">
        <f t="shared" si="1"/>
        <v>46235</v>
      </c>
      <c r="B173" t="s">
        <v>564</v>
      </c>
      <c r="C173" t="s">
        <v>565</v>
      </c>
      <c r="D173" t="s">
        <v>551</v>
      </c>
      <c r="E173" t="s">
        <v>253</v>
      </c>
      <c r="F173" t="s">
        <v>375</v>
      </c>
      <c r="G173" s="17">
        <f>SUMIFS(资金流水!$Q$4:$Q$203,资金流水!$O$4:$O$203,E173,资金流水!$B$4:$B$203,B173)+IF(E173="1122",SUMIFS(销售录入!$I$4:$I$203,销售录入!$B$4:$B$203,B173),0)+IF(E173="1405",SUMIFS(采购录入!$I$4:$I$203,采购录入!$B$4:$B$203,B173),0)+IF(E173="6401",SUMIFS(销售录入!$K$4:$K$203,销售录入!$B$4:$B$203,B173),0)</f>
        <v>0</v>
      </c>
      <c r="H173" s="17">
        <f>SUMIFS(资金流水!$Q$4:$Q$203,资金流水!$P$4:$P$203,E173,资金流水!$B$4:$B$203,B173)+IF(E173="6001",SUMIFS(销售录入!$I$4:$I$203,销售录入!$B$4:$B$203,B173),0)+IF(E173="1405",SUMIFS(销售录入!$K$4:$K$203,销售录入!$B$4:$B$203,B173),0)+IF(E173="2202",SUMIFS(采购录入!$I$4:$I$203,采购录入!$B$4:$B$203,B173),0)</f>
        <v>0</v>
      </c>
    </row>
    <row r="174" spans="1:8">
      <c r="A174" s="5">
        <f t="shared" si="1"/>
        <v>46266</v>
      </c>
      <c r="B174" t="s">
        <v>566</v>
      </c>
      <c r="C174" t="s">
        <v>567</v>
      </c>
      <c r="D174" t="s">
        <v>541</v>
      </c>
      <c r="E174" t="s">
        <v>63</v>
      </c>
      <c r="F174" t="s">
        <v>80</v>
      </c>
      <c r="G174" s="17">
        <f>SUMIFS(资金流水!$Q$4:$Q$203,资金流水!$O$4:$O$203,E174,资金流水!$B$4:$B$203,B174)+IF(E174="1122",SUMIFS(销售录入!$I$4:$I$203,销售录入!$B$4:$B$203,B174),0)+IF(E174="1405",SUMIFS(采购录入!$I$4:$I$203,采购录入!$B$4:$B$203,B174),0)+IF(E174="6401",SUMIFS(销售录入!$K$4:$K$203,销售录入!$B$4:$B$203,B174),0)</f>
        <v>0</v>
      </c>
      <c r="H174" s="17">
        <f>SUMIFS(资金流水!$Q$4:$Q$203,资金流水!$P$4:$P$203,E174,资金流水!$B$4:$B$203,B174)+IF(E174="6001",SUMIFS(销售录入!$I$4:$I$203,销售录入!$B$4:$B$203,B174),0)+IF(E174="1405",SUMIFS(销售录入!$K$4:$K$203,销售录入!$B$4:$B$203,B174),0)+IF(E174="2202",SUMIFS(采购录入!$I$4:$I$203,采购录入!$B$4:$B$203,B174),0)</f>
        <v>0</v>
      </c>
    </row>
    <row r="175" spans="1:8">
      <c r="A175" s="5">
        <f t="shared" si="1"/>
        <v>46266</v>
      </c>
      <c r="B175" t="s">
        <v>566</v>
      </c>
      <c r="C175" t="s">
        <v>567</v>
      </c>
      <c r="D175" t="s">
        <v>542</v>
      </c>
      <c r="E175" t="s">
        <v>78</v>
      </c>
      <c r="F175" t="s">
        <v>100</v>
      </c>
      <c r="G175" s="17">
        <f>SUMIFS(资金流水!$Q$4:$Q$203,资金流水!$O$4:$O$203,E175,资金流水!$B$4:$B$203,B175)+IF(E175="1122",SUMIFS(销售录入!$I$4:$I$203,销售录入!$B$4:$B$203,B175),0)+IF(E175="1405",SUMIFS(采购录入!$I$4:$I$203,采购录入!$B$4:$B$203,B175),0)+IF(E175="6401",SUMIFS(销售录入!$K$4:$K$203,销售录入!$B$4:$B$203,B175),0)</f>
        <v>0</v>
      </c>
      <c r="H175" s="17">
        <f>SUMIFS(资金流水!$Q$4:$Q$203,资金流水!$P$4:$P$203,E175,资金流水!$B$4:$B$203,B175)+IF(E175="6001",SUMIFS(销售录入!$I$4:$I$203,销售录入!$B$4:$B$203,B175),0)+IF(E175="1405",SUMIFS(销售录入!$K$4:$K$203,销售录入!$B$4:$B$203,B175),0)+IF(E175="2202",SUMIFS(采购录入!$I$4:$I$203,采购录入!$B$4:$B$203,B175),0)</f>
        <v>0</v>
      </c>
    </row>
    <row r="176" spans="1:8">
      <c r="A176" s="5">
        <f t="shared" si="1"/>
        <v>46266</v>
      </c>
      <c r="B176" t="s">
        <v>566</v>
      </c>
      <c r="C176" t="s">
        <v>567</v>
      </c>
      <c r="D176" t="s">
        <v>543</v>
      </c>
      <c r="E176" t="s">
        <v>79</v>
      </c>
      <c r="F176" t="s">
        <v>155</v>
      </c>
      <c r="G176" s="17">
        <f>SUMIFS(资金流水!$Q$4:$Q$203,资金流水!$O$4:$O$203,E176,资金流水!$B$4:$B$203,B176)+IF(E176="1122",SUMIFS(销售录入!$I$4:$I$203,销售录入!$B$4:$B$203,B176),0)+IF(E176="1405",SUMIFS(采购录入!$I$4:$I$203,采购录入!$B$4:$B$203,B176),0)+IF(E176="6401",SUMIFS(销售录入!$K$4:$K$203,销售录入!$B$4:$B$203,B176),0)</f>
        <v>0</v>
      </c>
      <c r="H176" s="17">
        <f>SUMIFS(资金流水!$Q$4:$Q$203,资金流水!$P$4:$P$203,E176,资金流水!$B$4:$B$203,B176)+IF(E176="6001",SUMIFS(销售录入!$I$4:$I$203,销售录入!$B$4:$B$203,B176),0)+IF(E176="1405",SUMIFS(销售录入!$K$4:$K$203,销售录入!$B$4:$B$203,B176),0)+IF(E176="2202",SUMIFS(采购录入!$I$4:$I$203,采购录入!$B$4:$B$203,B176),0)</f>
        <v>0</v>
      </c>
    </row>
    <row r="177" spans="1:8">
      <c r="A177" s="5">
        <f t="shared" si="1"/>
        <v>46266</v>
      </c>
      <c r="B177" t="s">
        <v>566</v>
      </c>
      <c r="C177" t="s">
        <v>567</v>
      </c>
      <c r="D177" t="s">
        <v>544</v>
      </c>
      <c r="E177" t="s">
        <v>237</v>
      </c>
      <c r="F177" t="s">
        <v>238</v>
      </c>
      <c r="G177" s="17">
        <f>SUMIFS(资金流水!$Q$4:$Q$203,资金流水!$O$4:$O$203,E177,资金流水!$B$4:$B$203,B177)+IF(E177="1122",SUMIFS(销售录入!$I$4:$I$203,销售录入!$B$4:$B$203,B177),0)+IF(E177="1405",SUMIFS(采购录入!$I$4:$I$203,采购录入!$B$4:$B$203,B177),0)+IF(E177="6401",SUMIFS(销售录入!$K$4:$K$203,销售录入!$B$4:$B$203,B177),0)</f>
        <v>0</v>
      </c>
      <c r="H177" s="17">
        <f>SUMIFS(资金流水!$Q$4:$Q$203,资金流水!$P$4:$P$203,E177,资金流水!$B$4:$B$203,B177)+IF(E177="6001",SUMIFS(销售录入!$I$4:$I$203,销售录入!$B$4:$B$203,B177),0)+IF(E177="1405",SUMIFS(销售录入!$K$4:$K$203,销售录入!$B$4:$B$203,B177),0)+IF(E177="2202",SUMIFS(采购录入!$I$4:$I$203,采购录入!$B$4:$B$203,B177),0)</f>
        <v>0</v>
      </c>
    </row>
    <row r="178" spans="1:8">
      <c r="A178" s="5">
        <f t="shared" si="1"/>
        <v>46266</v>
      </c>
      <c r="B178" t="s">
        <v>566</v>
      </c>
      <c r="C178" t="s">
        <v>567</v>
      </c>
      <c r="D178" t="s">
        <v>545</v>
      </c>
      <c r="E178" t="s">
        <v>218</v>
      </c>
      <c r="F178" t="s">
        <v>295</v>
      </c>
      <c r="G178" s="17">
        <f>SUMIFS(资金流水!$Q$4:$Q$203,资金流水!$O$4:$O$203,E178,资金流水!$B$4:$B$203,B178)+IF(E178="1122",SUMIFS(销售录入!$I$4:$I$203,销售录入!$B$4:$B$203,B178),0)+IF(E178="1405",SUMIFS(采购录入!$I$4:$I$203,采购录入!$B$4:$B$203,B178),0)+IF(E178="6401",SUMIFS(销售录入!$K$4:$K$203,销售录入!$B$4:$B$203,B178),0)</f>
        <v>0</v>
      </c>
      <c r="H178" s="17">
        <f>SUMIFS(资金流水!$Q$4:$Q$203,资金流水!$P$4:$P$203,E178,资金流水!$B$4:$B$203,B178)+IF(E178="6001",SUMIFS(销售录入!$I$4:$I$203,销售录入!$B$4:$B$203,B178),0)+IF(E178="1405",SUMIFS(销售录入!$K$4:$K$203,销售录入!$B$4:$B$203,B178),0)+IF(E178="2202",SUMIFS(采购录入!$I$4:$I$203,采购录入!$B$4:$B$203,B178),0)</f>
        <v>0</v>
      </c>
    </row>
    <row r="179" spans="1:8">
      <c r="A179" s="5">
        <f t="shared" si="1"/>
        <v>46266</v>
      </c>
      <c r="B179" t="s">
        <v>566</v>
      </c>
      <c r="C179" t="s">
        <v>567</v>
      </c>
      <c r="D179" t="s">
        <v>546</v>
      </c>
      <c r="E179" t="s">
        <v>348</v>
      </c>
      <c r="F179" t="s">
        <v>349</v>
      </c>
      <c r="G179" s="17">
        <f>SUMIFS(资金流水!$Q$4:$Q$203,资金流水!$O$4:$O$203,E179,资金流水!$B$4:$B$203,B179)+IF(E179="1122",SUMIFS(销售录入!$I$4:$I$203,销售录入!$B$4:$B$203,B179),0)+IF(E179="1405",SUMIFS(采购录入!$I$4:$I$203,采购录入!$B$4:$B$203,B179),0)+IF(E179="6401",SUMIFS(销售录入!$K$4:$K$203,销售录入!$B$4:$B$203,B179),0)</f>
        <v>0</v>
      </c>
      <c r="H179" s="17">
        <f>SUMIFS(资金流水!$Q$4:$Q$203,资金流水!$P$4:$P$203,E179,资金流水!$B$4:$B$203,B179)+IF(E179="6001",SUMIFS(销售录入!$I$4:$I$203,销售录入!$B$4:$B$203,B179),0)+IF(E179="1405",SUMIFS(销售录入!$K$4:$K$203,销售录入!$B$4:$B$203,B179),0)+IF(E179="2202",SUMIFS(采购录入!$I$4:$I$203,采购录入!$B$4:$B$203,B179),0)</f>
        <v>0</v>
      </c>
    </row>
    <row r="180" spans="1:8">
      <c r="A180" s="5">
        <f t="shared" si="1"/>
        <v>46266</v>
      </c>
      <c r="B180" t="s">
        <v>566</v>
      </c>
      <c r="C180" t="s">
        <v>567</v>
      </c>
      <c r="D180" t="s">
        <v>547</v>
      </c>
      <c r="E180" t="s">
        <v>99</v>
      </c>
      <c r="F180" t="s">
        <v>112</v>
      </c>
      <c r="G180" s="17">
        <f>SUMIFS(资金流水!$Q$4:$Q$203,资金流水!$O$4:$O$203,E180,资金流水!$B$4:$B$203,B180)+IF(E180="1122",SUMIFS(销售录入!$I$4:$I$203,销售录入!$B$4:$B$203,B180),0)+IF(E180="1405",SUMIFS(采购录入!$I$4:$I$203,采购录入!$B$4:$B$203,B180),0)+IF(E180="6401",SUMIFS(销售录入!$K$4:$K$203,销售录入!$B$4:$B$203,B180),0)</f>
        <v>0</v>
      </c>
      <c r="H180" s="17">
        <f>SUMIFS(资金流水!$Q$4:$Q$203,资金流水!$P$4:$P$203,E180,资金流水!$B$4:$B$203,B180)+IF(E180="6001",SUMIFS(销售录入!$I$4:$I$203,销售录入!$B$4:$B$203,B180),0)+IF(E180="1405",SUMIFS(销售录入!$K$4:$K$203,销售录入!$B$4:$B$203,B180),0)+IF(E180="2202",SUMIFS(采购录入!$I$4:$I$203,采购录入!$B$4:$B$203,B180),0)</f>
        <v>0</v>
      </c>
    </row>
    <row r="181" spans="1:8">
      <c r="A181" s="5">
        <f t="shared" si="1"/>
        <v>46266</v>
      </c>
      <c r="B181" t="s">
        <v>566</v>
      </c>
      <c r="C181" t="s">
        <v>567</v>
      </c>
      <c r="D181" t="s">
        <v>548</v>
      </c>
      <c r="E181" t="s">
        <v>363</v>
      </c>
      <c r="F181" t="s">
        <v>364</v>
      </c>
      <c r="G181" s="17">
        <f>SUMIFS(资金流水!$Q$4:$Q$203,资金流水!$O$4:$O$203,E181,资金流水!$B$4:$B$203,B181)+IF(E181="1122",SUMIFS(销售录入!$I$4:$I$203,销售录入!$B$4:$B$203,B181),0)+IF(E181="1405",SUMIFS(采购录入!$I$4:$I$203,采购录入!$B$4:$B$203,B181),0)+IF(E181="6401",SUMIFS(销售录入!$K$4:$K$203,销售录入!$B$4:$B$203,B181),0)</f>
        <v>0</v>
      </c>
      <c r="H181" s="17">
        <f>SUMIFS(资金流水!$Q$4:$Q$203,资金流水!$P$4:$P$203,E181,资金流水!$B$4:$B$203,B181)+IF(E181="6001",SUMIFS(销售录入!$I$4:$I$203,销售录入!$B$4:$B$203,B181),0)+IF(E181="1405",SUMIFS(销售录入!$K$4:$K$203,销售录入!$B$4:$B$203,B181),0)+IF(E181="2202",SUMIFS(采购录入!$I$4:$I$203,采购录入!$B$4:$B$203,B181),0)</f>
        <v>0</v>
      </c>
    </row>
    <row r="182" spans="1:8">
      <c r="A182" s="5">
        <f t="shared" si="1"/>
        <v>46266</v>
      </c>
      <c r="B182" t="s">
        <v>566</v>
      </c>
      <c r="C182" t="s">
        <v>567</v>
      </c>
      <c r="D182" t="s">
        <v>549</v>
      </c>
      <c r="E182" t="s">
        <v>246</v>
      </c>
      <c r="F182" t="s">
        <v>372</v>
      </c>
      <c r="G182" s="17">
        <f>SUMIFS(资金流水!$Q$4:$Q$203,资金流水!$O$4:$O$203,E182,资金流水!$B$4:$B$203,B182)+IF(E182="1122",SUMIFS(销售录入!$I$4:$I$203,销售录入!$B$4:$B$203,B182),0)+IF(E182="1405",SUMIFS(采购录入!$I$4:$I$203,采购录入!$B$4:$B$203,B182),0)+IF(E182="6401",SUMIFS(销售录入!$K$4:$K$203,销售录入!$B$4:$B$203,B182),0)</f>
        <v>0</v>
      </c>
      <c r="H182" s="17">
        <f>SUMIFS(资金流水!$Q$4:$Q$203,资金流水!$P$4:$P$203,E182,资金流水!$B$4:$B$203,B182)+IF(E182="6001",SUMIFS(销售录入!$I$4:$I$203,销售录入!$B$4:$B$203,B182),0)+IF(E182="1405",SUMIFS(销售录入!$K$4:$K$203,销售录入!$B$4:$B$203,B182),0)+IF(E182="2202",SUMIFS(采购录入!$I$4:$I$203,采购录入!$B$4:$B$203,B182),0)</f>
        <v>0</v>
      </c>
    </row>
    <row r="183" spans="1:8">
      <c r="A183" s="5">
        <f t="shared" si="1"/>
        <v>46266</v>
      </c>
      <c r="B183" t="s">
        <v>566</v>
      </c>
      <c r="C183" t="s">
        <v>567</v>
      </c>
      <c r="D183" t="s">
        <v>550</v>
      </c>
      <c r="E183" t="s">
        <v>223</v>
      </c>
      <c r="F183" t="s">
        <v>374</v>
      </c>
      <c r="G183" s="17">
        <f>SUMIFS(资金流水!$Q$4:$Q$203,资金流水!$O$4:$O$203,E183,资金流水!$B$4:$B$203,B183)+IF(E183="1122",SUMIFS(销售录入!$I$4:$I$203,销售录入!$B$4:$B$203,B183),0)+IF(E183="1405",SUMIFS(采购录入!$I$4:$I$203,采购录入!$B$4:$B$203,B183),0)+IF(E183="6401",SUMIFS(销售录入!$K$4:$K$203,销售录入!$B$4:$B$203,B183),0)</f>
        <v>0</v>
      </c>
      <c r="H183" s="17">
        <f>SUMIFS(资金流水!$Q$4:$Q$203,资金流水!$P$4:$P$203,E183,资金流水!$B$4:$B$203,B183)+IF(E183="6001",SUMIFS(销售录入!$I$4:$I$203,销售录入!$B$4:$B$203,B183),0)+IF(E183="1405",SUMIFS(销售录入!$K$4:$K$203,销售录入!$B$4:$B$203,B183),0)+IF(E183="2202",SUMIFS(采购录入!$I$4:$I$203,采购录入!$B$4:$B$203,B183),0)</f>
        <v>0</v>
      </c>
    </row>
    <row r="184" spans="1:8">
      <c r="A184" s="5">
        <f t="shared" si="1"/>
        <v>46266</v>
      </c>
      <c r="B184" t="s">
        <v>566</v>
      </c>
      <c r="C184" t="s">
        <v>567</v>
      </c>
      <c r="D184" t="s">
        <v>551</v>
      </c>
      <c r="E184" t="s">
        <v>253</v>
      </c>
      <c r="F184" t="s">
        <v>375</v>
      </c>
      <c r="G184" s="17">
        <f>SUMIFS(资金流水!$Q$4:$Q$203,资金流水!$O$4:$O$203,E184,资金流水!$B$4:$B$203,B184)+IF(E184="1122",SUMIFS(销售录入!$I$4:$I$203,销售录入!$B$4:$B$203,B184),0)+IF(E184="1405",SUMIFS(采购录入!$I$4:$I$203,采购录入!$B$4:$B$203,B184),0)+IF(E184="6401",SUMIFS(销售录入!$K$4:$K$203,销售录入!$B$4:$B$203,B184),0)</f>
        <v>0</v>
      </c>
      <c r="H184" s="17">
        <f>SUMIFS(资金流水!$Q$4:$Q$203,资金流水!$P$4:$P$203,E184,资金流水!$B$4:$B$203,B184)+IF(E184="6001",SUMIFS(销售录入!$I$4:$I$203,销售录入!$B$4:$B$203,B184),0)+IF(E184="1405",SUMIFS(销售录入!$K$4:$K$203,销售录入!$B$4:$B$203,B184),0)+IF(E184="2202",SUMIFS(采购录入!$I$4:$I$203,采购录入!$B$4:$B$203,B184),0)</f>
        <v>0</v>
      </c>
    </row>
    <row r="185" spans="1:8">
      <c r="A185" s="5">
        <f t="shared" si="1"/>
        <v>46296</v>
      </c>
      <c r="B185" t="s">
        <v>568</v>
      </c>
      <c r="C185" t="s">
        <v>569</v>
      </c>
      <c r="D185" t="s">
        <v>541</v>
      </c>
      <c r="E185" t="s">
        <v>63</v>
      </c>
      <c r="F185" t="s">
        <v>80</v>
      </c>
      <c r="G185" s="17">
        <f>SUMIFS(资金流水!$Q$4:$Q$203,资金流水!$O$4:$O$203,E185,资金流水!$B$4:$B$203,B185)+IF(E185="1122",SUMIFS(销售录入!$I$4:$I$203,销售录入!$B$4:$B$203,B185),0)+IF(E185="1405",SUMIFS(采购录入!$I$4:$I$203,采购录入!$B$4:$B$203,B185),0)+IF(E185="6401",SUMIFS(销售录入!$K$4:$K$203,销售录入!$B$4:$B$203,B185),0)</f>
        <v>0</v>
      </c>
      <c r="H185" s="17">
        <f>SUMIFS(资金流水!$Q$4:$Q$203,资金流水!$P$4:$P$203,E185,资金流水!$B$4:$B$203,B185)+IF(E185="6001",SUMIFS(销售录入!$I$4:$I$203,销售录入!$B$4:$B$203,B185),0)+IF(E185="1405",SUMIFS(销售录入!$K$4:$K$203,销售录入!$B$4:$B$203,B185),0)+IF(E185="2202",SUMIFS(采购录入!$I$4:$I$203,采购录入!$B$4:$B$203,B185),0)</f>
        <v>0</v>
      </c>
    </row>
    <row r="186" spans="1:8">
      <c r="A186" s="5">
        <f t="shared" si="1"/>
        <v>46296</v>
      </c>
      <c r="B186" t="s">
        <v>568</v>
      </c>
      <c r="C186" t="s">
        <v>569</v>
      </c>
      <c r="D186" t="s">
        <v>542</v>
      </c>
      <c r="E186" t="s">
        <v>78</v>
      </c>
      <c r="F186" t="s">
        <v>100</v>
      </c>
      <c r="G186" s="17">
        <f>SUMIFS(资金流水!$Q$4:$Q$203,资金流水!$O$4:$O$203,E186,资金流水!$B$4:$B$203,B186)+IF(E186="1122",SUMIFS(销售录入!$I$4:$I$203,销售录入!$B$4:$B$203,B186),0)+IF(E186="1405",SUMIFS(采购录入!$I$4:$I$203,采购录入!$B$4:$B$203,B186),0)+IF(E186="6401",SUMIFS(销售录入!$K$4:$K$203,销售录入!$B$4:$B$203,B186),0)</f>
        <v>0</v>
      </c>
      <c r="H186" s="17">
        <f>SUMIFS(资金流水!$Q$4:$Q$203,资金流水!$P$4:$P$203,E186,资金流水!$B$4:$B$203,B186)+IF(E186="6001",SUMIFS(销售录入!$I$4:$I$203,销售录入!$B$4:$B$203,B186),0)+IF(E186="1405",SUMIFS(销售录入!$K$4:$K$203,销售录入!$B$4:$B$203,B186),0)+IF(E186="2202",SUMIFS(采购录入!$I$4:$I$203,采购录入!$B$4:$B$203,B186),0)</f>
        <v>0</v>
      </c>
    </row>
    <row r="187" spans="1:8">
      <c r="A187" s="5">
        <f t="shared" si="1"/>
        <v>46296</v>
      </c>
      <c r="B187" t="s">
        <v>568</v>
      </c>
      <c r="C187" t="s">
        <v>569</v>
      </c>
      <c r="D187" t="s">
        <v>543</v>
      </c>
      <c r="E187" t="s">
        <v>79</v>
      </c>
      <c r="F187" t="s">
        <v>155</v>
      </c>
      <c r="G187" s="17">
        <f>SUMIFS(资金流水!$Q$4:$Q$203,资金流水!$O$4:$O$203,E187,资金流水!$B$4:$B$203,B187)+IF(E187="1122",SUMIFS(销售录入!$I$4:$I$203,销售录入!$B$4:$B$203,B187),0)+IF(E187="1405",SUMIFS(采购录入!$I$4:$I$203,采购录入!$B$4:$B$203,B187),0)+IF(E187="6401",SUMIFS(销售录入!$K$4:$K$203,销售录入!$B$4:$B$203,B187),0)</f>
        <v>0</v>
      </c>
      <c r="H187" s="17">
        <f>SUMIFS(资金流水!$Q$4:$Q$203,资金流水!$P$4:$P$203,E187,资金流水!$B$4:$B$203,B187)+IF(E187="6001",SUMIFS(销售录入!$I$4:$I$203,销售录入!$B$4:$B$203,B187),0)+IF(E187="1405",SUMIFS(销售录入!$K$4:$K$203,销售录入!$B$4:$B$203,B187),0)+IF(E187="2202",SUMIFS(采购录入!$I$4:$I$203,采购录入!$B$4:$B$203,B187),0)</f>
        <v>0</v>
      </c>
    </row>
    <row r="188" spans="1:8">
      <c r="A188" s="5">
        <f t="shared" si="1"/>
        <v>46296</v>
      </c>
      <c r="B188" t="s">
        <v>568</v>
      </c>
      <c r="C188" t="s">
        <v>569</v>
      </c>
      <c r="D188" t="s">
        <v>544</v>
      </c>
      <c r="E188" t="s">
        <v>237</v>
      </c>
      <c r="F188" t="s">
        <v>238</v>
      </c>
      <c r="G188" s="17">
        <f>SUMIFS(资金流水!$Q$4:$Q$203,资金流水!$O$4:$O$203,E188,资金流水!$B$4:$B$203,B188)+IF(E188="1122",SUMIFS(销售录入!$I$4:$I$203,销售录入!$B$4:$B$203,B188),0)+IF(E188="1405",SUMIFS(采购录入!$I$4:$I$203,采购录入!$B$4:$B$203,B188),0)+IF(E188="6401",SUMIFS(销售录入!$K$4:$K$203,销售录入!$B$4:$B$203,B188),0)</f>
        <v>0</v>
      </c>
      <c r="H188" s="17">
        <f>SUMIFS(资金流水!$Q$4:$Q$203,资金流水!$P$4:$P$203,E188,资金流水!$B$4:$B$203,B188)+IF(E188="6001",SUMIFS(销售录入!$I$4:$I$203,销售录入!$B$4:$B$203,B188),0)+IF(E188="1405",SUMIFS(销售录入!$K$4:$K$203,销售录入!$B$4:$B$203,B188),0)+IF(E188="2202",SUMIFS(采购录入!$I$4:$I$203,采购录入!$B$4:$B$203,B188),0)</f>
        <v>0</v>
      </c>
    </row>
    <row r="189" spans="1:8">
      <c r="A189" s="5">
        <f t="shared" si="1"/>
        <v>46296</v>
      </c>
      <c r="B189" t="s">
        <v>568</v>
      </c>
      <c r="C189" t="s">
        <v>569</v>
      </c>
      <c r="D189" t="s">
        <v>545</v>
      </c>
      <c r="E189" t="s">
        <v>218</v>
      </c>
      <c r="F189" t="s">
        <v>295</v>
      </c>
      <c r="G189" s="17">
        <f>SUMIFS(资金流水!$Q$4:$Q$203,资金流水!$O$4:$O$203,E189,资金流水!$B$4:$B$203,B189)+IF(E189="1122",SUMIFS(销售录入!$I$4:$I$203,销售录入!$B$4:$B$203,B189),0)+IF(E189="1405",SUMIFS(采购录入!$I$4:$I$203,采购录入!$B$4:$B$203,B189),0)+IF(E189="6401",SUMIFS(销售录入!$K$4:$K$203,销售录入!$B$4:$B$203,B189),0)</f>
        <v>0</v>
      </c>
      <c r="H189" s="17">
        <f>SUMIFS(资金流水!$Q$4:$Q$203,资金流水!$P$4:$P$203,E189,资金流水!$B$4:$B$203,B189)+IF(E189="6001",SUMIFS(销售录入!$I$4:$I$203,销售录入!$B$4:$B$203,B189),0)+IF(E189="1405",SUMIFS(销售录入!$K$4:$K$203,销售录入!$B$4:$B$203,B189),0)+IF(E189="2202",SUMIFS(采购录入!$I$4:$I$203,采购录入!$B$4:$B$203,B189),0)</f>
        <v>0</v>
      </c>
    </row>
    <row r="190" spans="1:8">
      <c r="A190" s="5">
        <f t="shared" si="1"/>
        <v>46296</v>
      </c>
      <c r="B190" t="s">
        <v>568</v>
      </c>
      <c r="C190" t="s">
        <v>569</v>
      </c>
      <c r="D190" t="s">
        <v>546</v>
      </c>
      <c r="E190" t="s">
        <v>348</v>
      </c>
      <c r="F190" t="s">
        <v>349</v>
      </c>
      <c r="G190" s="17">
        <f>SUMIFS(资金流水!$Q$4:$Q$203,资金流水!$O$4:$O$203,E190,资金流水!$B$4:$B$203,B190)+IF(E190="1122",SUMIFS(销售录入!$I$4:$I$203,销售录入!$B$4:$B$203,B190),0)+IF(E190="1405",SUMIFS(采购录入!$I$4:$I$203,采购录入!$B$4:$B$203,B190),0)+IF(E190="6401",SUMIFS(销售录入!$K$4:$K$203,销售录入!$B$4:$B$203,B190),0)</f>
        <v>0</v>
      </c>
      <c r="H190" s="17">
        <f>SUMIFS(资金流水!$Q$4:$Q$203,资金流水!$P$4:$P$203,E190,资金流水!$B$4:$B$203,B190)+IF(E190="6001",SUMIFS(销售录入!$I$4:$I$203,销售录入!$B$4:$B$203,B190),0)+IF(E190="1405",SUMIFS(销售录入!$K$4:$K$203,销售录入!$B$4:$B$203,B190),0)+IF(E190="2202",SUMIFS(采购录入!$I$4:$I$203,采购录入!$B$4:$B$203,B190),0)</f>
        <v>0</v>
      </c>
    </row>
    <row r="191" spans="1:8">
      <c r="A191" s="5">
        <f t="shared" si="1"/>
        <v>46296</v>
      </c>
      <c r="B191" t="s">
        <v>568</v>
      </c>
      <c r="C191" t="s">
        <v>569</v>
      </c>
      <c r="D191" t="s">
        <v>547</v>
      </c>
      <c r="E191" t="s">
        <v>99</v>
      </c>
      <c r="F191" t="s">
        <v>112</v>
      </c>
      <c r="G191" s="17">
        <f>SUMIFS(资金流水!$Q$4:$Q$203,资金流水!$O$4:$O$203,E191,资金流水!$B$4:$B$203,B191)+IF(E191="1122",SUMIFS(销售录入!$I$4:$I$203,销售录入!$B$4:$B$203,B191),0)+IF(E191="1405",SUMIFS(采购录入!$I$4:$I$203,采购录入!$B$4:$B$203,B191),0)+IF(E191="6401",SUMIFS(销售录入!$K$4:$K$203,销售录入!$B$4:$B$203,B191),0)</f>
        <v>0</v>
      </c>
      <c r="H191" s="17">
        <f>SUMIFS(资金流水!$Q$4:$Q$203,资金流水!$P$4:$P$203,E191,资金流水!$B$4:$B$203,B191)+IF(E191="6001",SUMIFS(销售录入!$I$4:$I$203,销售录入!$B$4:$B$203,B191),0)+IF(E191="1405",SUMIFS(销售录入!$K$4:$K$203,销售录入!$B$4:$B$203,B191),0)+IF(E191="2202",SUMIFS(采购录入!$I$4:$I$203,采购录入!$B$4:$B$203,B191),0)</f>
        <v>0</v>
      </c>
    </row>
    <row r="192" spans="1:8">
      <c r="A192" s="5">
        <f t="shared" si="1"/>
        <v>46296</v>
      </c>
      <c r="B192" t="s">
        <v>568</v>
      </c>
      <c r="C192" t="s">
        <v>569</v>
      </c>
      <c r="D192" t="s">
        <v>548</v>
      </c>
      <c r="E192" t="s">
        <v>363</v>
      </c>
      <c r="F192" t="s">
        <v>364</v>
      </c>
      <c r="G192" s="17">
        <f>SUMIFS(资金流水!$Q$4:$Q$203,资金流水!$O$4:$O$203,E192,资金流水!$B$4:$B$203,B192)+IF(E192="1122",SUMIFS(销售录入!$I$4:$I$203,销售录入!$B$4:$B$203,B192),0)+IF(E192="1405",SUMIFS(采购录入!$I$4:$I$203,采购录入!$B$4:$B$203,B192),0)+IF(E192="6401",SUMIFS(销售录入!$K$4:$K$203,销售录入!$B$4:$B$203,B192),0)</f>
        <v>0</v>
      </c>
      <c r="H192" s="17">
        <f>SUMIFS(资金流水!$Q$4:$Q$203,资金流水!$P$4:$P$203,E192,资金流水!$B$4:$B$203,B192)+IF(E192="6001",SUMIFS(销售录入!$I$4:$I$203,销售录入!$B$4:$B$203,B192),0)+IF(E192="1405",SUMIFS(销售录入!$K$4:$K$203,销售录入!$B$4:$B$203,B192),0)+IF(E192="2202",SUMIFS(采购录入!$I$4:$I$203,采购录入!$B$4:$B$203,B192),0)</f>
        <v>0</v>
      </c>
    </row>
    <row r="193" spans="1:8">
      <c r="A193" s="5">
        <f t="shared" si="1"/>
        <v>46296</v>
      </c>
      <c r="B193" t="s">
        <v>568</v>
      </c>
      <c r="C193" t="s">
        <v>569</v>
      </c>
      <c r="D193" t="s">
        <v>549</v>
      </c>
      <c r="E193" t="s">
        <v>246</v>
      </c>
      <c r="F193" t="s">
        <v>372</v>
      </c>
      <c r="G193" s="17">
        <f>SUMIFS(资金流水!$Q$4:$Q$203,资金流水!$O$4:$O$203,E193,资金流水!$B$4:$B$203,B193)+IF(E193="1122",SUMIFS(销售录入!$I$4:$I$203,销售录入!$B$4:$B$203,B193),0)+IF(E193="1405",SUMIFS(采购录入!$I$4:$I$203,采购录入!$B$4:$B$203,B193),0)+IF(E193="6401",SUMIFS(销售录入!$K$4:$K$203,销售录入!$B$4:$B$203,B193),0)</f>
        <v>0</v>
      </c>
      <c r="H193" s="17">
        <f>SUMIFS(资金流水!$Q$4:$Q$203,资金流水!$P$4:$P$203,E193,资金流水!$B$4:$B$203,B193)+IF(E193="6001",SUMIFS(销售录入!$I$4:$I$203,销售录入!$B$4:$B$203,B193),0)+IF(E193="1405",SUMIFS(销售录入!$K$4:$K$203,销售录入!$B$4:$B$203,B193),0)+IF(E193="2202",SUMIFS(采购录入!$I$4:$I$203,采购录入!$B$4:$B$203,B193),0)</f>
        <v>0</v>
      </c>
    </row>
    <row r="194" spans="1:8">
      <c r="A194" s="5">
        <f t="shared" si="1"/>
        <v>46296</v>
      </c>
      <c r="B194" t="s">
        <v>568</v>
      </c>
      <c r="C194" t="s">
        <v>569</v>
      </c>
      <c r="D194" t="s">
        <v>550</v>
      </c>
      <c r="E194" t="s">
        <v>223</v>
      </c>
      <c r="F194" t="s">
        <v>374</v>
      </c>
      <c r="G194" s="17">
        <f>SUMIFS(资金流水!$Q$4:$Q$203,资金流水!$O$4:$O$203,E194,资金流水!$B$4:$B$203,B194)+IF(E194="1122",SUMIFS(销售录入!$I$4:$I$203,销售录入!$B$4:$B$203,B194),0)+IF(E194="1405",SUMIFS(采购录入!$I$4:$I$203,采购录入!$B$4:$B$203,B194),0)+IF(E194="6401",SUMIFS(销售录入!$K$4:$K$203,销售录入!$B$4:$B$203,B194),0)</f>
        <v>0</v>
      </c>
      <c r="H194" s="17">
        <f>SUMIFS(资金流水!$Q$4:$Q$203,资金流水!$P$4:$P$203,E194,资金流水!$B$4:$B$203,B194)+IF(E194="6001",SUMIFS(销售录入!$I$4:$I$203,销售录入!$B$4:$B$203,B194),0)+IF(E194="1405",SUMIFS(销售录入!$K$4:$K$203,销售录入!$B$4:$B$203,B194),0)+IF(E194="2202",SUMIFS(采购录入!$I$4:$I$203,采购录入!$B$4:$B$203,B194),0)</f>
        <v>0</v>
      </c>
    </row>
    <row r="195" spans="1:8">
      <c r="A195" s="5">
        <f t="shared" si="1"/>
        <v>46296</v>
      </c>
      <c r="B195" t="s">
        <v>568</v>
      </c>
      <c r="C195" t="s">
        <v>569</v>
      </c>
      <c r="D195" t="s">
        <v>551</v>
      </c>
      <c r="E195" t="s">
        <v>253</v>
      </c>
      <c r="F195" t="s">
        <v>375</v>
      </c>
      <c r="G195" s="17">
        <f>SUMIFS(资金流水!$Q$4:$Q$203,资金流水!$O$4:$O$203,E195,资金流水!$B$4:$B$203,B195)+IF(E195="1122",SUMIFS(销售录入!$I$4:$I$203,销售录入!$B$4:$B$203,B195),0)+IF(E195="1405",SUMIFS(采购录入!$I$4:$I$203,采购录入!$B$4:$B$203,B195),0)+IF(E195="6401",SUMIFS(销售录入!$K$4:$K$203,销售录入!$B$4:$B$203,B195),0)</f>
        <v>0</v>
      </c>
      <c r="H195" s="17">
        <f>SUMIFS(资金流水!$Q$4:$Q$203,资金流水!$P$4:$P$203,E195,资金流水!$B$4:$B$203,B195)+IF(E195="6001",SUMIFS(销售录入!$I$4:$I$203,销售录入!$B$4:$B$203,B195),0)+IF(E195="1405",SUMIFS(销售录入!$K$4:$K$203,销售录入!$B$4:$B$203,B195),0)+IF(E195="2202",SUMIFS(采购录入!$I$4:$I$203,采购录入!$B$4:$B$203,B195),0)</f>
        <v>0</v>
      </c>
    </row>
    <row r="196" spans="1:8">
      <c r="A196" s="5">
        <f t="shared" si="1"/>
        <v>46327</v>
      </c>
      <c r="B196" t="s">
        <v>570</v>
      </c>
      <c r="C196" t="s">
        <v>571</v>
      </c>
      <c r="D196" t="s">
        <v>541</v>
      </c>
      <c r="E196" t="s">
        <v>63</v>
      </c>
      <c r="F196" t="s">
        <v>80</v>
      </c>
      <c r="G196" s="17">
        <f>SUMIFS(资金流水!$Q$4:$Q$203,资金流水!$O$4:$O$203,E196,资金流水!$B$4:$B$203,B196)+IF(E196="1122",SUMIFS(销售录入!$I$4:$I$203,销售录入!$B$4:$B$203,B196),0)+IF(E196="1405",SUMIFS(采购录入!$I$4:$I$203,采购录入!$B$4:$B$203,B196),0)+IF(E196="6401",SUMIFS(销售录入!$K$4:$K$203,销售录入!$B$4:$B$203,B196),0)</f>
        <v>0</v>
      </c>
      <c r="H196" s="17">
        <f>SUMIFS(资金流水!$Q$4:$Q$203,资金流水!$P$4:$P$203,E196,资金流水!$B$4:$B$203,B196)+IF(E196="6001",SUMIFS(销售录入!$I$4:$I$203,销售录入!$B$4:$B$203,B196),0)+IF(E196="1405",SUMIFS(销售录入!$K$4:$K$203,销售录入!$B$4:$B$203,B196),0)+IF(E196="2202",SUMIFS(采购录入!$I$4:$I$203,采购录入!$B$4:$B$203,B196),0)</f>
        <v>0</v>
      </c>
    </row>
    <row r="197" spans="1:8">
      <c r="A197" s="5">
        <f t="shared" si="1"/>
        <v>46327</v>
      </c>
      <c r="B197" t="s">
        <v>570</v>
      </c>
      <c r="C197" t="s">
        <v>571</v>
      </c>
      <c r="D197" t="s">
        <v>542</v>
      </c>
      <c r="E197" t="s">
        <v>78</v>
      </c>
      <c r="F197" t="s">
        <v>100</v>
      </c>
      <c r="G197" s="17">
        <f>SUMIFS(资金流水!$Q$4:$Q$203,资金流水!$O$4:$O$203,E197,资金流水!$B$4:$B$203,B197)+IF(E197="1122",SUMIFS(销售录入!$I$4:$I$203,销售录入!$B$4:$B$203,B197),0)+IF(E197="1405",SUMIFS(采购录入!$I$4:$I$203,采购录入!$B$4:$B$203,B197),0)+IF(E197="6401",SUMIFS(销售录入!$K$4:$K$203,销售录入!$B$4:$B$203,B197),0)</f>
        <v>0</v>
      </c>
      <c r="H197" s="17">
        <f>SUMIFS(资金流水!$Q$4:$Q$203,资金流水!$P$4:$P$203,E197,资金流水!$B$4:$B$203,B197)+IF(E197="6001",SUMIFS(销售录入!$I$4:$I$203,销售录入!$B$4:$B$203,B197),0)+IF(E197="1405",SUMIFS(销售录入!$K$4:$K$203,销售录入!$B$4:$B$203,B197),0)+IF(E197="2202",SUMIFS(采购录入!$I$4:$I$203,采购录入!$B$4:$B$203,B197),0)</f>
        <v>0</v>
      </c>
    </row>
    <row r="198" spans="1:8">
      <c r="A198" s="5">
        <f t="shared" si="1"/>
        <v>46327</v>
      </c>
      <c r="B198" t="s">
        <v>570</v>
      </c>
      <c r="C198" t="s">
        <v>571</v>
      </c>
      <c r="D198" t="s">
        <v>543</v>
      </c>
      <c r="E198" t="s">
        <v>79</v>
      </c>
      <c r="F198" t="s">
        <v>155</v>
      </c>
      <c r="G198" s="17">
        <f>SUMIFS(资金流水!$Q$4:$Q$203,资金流水!$O$4:$O$203,E198,资金流水!$B$4:$B$203,B198)+IF(E198="1122",SUMIFS(销售录入!$I$4:$I$203,销售录入!$B$4:$B$203,B198),0)+IF(E198="1405",SUMIFS(采购录入!$I$4:$I$203,采购录入!$B$4:$B$203,B198),0)+IF(E198="6401",SUMIFS(销售录入!$K$4:$K$203,销售录入!$B$4:$B$203,B198),0)</f>
        <v>0</v>
      </c>
      <c r="H198" s="17">
        <f>SUMIFS(资金流水!$Q$4:$Q$203,资金流水!$P$4:$P$203,E198,资金流水!$B$4:$B$203,B198)+IF(E198="6001",SUMIFS(销售录入!$I$4:$I$203,销售录入!$B$4:$B$203,B198),0)+IF(E198="1405",SUMIFS(销售录入!$K$4:$K$203,销售录入!$B$4:$B$203,B198),0)+IF(E198="2202",SUMIFS(采购录入!$I$4:$I$203,采购录入!$B$4:$B$203,B198),0)</f>
        <v>0</v>
      </c>
    </row>
    <row r="199" spans="1:8">
      <c r="A199" s="5">
        <f t="shared" si="1"/>
        <v>46327</v>
      </c>
      <c r="B199" t="s">
        <v>570</v>
      </c>
      <c r="C199" t="s">
        <v>571</v>
      </c>
      <c r="D199" t="s">
        <v>544</v>
      </c>
      <c r="E199" t="s">
        <v>237</v>
      </c>
      <c r="F199" t="s">
        <v>238</v>
      </c>
      <c r="G199" s="17">
        <f>SUMIFS(资金流水!$Q$4:$Q$203,资金流水!$O$4:$O$203,E199,资金流水!$B$4:$B$203,B199)+IF(E199="1122",SUMIFS(销售录入!$I$4:$I$203,销售录入!$B$4:$B$203,B199),0)+IF(E199="1405",SUMIFS(采购录入!$I$4:$I$203,采购录入!$B$4:$B$203,B199),0)+IF(E199="6401",SUMIFS(销售录入!$K$4:$K$203,销售录入!$B$4:$B$203,B199),0)</f>
        <v>0</v>
      </c>
      <c r="H199" s="17">
        <f>SUMIFS(资金流水!$Q$4:$Q$203,资金流水!$P$4:$P$203,E199,资金流水!$B$4:$B$203,B199)+IF(E199="6001",SUMIFS(销售录入!$I$4:$I$203,销售录入!$B$4:$B$203,B199),0)+IF(E199="1405",SUMIFS(销售录入!$K$4:$K$203,销售录入!$B$4:$B$203,B199),0)+IF(E199="2202",SUMIFS(采购录入!$I$4:$I$203,采购录入!$B$4:$B$203,B199),0)</f>
        <v>0</v>
      </c>
    </row>
    <row r="200" spans="1:8">
      <c r="A200" s="5">
        <f t="shared" si="1"/>
        <v>46327</v>
      </c>
      <c r="B200" t="s">
        <v>570</v>
      </c>
      <c r="C200" t="s">
        <v>571</v>
      </c>
      <c r="D200" t="s">
        <v>545</v>
      </c>
      <c r="E200" t="s">
        <v>218</v>
      </c>
      <c r="F200" t="s">
        <v>295</v>
      </c>
      <c r="G200" s="17">
        <f>SUMIFS(资金流水!$Q$4:$Q$203,资金流水!$O$4:$O$203,E200,资金流水!$B$4:$B$203,B200)+IF(E200="1122",SUMIFS(销售录入!$I$4:$I$203,销售录入!$B$4:$B$203,B200),0)+IF(E200="1405",SUMIFS(采购录入!$I$4:$I$203,采购录入!$B$4:$B$203,B200),0)+IF(E200="6401",SUMIFS(销售录入!$K$4:$K$203,销售录入!$B$4:$B$203,B200),0)</f>
        <v>0</v>
      </c>
      <c r="H200" s="17">
        <f>SUMIFS(资金流水!$Q$4:$Q$203,资金流水!$P$4:$P$203,E200,资金流水!$B$4:$B$203,B200)+IF(E200="6001",SUMIFS(销售录入!$I$4:$I$203,销售录入!$B$4:$B$203,B200),0)+IF(E200="1405",SUMIFS(销售录入!$K$4:$K$203,销售录入!$B$4:$B$203,B200),0)+IF(E200="2202",SUMIFS(采购录入!$I$4:$I$203,采购录入!$B$4:$B$203,B200),0)</f>
        <v>0</v>
      </c>
    </row>
    <row r="201" spans="1:8">
      <c r="A201" s="5">
        <f t="shared" si="1"/>
        <v>46327</v>
      </c>
      <c r="B201" t="s">
        <v>570</v>
      </c>
      <c r="C201" t="s">
        <v>571</v>
      </c>
      <c r="D201" t="s">
        <v>546</v>
      </c>
      <c r="E201" t="s">
        <v>348</v>
      </c>
      <c r="F201" t="s">
        <v>349</v>
      </c>
      <c r="G201" s="17">
        <f>SUMIFS(资金流水!$Q$4:$Q$203,资金流水!$O$4:$O$203,E201,资金流水!$B$4:$B$203,B201)+IF(E201="1122",SUMIFS(销售录入!$I$4:$I$203,销售录入!$B$4:$B$203,B201),0)+IF(E201="1405",SUMIFS(采购录入!$I$4:$I$203,采购录入!$B$4:$B$203,B201),0)+IF(E201="6401",SUMIFS(销售录入!$K$4:$K$203,销售录入!$B$4:$B$203,B201),0)</f>
        <v>0</v>
      </c>
      <c r="H201" s="17">
        <f>SUMIFS(资金流水!$Q$4:$Q$203,资金流水!$P$4:$P$203,E201,资金流水!$B$4:$B$203,B201)+IF(E201="6001",SUMIFS(销售录入!$I$4:$I$203,销售录入!$B$4:$B$203,B201),0)+IF(E201="1405",SUMIFS(销售录入!$K$4:$K$203,销售录入!$B$4:$B$203,B201),0)+IF(E201="2202",SUMIFS(采购录入!$I$4:$I$203,采购录入!$B$4:$B$203,B201),0)</f>
        <v>0</v>
      </c>
    </row>
    <row r="202" spans="1:8">
      <c r="A202" s="5">
        <f t="shared" si="1"/>
        <v>46327</v>
      </c>
      <c r="B202" t="s">
        <v>570</v>
      </c>
      <c r="C202" t="s">
        <v>571</v>
      </c>
      <c r="D202" t="s">
        <v>547</v>
      </c>
      <c r="E202" t="s">
        <v>99</v>
      </c>
      <c r="F202" t="s">
        <v>112</v>
      </c>
      <c r="G202" s="17">
        <f>SUMIFS(资金流水!$Q$4:$Q$203,资金流水!$O$4:$O$203,E202,资金流水!$B$4:$B$203,B202)+IF(E202="1122",SUMIFS(销售录入!$I$4:$I$203,销售录入!$B$4:$B$203,B202),0)+IF(E202="1405",SUMIFS(采购录入!$I$4:$I$203,采购录入!$B$4:$B$203,B202),0)+IF(E202="6401",SUMIFS(销售录入!$K$4:$K$203,销售录入!$B$4:$B$203,B202),0)</f>
        <v>0</v>
      </c>
      <c r="H202" s="17">
        <f>SUMIFS(资金流水!$Q$4:$Q$203,资金流水!$P$4:$P$203,E202,资金流水!$B$4:$B$203,B202)+IF(E202="6001",SUMIFS(销售录入!$I$4:$I$203,销售录入!$B$4:$B$203,B202),0)+IF(E202="1405",SUMIFS(销售录入!$K$4:$K$203,销售录入!$B$4:$B$203,B202),0)+IF(E202="2202",SUMIFS(采购录入!$I$4:$I$203,采购录入!$B$4:$B$203,B202),0)</f>
        <v>0</v>
      </c>
    </row>
    <row r="203" spans="1:8">
      <c r="A203" s="5">
        <f t="shared" si="1"/>
        <v>46327</v>
      </c>
      <c r="B203" t="s">
        <v>570</v>
      </c>
      <c r="C203" t="s">
        <v>571</v>
      </c>
      <c r="D203" t="s">
        <v>548</v>
      </c>
      <c r="E203" t="s">
        <v>363</v>
      </c>
      <c r="F203" t="s">
        <v>364</v>
      </c>
      <c r="G203" s="17">
        <f>SUMIFS(资金流水!$Q$4:$Q$203,资金流水!$O$4:$O$203,E203,资金流水!$B$4:$B$203,B203)+IF(E203="1122",SUMIFS(销售录入!$I$4:$I$203,销售录入!$B$4:$B$203,B203),0)+IF(E203="1405",SUMIFS(采购录入!$I$4:$I$203,采购录入!$B$4:$B$203,B203),0)+IF(E203="6401",SUMIFS(销售录入!$K$4:$K$203,销售录入!$B$4:$B$203,B203),0)</f>
        <v>0</v>
      </c>
      <c r="H203" s="17">
        <f>SUMIFS(资金流水!$Q$4:$Q$203,资金流水!$P$4:$P$203,E203,资金流水!$B$4:$B$203,B203)+IF(E203="6001",SUMIFS(销售录入!$I$4:$I$203,销售录入!$B$4:$B$203,B203),0)+IF(E203="1405",SUMIFS(销售录入!$K$4:$K$203,销售录入!$B$4:$B$203,B203),0)+IF(E203="2202",SUMIFS(采购录入!$I$4:$I$203,采购录入!$B$4:$B$203,B203),0)</f>
        <v>0</v>
      </c>
    </row>
    <row r="204" spans="1:8">
      <c r="A204" s="5">
        <f t="shared" si="1"/>
        <v>46327</v>
      </c>
      <c r="B204" t="s">
        <v>570</v>
      </c>
      <c r="C204" t="s">
        <v>571</v>
      </c>
      <c r="D204" t="s">
        <v>549</v>
      </c>
      <c r="E204" t="s">
        <v>246</v>
      </c>
      <c r="F204" t="s">
        <v>372</v>
      </c>
      <c r="G204" s="17">
        <f>SUMIFS(资金流水!$Q$4:$Q$203,资金流水!$O$4:$O$203,E204,资金流水!$B$4:$B$203,B204)+IF(E204="1122",SUMIFS(销售录入!$I$4:$I$203,销售录入!$B$4:$B$203,B204),0)+IF(E204="1405",SUMIFS(采购录入!$I$4:$I$203,采购录入!$B$4:$B$203,B204),0)+IF(E204="6401",SUMIFS(销售录入!$K$4:$K$203,销售录入!$B$4:$B$203,B204),0)</f>
        <v>0</v>
      </c>
      <c r="H204" s="17">
        <f>SUMIFS(资金流水!$Q$4:$Q$203,资金流水!$P$4:$P$203,E204,资金流水!$B$4:$B$203,B204)+IF(E204="6001",SUMIFS(销售录入!$I$4:$I$203,销售录入!$B$4:$B$203,B204),0)+IF(E204="1405",SUMIFS(销售录入!$K$4:$K$203,销售录入!$B$4:$B$203,B204),0)+IF(E204="2202",SUMIFS(采购录入!$I$4:$I$203,采购录入!$B$4:$B$203,B204),0)</f>
        <v>0</v>
      </c>
    </row>
    <row r="205" spans="1:8">
      <c r="A205" s="5">
        <f t="shared" si="1"/>
        <v>46327</v>
      </c>
      <c r="B205" t="s">
        <v>570</v>
      </c>
      <c r="C205" t="s">
        <v>571</v>
      </c>
      <c r="D205" t="s">
        <v>550</v>
      </c>
      <c r="E205" t="s">
        <v>223</v>
      </c>
      <c r="F205" t="s">
        <v>374</v>
      </c>
      <c r="G205" s="17">
        <f>SUMIFS(资金流水!$Q$4:$Q$203,资金流水!$O$4:$O$203,E205,资金流水!$B$4:$B$203,B205)+IF(E205="1122",SUMIFS(销售录入!$I$4:$I$203,销售录入!$B$4:$B$203,B205),0)+IF(E205="1405",SUMIFS(采购录入!$I$4:$I$203,采购录入!$B$4:$B$203,B205),0)+IF(E205="6401",SUMIFS(销售录入!$K$4:$K$203,销售录入!$B$4:$B$203,B205),0)</f>
        <v>0</v>
      </c>
      <c r="H205" s="17">
        <f>SUMIFS(资金流水!$Q$4:$Q$203,资金流水!$P$4:$P$203,E205,资金流水!$B$4:$B$203,B205)+IF(E205="6001",SUMIFS(销售录入!$I$4:$I$203,销售录入!$B$4:$B$203,B205),0)+IF(E205="1405",SUMIFS(销售录入!$K$4:$K$203,销售录入!$B$4:$B$203,B205),0)+IF(E205="2202",SUMIFS(采购录入!$I$4:$I$203,采购录入!$B$4:$B$203,B205),0)</f>
        <v>0</v>
      </c>
    </row>
    <row r="206" spans="1:8">
      <c r="A206" s="5">
        <f t="shared" si="1"/>
        <v>46327</v>
      </c>
      <c r="B206" t="s">
        <v>570</v>
      </c>
      <c r="C206" t="s">
        <v>571</v>
      </c>
      <c r="D206" t="s">
        <v>551</v>
      </c>
      <c r="E206" t="s">
        <v>253</v>
      </c>
      <c r="F206" t="s">
        <v>375</v>
      </c>
      <c r="G206" s="17">
        <f>SUMIFS(资金流水!$Q$4:$Q$203,资金流水!$O$4:$O$203,E206,资金流水!$B$4:$B$203,B206)+IF(E206="1122",SUMIFS(销售录入!$I$4:$I$203,销售录入!$B$4:$B$203,B206),0)+IF(E206="1405",SUMIFS(采购录入!$I$4:$I$203,采购录入!$B$4:$B$203,B206),0)+IF(E206="6401",SUMIFS(销售录入!$K$4:$K$203,销售录入!$B$4:$B$203,B206),0)</f>
        <v>0</v>
      </c>
      <c r="H206" s="17">
        <f>SUMIFS(资金流水!$Q$4:$Q$203,资金流水!$P$4:$P$203,E206,资金流水!$B$4:$B$203,B206)+IF(E206="6001",SUMIFS(销售录入!$I$4:$I$203,销售录入!$B$4:$B$203,B206),0)+IF(E206="1405",SUMIFS(销售录入!$K$4:$K$203,销售录入!$B$4:$B$203,B206),0)+IF(E206="2202",SUMIFS(采购录入!$I$4:$I$203,采购录入!$B$4:$B$203,B206),0)</f>
        <v>0</v>
      </c>
    </row>
    <row r="207" spans="1:8">
      <c r="A207" s="5">
        <f t="shared" si="1"/>
        <v>46357</v>
      </c>
      <c r="B207" t="s">
        <v>572</v>
      </c>
      <c r="C207" t="s">
        <v>573</v>
      </c>
      <c r="D207" t="s">
        <v>541</v>
      </c>
      <c r="E207" t="s">
        <v>63</v>
      </c>
      <c r="F207" t="s">
        <v>80</v>
      </c>
      <c r="G207" s="17">
        <f>SUMIFS(资金流水!$Q$4:$Q$203,资金流水!$O$4:$O$203,E207,资金流水!$B$4:$B$203,B207)+IF(E207="1122",SUMIFS(销售录入!$I$4:$I$203,销售录入!$B$4:$B$203,B207),0)+IF(E207="1405",SUMIFS(采购录入!$I$4:$I$203,采购录入!$B$4:$B$203,B207),0)+IF(E207="6401",SUMIFS(销售录入!$K$4:$K$203,销售录入!$B$4:$B$203,B207),0)</f>
        <v>0</v>
      </c>
      <c r="H207" s="17">
        <f>SUMIFS(资金流水!$Q$4:$Q$203,资金流水!$P$4:$P$203,E207,资金流水!$B$4:$B$203,B207)+IF(E207="6001",SUMIFS(销售录入!$I$4:$I$203,销售录入!$B$4:$B$203,B207),0)+IF(E207="1405",SUMIFS(销售录入!$K$4:$K$203,销售录入!$B$4:$B$203,B207),0)+IF(E207="2202",SUMIFS(采购录入!$I$4:$I$203,采购录入!$B$4:$B$203,B207),0)</f>
        <v>0</v>
      </c>
    </row>
    <row r="208" spans="1:8">
      <c r="A208" s="5">
        <f t="shared" si="1"/>
        <v>46357</v>
      </c>
      <c r="B208" t="s">
        <v>572</v>
      </c>
      <c r="C208" t="s">
        <v>573</v>
      </c>
      <c r="D208" t="s">
        <v>542</v>
      </c>
      <c r="E208" t="s">
        <v>78</v>
      </c>
      <c r="F208" t="s">
        <v>100</v>
      </c>
      <c r="G208" s="17">
        <f>SUMIFS(资金流水!$Q$4:$Q$203,资金流水!$O$4:$O$203,E208,资金流水!$B$4:$B$203,B208)+IF(E208="1122",SUMIFS(销售录入!$I$4:$I$203,销售录入!$B$4:$B$203,B208),0)+IF(E208="1405",SUMIFS(采购录入!$I$4:$I$203,采购录入!$B$4:$B$203,B208),0)+IF(E208="6401",SUMIFS(销售录入!$K$4:$K$203,销售录入!$B$4:$B$203,B208),0)</f>
        <v>0</v>
      </c>
      <c r="H208" s="17">
        <f>SUMIFS(资金流水!$Q$4:$Q$203,资金流水!$P$4:$P$203,E208,资金流水!$B$4:$B$203,B208)+IF(E208="6001",SUMIFS(销售录入!$I$4:$I$203,销售录入!$B$4:$B$203,B208),0)+IF(E208="1405",SUMIFS(销售录入!$K$4:$K$203,销售录入!$B$4:$B$203,B208),0)+IF(E208="2202",SUMIFS(采购录入!$I$4:$I$203,采购录入!$B$4:$B$203,B208),0)</f>
        <v>0</v>
      </c>
    </row>
    <row r="209" spans="1:8">
      <c r="A209" s="5">
        <f t="shared" si="1"/>
        <v>46357</v>
      </c>
      <c r="B209" t="s">
        <v>572</v>
      </c>
      <c r="C209" t="s">
        <v>573</v>
      </c>
      <c r="D209" t="s">
        <v>543</v>
      </c>
      <c r="E209" t="s">
        <v>79</v>
      </c>
      <c r="F209" t="s">
        <v>155</v>
      </c>
      <c r="G209" s="17">
        <f>SUMIFS(资金流水!$Q$4:$Q$203,资金流水!$O$4:$O$203,E209,资金流水!$B$4:$B$203,B209)+IF(E209="1122",SUMIFS(销售录入!$I$4:$I$203,销售录入!$B$4:$B$203,B209),0)+IF(E209="1405",SUMIFS(采购录入!$I$4:$I$203,采购录入!$B$4:$B$203,B209),0)+IF(E209="6401",SUMIFS(销售录入!$K$4:$K$203,销售录入!$B$4:$B$203,B209),0)</f>
        <v>0</v>
      </c>
      <c r="H209" s="17">
        <f>SUMIFS(资金流水!$Q$4:$Q$203,资金流水!$P$4:$P$203,E209,资金流水!$B$4:$B$203,B209)+IF(E209="6001",SUMIFS(销售录入!$I$4:$I$203,销售录入!$B$4:$B$203,B209),0)+IF(E209="1405",SUMIFS(销售录入!$K$4:$K$203,销售录入!$B$4:$B$203,B209),0)+IF(E209="2202",SUMIFS(采购录入!$I$4:$I$203,采购录入!$B$4:$B$203,B209),0)</f>
        <v>0</v>
      </c>
    </row>
    <row r="210" spans="1:8">
      <c r="A210" s="5">
        <f t="shared" si="1"/>
        <v>46357</v>
      </c>
      <c r="B210" t="s">
        <v>572</v>
      </c>
      <c r="C210" t="s">
        <v>573</v>
      </c>
      <c r="D210" t="s">
        <v>544</v>
      </c>
      <c r="E210" t="s">
        <v>237</v>
      </c>
      <c r="F210" t="s">
        <v>238</v>
      </c>
      <c r="G210" s="17">
        <f>SUMIFS(资金流水!$Q$4:$Q$203,资金流水!$O$4:$O$203,E210,资金流水!$B$4:$B$203,B210)+IF(E210="1122",SUMIFS(销售录入!$I$4:$I$203,销售录入!$B$4:$B$203,B210),0)+IF(E210="1405",SUMIFS(采购录入!$I$4:$I$203,采购录入!$B$4:$B$203,B210),0)+IF(E210="6401",SUMIFS(销售录入!$K$4:$K$203,销售录入!$B$4:$B$203,B210),0)</f>
        <v>0</v>
      </c>
      <c r="H210" s="17">
        <f>SUMIFS(资金流水!$Q$4:$Q$203,资金流水!$P$4:$P$203,E210,资金流水!$B$4:$B$203,B210)+IF(E210="6001",SUMIFS(销售录入!$I$4:$I$203,销售录入!$B$4:$B$203,B210),0)+IF(E210="1405",SUMIFS(销售录入!$K$4:$K$203,销售录入!$B$4:$B$203,B210),0)+IF(E210="2202",SUMIFS(采购录入!$I$4:$I$203,采购录入!$B$4:$B$203,B210),0)</f>
        <v>0</v>
      </c>
    </row>
    <row r="211" spans="1:8">
      <c r="A211" s="5">
        <f t="shared" si="1"/>
        <v>46357</v>
      </c>
      <c r="B211" t="s">
        <v>572</v>
      </c>
      <c r="C211" t="s">
        <v>573</v>
      </c>
      <c r="D211" t="s">
        <v>545</v>
      </c>
      <c r="E211" t="s">
        <v>218</v>
      </c>
      <c r="F211" t="s">
        <v>295</v>
      </c>
      <c r="G211" s="17">
        <f>SUMIFS(资金流水!$Q$4:$Q$203,资金流水!$O$4:$O$203,E211,资金流水!$B$4:$B$203,B211)+IF(E211="1122",SUMIFS(销售录入!$I$4:$I$203,销售录入!$B$4:$B$203,B211),0)+IF(E211="1405",SUMIFS(采购录入!$I$4:$I$203,采购录入!$B$4:$B$203,B211),0)+IF(E211="6401",SUMIFS(销售录入!$K$4:$K$203,销售录入!$B$4:$B$203,B211),0)</f>
        <v>0</v>
      </c>
      <c r="H211" s="17">
        <f>SUMIFS(资金流水!$Q$4:$Q$203,资金流水!$P$4:$P$203,E211,资金流水!$B$4:$B$203,B211)+IF(E211="6001",SUMIFS(销售录入!$I$4:$I$203,销售录入!$B$4:$B$203,B211),0)+IF(E211="1405",SUMIFS(销售录入!$K$4:$K$203,销售录入!$B$4:$B$203,B211),0)+IF(E211="2202",SUMIFS(采购录入!$I$4:$I$203,采购录入!$B$4:$B$203,B211),0)</f>
        <v>0</v>
      </c>
    </row>
    <row r="212" spans="1:8">
      <c r="A212" s="5">
        <f t="shared" si="1"/>
        <v>46357</v>
      </c>
      <c r="B212" t="s">
        <v>572</v>
      </c>
      <c r="C212" t="s">
        <v>573</v>
      </c>
      <c r="D212" t="s">
        <v>546</v>
      </c>
      <c r="E212" t="s">
        <v>348</v>
      </c>
      <c r="F212" t="s">
        <v>349</v>
      </c>
      <c r="G212" s="17">
        <f>SUMIFS(资金流水!$Q$4:$Q$203,资金流水!$O$4:$O$203,E212,资金流水!$B$4:$B$203,B212)+IF(E212="1122",SUMIFS(销售录入!$I$4:$I$203,销售录入!$B$4:$B$203,B212),0)+IF(E212="1405",SUMIFS(采购录入!$I$4:$I$203,采购录入!$B$4:$B$203,B212),0)+IF(E212="6401",SUMIFS(销售录入!$K$4:$K$203,销售录入!$B$4:$B$203,B212),0)</f>
        <v>0</v>
      </c>
      <c r="H212" s="17">
        <f>SUMIFS(资金流水!$Q$4:$Q$203,资金流水!$P$4:$P$203,E212,资金流水!$B$4:$B$203,B212)+IF(E212="6001",SUMIFS(销售录入!$I$4:$I$203,销售录入!$B$4:$B$203,B212),0)+IF(E212="1405",SUMIFS(销售录入!$K$4:$K$203,销售录入!$B$4:$B$203,B212),0)+IF(E212="2202",SUMIFS(采购录入!$I$4:$I$203,采购录入!$B$4:$B$203,B212),0)</f>
        <v>0</v>
      </c>
    </row>
    <row r="213" spans="1:8">
      <c r="A213" s="5">
        <f t="shared" si="1"/>
        <v>46357</v>
      </c>
      <c r="B213" t="s">
        <v>572</v>
      </c>
      <c r="C213" t="s">
        <v>573</v>
      </c>
      <c r="D213" t="s">
        <v>547</v>
      </c>
      <c r="E213" t="s">
        <v>99</v>
      </c>
      <c r="F213" t="s">
        <v>112</v>
      </c>
      <c r="G213" s="17">
        <f>SUMIFS(资金流水!$Q$4:$Q$203,资金流水!$O$4:$O$203,E213,资金流水!$B$4:$B$203,B213)+IF(E213="1122",SUMIFS(销售录入!$I$4:$I$203,销售录入!$B$4:$B$203,B213),0)+IF(E213="1405",SUMIFS(采购录入!$I$4:$I$203,采购录入!$B$4:$B$203,B213),0)+IF(E213="6401",SUMIFS(销售录入!$K$4:$K$203,销售录入!$B$4:$B$203,B213),0)</f>
        <v>0</v>
      </c>
      <c r="H213" s="17">
        <f>SUMIFS(资金流水!$Q$4:$Q$203,资金流水!$P$4:$P$203,E213,资金流水!$B$4:$B$203,B213)+IF(E213="6001",SUMIFS(销售录入!$I$4:$I$203,销售录入!$B$4:$B$203,B213),0)+IF(E213="1405",SUMIFS(销售录入!$K$4:$K$203,销售录入!$B$4:$B$203,B213),0)+IF(E213="2202",SUMIFS(采购录入!$I$4:$I$203,采购录入!$B$4:$B$203,B213),0)</f>
        <v>0</v>
      </c>
    </row>
    <row r="214" spans="1:8">
      <c r="A214" s="5">
        <f>DATE(2026,VALUE(RIGHT(B214,2)),1)</f>
        <v>46357</v>
      </c>
      <c r="B214" t="s">
        <v>572</v>
      </c>
      <c r="C214" t="s">
        <v>573</v>
      </c>
      <c r="D214" t="s">
        <v>548</v>
      </c>
      <c r="E214" t="s">
        <v>363</v>
      </c>
      <c r="F214" t="s">
        <v>364</v>
      </c>
      <c r="G214" s="17">
        <f>SUMIFS(资金流水!$Q$4:$Q$203,资金流水!$O$4:$O$203,E214,资金流水!$B$4:$B$203,B214)+IF(E214="1122",SUMIFS(销售录入!$I$4:$I$203,销售录入!$B$4:$B$203,B214),0)+IF(E214="1405",SUMIFS(采购录入!$I$4:$I$203,采购录入!$B$4:$B$203,B214),0)+IF(E214="6401",SUMIFS(销售录入!$K$4:$K$203,销售录入!$B$4:$B$203,B214),0)</f>
        <v>0</v>
      </c>
      <c r="H214" s="17">
        <f>SUMIFS(资金流水!$Q$4:$Q$203,资金流水!$P$4:$P$203,E214,资金流水!$B$4:$B$203,B214)+IF(E214="6001",SUMIFS(销售录入!$I$4:$I$203,销售录入!$B$4:$B$203,B214),0)+IF(E214="1405",SUMIFS(销售录入!$K$4:$K$203,销售录入!$B$4:$B$203,B214),0)+IF(E214="2202",SUMIFS(采购录入!$I$4:$I$203,采购录入!$B$4:$B$203,B214),0)</f>
        <v>0</v>
      </c>
    </row>
    <row r="215" spans="1:8">
      <c r="A215" s="5">
        <f>DATE(2026,VALUE(RIGHT(B215,2)),1)</f>
        <v>46357</v>
      </c>
      <c r="B215" t="s">
        <v>572</v>
      </c>
      <c r="C215" t="s">
        <v>573</v>
      </c>
      <c r="D215" t="s">
        <v>549</v>
      </c>
      <c r="E215" t="s">
        <v>246</v>
      </c>
      <c r="F215" t="s">
        <v>372</v>
      </c>
      <c r="G215" s="17">
        <f>SUMIFS(资金流水!$Q$4:$Q$203,资金流水!$O$4:$O$203,E215,资金流水!$B$4:$B$203,B215)+IF(E215="1122",SUMIFS(销售录入!$I$4:$I$203,销售录入!$B$4:$B$203,B215),0)+IF(E215="1405",SUMIFS(采购录入!$I$4:$I$203,采购录入!$B$4:$B$203,B215),0)+IF(E215="6401",SUMIFS(销售录入!$K$4:$K$203,销售录入!$B$4:$B$203,B215),0)</f>
        <v>0</v>
      </c>
      <c r="H215" s="17">
        <f>SUMIFS(资金流水!$Q$4:$Q$203,资金流水!$P$4:$P$203,E215,资金流水!$B$4:$B$203,B215)+IF(E215="6001",SUMIFS(销售录入!$I$4:$I$203,销售录入!$B$4:$B$203,B215),0)+IF(E215="1405",SUMIFS(销售录入!$K$4:$K$203,销售录入!$B$4:$B$203,B215),0)+IF(E215="2202",SUMIFS(采购录入!$I$4:$I$203,采购录入!$B$4:$B$203,B215),0)</f>
        <v>0</v>
      </c>
    </row>
    <row r="216" spans="1:8">
      <c r="A216" s="5">
        <f>DATE(2026,VALUE(RIGHT(B216,2)),1)</f>
        <v>46357</v>
      </c>
      <c r="B216" t="s">
        <v>572</v>
      </c>
      <c r="C216" t="s">
        <v>573</v>
      </c>
      <c r="D216" t="s">
        <v>550</v>
      </c>
      <c r="E216" t="s">
        <v>223</v>
      </c>
      <c r="F216" t="s">
        <v>374</v>
      </c>
      <c r="G216" s="17">
        <f>SUMIFS(资金流水!$Q$4:$Q$203,资金流水!$O$4:$O$203,E216,资金流水!$B$4:$B$203,B216)+IF(E216="1122",SUMIFS(销售录入!$I$4:$I$203,销售录入!$B$4:$B$203,B216),0)+IF(E216="1405",SUMIFS(采购录入!$I$4:$I$203,采购录入!$B$4:$B$203,B216),0)+IF(E216="6401",SUMIFS(销售录入!$K$4:$K$203,销售录入!$B$4:$B$203,B216),0)</f>
        <v>0</v>
      </c>
      <c r="H216" s="17">
        <f>SUMIFS(资金流水!$Q$4:$Q$203,资金流水!$P$4:$P$203,E216,资金流水!$B$4:$B$203,B216)+IF(E216="6001",SUMIFS(销售录入!$I$4:$I$203,销售录入!$B$4:$B$203,B216),0)+IF(E216="1405",SUMIFS(销售录入!$K$4:$K$203,销售录入!$B$4:$B$203,B216),0)+IF(E216="2202",SUMIFS(采购录入!$I$4:$I$203,采购录入!$B$4:$B$203,B216),0)</f>
        <v>0</v>
      </c>
    </row>
    <row r="217" spans="1:8">
      <c r="A217" s="5">
        <f>DATE(2026,VALUE(RIGHT(B217,2)),1)</f>
        <v>46357</v>
      </c>
      <c r="B217" t="s">
        <v>572</v>
      </c>
      <c r="C217" t="s">
        <v>573</v>
      </c>
      <c r="D217" t="s">
        <v>551</v>
      </c>
      <c r="E217" t="s">
        <v>253</v>
      </c>
      <c r="F217" t="s">
        <v>375</v>
      </c>
      <c r="G217" s="17">
        <f>SUMIFS(资金流水!$Q$4:$Q$203,资金流水!$O$4:$O$203,E217,资金流水!$B$4:$B$203,B217)+IF(E217="1122",SUMIFS(销售录入!$I$4:$I$203,销售录入!$B$4:$B$203,B217),0)+IF(E217="1405",SUMIFS(采购录入!$I$4:$I$203,采购录入!$B$4:$B$203,B217),0)+IF(E217="6401",SUMIFS(销售录入!$K$4:$K$203,销售录入!$B$4:$B$203,B217),0)</f>
        <v>0</v>
      </c>
      <c r="H217" s="17">
        <f>SUMIFS(资金流水!$Q$4:$Q$203,资金流水!$P$4:$P$203,E217,资金流水!$B$4:$B$203,B217)+IF(E217="6001",SUMIFS(销售录入!$I$4:$I$203,销售录入!$B$4:$B$203,B217),0)+IF(E217="1405",SUMIFS(销售录入!$K$4:$K$203,销售录入!$B$4:$B$203,B217),0)+IF(E217="2202",SUMIFS(采购录入!$I$4:$I$203,采购录入!$B$4:$B$203,B217),0)</f>
        <v>0</v>
      </c>
    </row>
    <row r="218" spans="1:8">
      <c r="G218" s="17"/>
      <c r="H218" s="17"/>
    </row>
    <row r="219" spans="1:8">
      <c r="G219" s="17"/>
      <c r="H219" s="17"/>
    </row>
    <row r="220" spans="1:8">
      <c r="A220" t="s">
        <v>574</v>
      </c>
      <c r="G220" s="17"/>
      <c r="H220" s="17"/>
    </row>
    <row r="221" spans="1:8">
      <c r="A221" s="54"/>
      <c r="B221" s="54"/>
      <c r="C221" s="54"/>
      <c r="D221" s="54"/>
      <c r="E221" s="54"/>
      <c r="F221" s="54"/>
      <c r="G221" s="55"/>
      <c r="H221" s="55"/>
    </row>
    <row r="222" spans="1:8">
      <c r="A222" s="54"/>
      <c r="B222" s="54"/>
      <c r="C222" s="54"/>
      <c r="D222" s="54"/>
      <c r="E222" s="54"/>
      <c r="F222" s="54"/>
      <c r="G222" s="55"/>
      <c r="H222" s="55"/>
    </row>
    <row r="223" spans="1:8">
      <c r="A223" s="54"/>
      <c r="B223" s="54"/>
      <c r="C223" s="54"/>
      <c r="D223" s="54"/>
      <c r="E223" s="54"/>
      <c r="F223" s="54"/>
      <c r="G223" s="55"/>
      <c r="H223" s="55"/>
    </row>
    <row r="224" spans="1:8">
      <c r="A224" s="54"/>
      <c r="B224" s="54"/>
      <c r="C224" s="54"/>
      <c r="D224" s="54"/>
      <c r="E224" s="54"/>
      <c r="F224" s="54"/>
      <c r="G224" s="55"/>
      <c r="H224" s="55"/>
    </row>
    <row r="225" spans="1:8">
      <c r="A225" s="54"/>
      <c r="B225" s="54"/>
      <c r="C225" s="54"/>
      <c r="D225" s="54"/>
      <c r="E225" s="54"/>
      <c r="F225" s="54"/>
      <c r="G225" s="55"/>
      <c r="H225" s="55"/>
    </row>
    <row r="226" spans="1:8">
      <c r="A226" s="54"/>
      <c r="B226" s="54"/>
      <c r="C226" s="54"/>
      <c r="D226" s="54"/>
      <c r="E226" s="54"/>
      <c r="F226" s="54"/>
      <c r="G226" s="55"/>
      <c r="H226" s="55"/>
    </row>
    <row r="227" spans="1:8">
      <c r="A227" s="54"/>
      <c r="B227" s="54"/>
      <c r="C227" s="54"/>
      <c r="D227" s="54"/>
      <c r="E227" s="54"/>
      <c r="F227" s="54"/>
      <c r="G227" s="55"/>
      <c r="H227" s="55"/>
    </row>
    <row r="228" spans="1:8">
      <c r="A228" s="54"/>
      <c r="B228" s="54"/>
      <c r="C228" s="54"/>
      <c r="D228" s="54"/>
      <c r="E228" s="54"/>
      <c r="F228" s="54"/>
      <c r="G228" s="55"/>
      <c r="H228" s="55"/>
    </row>
    <row r="229" spans="1:8">
      <c r="A229" s="54"/>
      <c r="B229" s="54"/>
      <c r="C229" s="54"/>
      <c r="D229" s="54"/>
      <c r="E229" s="54"/>
      <c r="F229" s="54"/>
      <c r="G229" s="55"/>
      <c r="H229" s="55"/>
    </row>
    <row r="230" spans="1:8">
      <c r="A230" s="54"/>
      <c r="B230" s="54"/>
      <c r="C230" s="54"/>
      <c r="D230" s="54"/>
      <c r="E230" s="54"/>
      <c r="F230" s="54"/>
      <c r="G230" s="55"/>
      <c r="H230" s="55"/>
    </row>
    <row r="231" spans="1:8">
      <c r="A231" s="54"/>
      <c r="B231" s="54"/>
      <c r="C231" s="54"/>
      <c r="D231" s="54"/>
      <c r="E231" s="54"/>
      <c r="F231" s="54"/>
      <c r="G231" s="55"/>
      <c r="H231" s="55"/>
    </row>
    <row r="232" spans="1:8">
      <c r="A232" s="54"/>
      <c r="B232" s="54"/>
      <c r="C232" s="54"/>
      <c r="D232" s="54"/>
      <c r="E232" s="54"/>
      <c r="F232" s="54"/>
      <c r="G232" s="55"/>
      <c r="H232" s="55"/>
    </row>
    <row r="233" spans="1:8">
      <c r="A233" s="54"/>
      <c r="B233" s="54"/>
      <c r="C233" s="54"/>
      <c r="D233" s="54"/>
      <c r="E233" s="54"/>
      <c r="F233" s="54"/>
      <c r="G233" s="55"/>
      <c r="H233" s="55"/>
    </row>
    <row r="234" spans="1:8">
      <c r="A234" s="54"/>
      <c r="B234" s="54"/>
      <c r="C234" s="54"/>
      <c r="D234" s="54"/>
      <c r="E234" s="54"/>
      <c r="F234" s="54"/>
      <c r="G234" s="55"/>
      <c r="H234" s="55"/>
    </row>
    <row r="235" spans="1:8">
      <c r="A235" s="54"/>
      <c r="B235" s="54"/>
      <c r="C235" s="54"/>
      <c r="D235" s="54"/>
      <c r="E235" s="54"/>
      <c r="F235" s="54"/>
      <c r="G235" s="55"/>
      <c r="H235" s="55"/>
    </row>
    <row r="236" spans="1:8">
      <c r="A236" s="54"/>
      <c r="B236" s="54"/>
      <c r="C236" s="54"/>
      <c r="D236" s="54"/>
      <c r="E236" s="54"/>
      <c r="F236" s="54"/>
      <c r="G236" s="55"/>
      <c r="H236" s="55"/>
    </row>
    <row r="237" spans="1:8">
      <c r="A237" s="54"/>
      <c r="B237" s="54"/>
      <c r="C237" s="54"/>
      <c r="D237" s="54"/>
      <c r="E237" s="54"/>
      <c r="F237" s="54"/>
      <c r="G237" s="55"/>
      <c r="H237" s="55"/>
    </row>
    <row r="238" spans="1:8">
      <c r="A238" s="54"/>
      <c r="B238" s="54"/>
      <c r="C238" s="54"/>
      <c r="D238" s="54"/>
      <c r="E238" s="54"/>
      <c r="F238" s="54"/>
      <c r="G238" s="55"/>
      <c r="H238" s="55"/>
    </row>
    <row r="239" spans="1:8">
      <c r="A239" s="54"/>
      <c r="B239" s="54"/>
      <c r="C239" s="54"/>
      <c r="D239" s="54"/>
      <c r="E239" s="54"/>
      <c r="F239" s="54"/>
      <c r="G239" s="55"/>
      <c r="H239" s="55"/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"/>
  <sheetViews>
    <sheetView workbookViewId="0">
      <selection activeCell="A1" sqref="A1:Q1"/>
    </sheetView>
  </sheetViews>
  <sheetFormatPr defaultColWidth="9" defaultRowHeight="14.25"/>
  <cols>
    <col min="5" max="5" width="10.375" customWidth="1"/>
    <col min="6" max="6" width="12.125" customWidth="1"/>
    <col min="7" max="8" width="9.375" customWidth="1"/>
    <col min="9" max="10" width="8.625" customWidth="1"/>
    <col min="11" max="11" width="10.375" customWidth="1"/>
    <col min="12" max="12" width="12.125" customWidth="1"/>
  </cols>
  <sheetData>
    <row r="1" ht="20.25" spans="1:17">
      <c r="A1" s="45" t="s">
        <v>575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3" spans="1:17">
      <c r="A3" t="s">
        <v>2</v>
      </c>
      <c r="B3" s="53">
        <f>首页!$B$4</f>
        <v>46174</v>
      </c>
    </row>
    <row r="4" ht="27" spans="1:17">
      <c r="A4" s="43" t="s">
        <v>52</v>
      </c>
      <c r="B4" s="43" t="s">
        <v>53</v>
      </c>
      <c r="C4" s="43" t="s">
        <v>576</v>
      </c>
      <c r="D4" s="43" t="s">
        <v>403</v>
      </c>
      <c r="E4" s="43" t="s">
        <v>404</v>
      </c>
      <c r="F4" s="43" t="s">
        <v>405</v>
      </c>
      <c r="G4" s="43" t="s">
        <v>577</v>
      </c>
      <c r="H4" s="43" t="s">
        <v>578</v>
      </c>
      <c r="I4" s="43" t="s">
        <v>579</v>
      </c>
      <c r="J4" s="43" t="s">
        <v>580</v>
      </c>
      <c r="K4" s="43" t="s">
        <v>581</v>
      </c>
      <c r="L4" s="43" t="s">
        <v>582</v>
      </c>
      <c r="M4" s="43" t="s">
        <v>56</v>
      </c>
      <c r="N4" s="43" t="s">
        <v>57</v>
      </c>
      <c r="O4" s="43" t="s">
        <v>58</v>
      </c>
      <c r="P4" s="43" t="s">
        <v>59</v>
      </c>
      <c r="Q4" s="43" t="s">
        <v>60</v>
      </c>
    </row>
    <row r="5" spans="1:17">
      <c r="A5" t="s">
        <v>63</v>
      </c>
      <c r="B5" t="s">
        <v>80</v>
      </c>
      <c r="C5" t="s">
        <v>81</v>
      </c>
      <c r="D5" t="s">
        <v>82</v>
      </c>
      <c r="E5" s="46">
        <f>SUMIFS(凭证计算!$G$4:$G$83,凭证计算!$E$4:$E$83,$A5)</f>
        <v>55000</v>
      </c>
      <c r="F5" s="46">
        <f>SUMIFS(凭证计算!$H$4:$H$83,凭证计算!$E$4:$E$83,$A5)</f>
        <v>0</v>
      </c>
      <c r="G5" s="46">
        <f>SUMIFS(凭证计算!$G$86:$G$239,凭证计算!$E$86:$E$239,$A5,凭证计算!$A$86:$A$239,"&gt;="&amp;DATE(YEAR($B$3),MONTH($B$3),1),凭证计算!$A$86:$A$239,"&lt;="&amp;EOMONTH($B$3,0))</f>
        <v>0</v>
      </c>
      <c r="H5" s="46">
        <f>SUMIFS(凭证计算!$H$86:$H$239,凭证计算!$E$86:$E$239,$A5,凭证计算!$A$86:$A$239,"&gt;="&amp;DATE(YEAR($B$3),MONTH($B$3),1),凭证计算!$A$86:$A$239,"&lt;="&amp;EOMONTH($B$3,0))</f>
        <v>0</v>
      </c>
      <c r="I5" s="46">
        <f>SUMIFS(凭证计算!$G$86:$G$239,凭证计算!$E$86:$E$239,$A5,凭证计算!$A$86:$A$239,"&gt;="&amp;DATE(YEAR($B$3),1,1),凭证计算!$A$86:$A$239,"&lt;="&amp;EOMONTH($B$3,0))</f>
        <v>0</v>
      </c>
      <c r="J5" s="46">
        <f>SUMIFS(凭证计算!$H$86:$H$239,凭证计算!$E$86:$E$239,$A5,凭证计算!$A$86:$A$239,"&gt;="&amp;DATE(YEAR($B$3),1,1),凭证计算!$A$86:$A$239,"&lt;="&amp;EOMONTH($B$3,0))</f>
        <v>0</v>
      </c>
      <c r="K5" s="46">
        <f t="shared" ref="K5:K68" si="0">MAX(0,E5+I5-F5-J5)</f>
        <v>55000</v>
      </c>
      <c r="L5" s="46">
        <f t="shared" ref="L5:L68" si="1">MAX(0,F5+J5-E5-I5)</f>
        <v>0</v>
      </c>
      <c r="M5" t="s">
        <v>83</v>
      </c>
      <c r="N5" t="s">
        <v>84</v>
      </c>
      <c r="P5" t="s">
        <v>85</v>
      </c>
      <c r="Q5" t="s">
        <v>86</v>
      </c>
    </row>
    <row r="6" spans="1:17">
      <c r="A6" t="s">
        <v>78</v>
      </c>
      <c r="B6" t="s">
        <v>100</v>
      </c>
      <c r="C6" t="s">
        <v>81</v>
      </c>
      <c r="D6" t="s">
        <v>82</v>
      </c>
      <c r="E6" s="46">
        <f>SUMIFS(凭证计算!$G$4:$G$83,凭证计算!$E$4:$E$83,$A6)</f>
        <v>805000</v>
      </c>
      <c r="F6" s="46">
        <f>SUMIFS(凭证计算!$H$4:$H$83,凭证计算!$E$4:$E$83,$A6)</f>
        <v>0</v>
      </c>
      <c r="G6" s="46">
        <f>SUMIFS(凭证计算!$G$86:$G$239,凭证计算!$E$86:$E$239,$A6,凭证计算!$A$86:$A$239,"&gt;="&amp;DATE(YEAR($B$3),MONTH($B$3),1),凭证计算!$A$86:$A$239,"&lt;="&amp;EOMONTH($B$3,0))</f>
        <v>43200</v>
      </c>
      <c r="H6" s="46">
        <f>SUMIFS(凭证计算!$H$86:$H$239,凭证计算!$E$86:$E$239,$A6,凭证计算!$A$86:$A$239,"&gt;="&amp;DATE(YEAR($B$3),MONTH($B$3),1),凭证计算!$A$86:$A$239,"&lt;="&amp;EOMONTH($B$3,0))</f>
        <v>54600</v>
      </c>
      <c r="I6" s="46">
        <f>SUMIFS(凭证计算!$G$86:$G$239,凭证计算!$E$86:$E$239,$A6,凭证计算!$A$86:$A$239,"&gt;="&amp;DATE(YEAR($B$3),1,1),凭证计算!$A$86:$A$239,"&lt;="&amp;EOMONTH($B$3,0))</f>
        <v>43200</v>
      </c>
      <c r="J6" s="46">
        <f>SUMIFS(凭证计算!$H$86:$H$239,凭证计算!$E$86:$E$239,$A6,凭证计算!$A$86:$A$239,"&gt;="&amp;DATE(YEAR($B$3),1,1),凭证计算!$A$86:$A$239,"&lt;="&amp;EOMONTH($B$3,0))</f>
        <v>54600</v>
      </c>
      <c r="K6" s="46">
        <f t="shared" si="0"/>
        <v>793600</v>
      </c>
      <c r="L6" s="46">
        <f t="shared" si="1"/>
        <v>0</v>
      </c>
      <c r="M6" t="s">
        <v>83</v>
      </c>
      <c r="N6" t="s">
        <v>84</v>
      </c>
      <c r="P6" t="s">
        <v>85</v>
      </c>
      <c r="Q6" t="s">
        <v>86</v>
      </c>
    </row>
    <row r="7" spans="1:17">
      <c r="A7" t="s">
        <v>113</v>
      </c>
      <c r="B7" t="s">
        <v>114</v>
      </c>
      <c r="C7" t="s">
        <v>81</v>
      </c>
      <c r="D7" t="s">
        <v>82</v>
      </c>
      <c r="E7" s="46">
        <f>SUMIFS(凭证计算!$G$4:$G$83,凭证计算!$E$4:$E$83,$A7)</f>
        <v>0</v>
      </c>
      <c r="F7" s="46">
        <f>SUMIFS(凭证计算!$H$4:$H$83,凭证计算!$E$4:$E$83,$A7)</f>
        <v>0</v>
      </c>
      <c r="G7" s="46">
        <f>SUMIFS(凭证计算!$G$86:$G$239,凭证计算!$E$86:$E$239,$A7,凭证计算!$A$86:$A$239,"&gt;="&amp;DATE(YEAR($B$3),MONTH($B$3),1),凭证计算!$A$86:$A$239,"&lt;="&amp;EOMONTH($B$3,0))</f>
        <v>0</v>
      </c>
      <c r="H7" s="46">
        <f>SUMIFS(凭证计算!$H$86:$H$239,凭证计算!$E$86:$E$239,$A7,凭证计算!$A$86:$A$239,"&gt;="&amp;DATE(YEAR($B$3),MONTH($B$3),1),凭证计算!$A$86:$A$239,"&lt;="&amp;EOMONTH($B$3,0))</f>
        <v>0</v>
      </c>
      <c r="I7" s="46">
        <f>SUMIFS(凭证计算!$G$86:$G$239,凭证计算!$E$86:$E$239,$A7,凭证计算!$A$86:$A$239,"&gt;="&amp;DATE(YEAR($B$3),1,1),凭证计算!$A$86:$A$239,"&lt;="&amp;EOMONTH($B$3,0))</f>
        <v>0</v>
      </c>
      <c r="J7" s="46">
        <f>SUMIFS(凭证计算!$H$86:$H$239,凭证计算!$E$86:$E$239,$A7,凭证计算!$A$86:$A$239,"&gt;="&amp;DATE(YEAR($B$3),1,1),凭证计算!$A$86:$A$239,"&lt;="&amp;EOMONTH($B$3,0))</f>
        <v>0</v>
      </c>
      <c r="K7" s="46">
        <f t="shared" si="0"/>
        <v>0</v>
      </c>
      <c r="L7" s="46">
        <f t="shared" si="1"/>
        <v>0</v>
      </c>
      <c r="M7" t="s">
        <v>83</v>
      </c>
      <c r="N7" t="s">
        <v>84</v>
      </c>
      <c r="P7" t="s">
        <v>85</v>
      </c>
      <c r="Q7" t="s">
        <v>86</v>
      </c>
    </row>
    <row r="8" spans="1:17">
      <c r="A8" t="s">
        <v>126</v>
      </c>
      <c r="B8" t="s">
        <v>127</v>
      </c>
      <c r="C8" t="s">
        <v>81</v>
      </c>
      <c r="D8" t="s">
        <v>82</v>
      </c>
      <c r="E8" s="46">
        <f>SUMIFS(凭证计算!$G$4:$G$83,凭证计算!$E$4:$E$83,$A8)</f>
        <v>0</v>
      </c>
      <c r="F8" s="46">
        <f>SUMIFS(凭证计算!$H$4:$H$83,凭证计算!$E$4:$E$83,$A8)</f>
        <v>0</v>
      </c>
      <c r="G8" s="46">
        <f>SUMIFS(凭证计算!$G$86:$G$239,凭证计算!$E$86:$E$239,$A8,凭证计算!$A$86:$A$239,"&gt;="&amp;DATE(YEAR($B$3),MONTH($B$3),1),凭证计算!$A$86:$A$239,"&lt;="&amp;EOMONTH($B$3,0))</f>
        <v>0</v>
      </c>
      <c r="H8" s="46">
        <f>SUMIFS(凭证计算!$H$86:$H$239,凭证计算!$E$86:$E$239,$A8,凭证计算!$A$86:$A$239,"&gt;="&amp;DATE(YEAR($B$3),MONTH($B$3),1),凭证计算!$A$86:$A$239,"&lt;="&amp;EOMONTH($B$3,0))</f>
        <v>0</v>
      </c>
      <c r="I8" s="46">
        <f>SUMIFS(凭证计算!$G$86:$G$239,凭证计算!$E$86:$E$239,$A8,凭证计算!$A$86:$A$239,"&gt;="&amp;DATE(YEAR($B$3),1,1),凭证计算!$A$86:$A$239,"&lt;="&amp;EOMONTH($B$3,0))</f>
        <v>0</v>
      </c>
      <c r="J8" s="46">
        <f>SUMIFS(凭证计算!$H$86:$H$239,凭证计算!$E$86:$E$239,$A8,凭证计算!$A$86:$A$239,"&gt;="&amp;DATE(YEAR($B$3),1,1),凭证计算!$A$86:$A$239,"&lt;="&amp;EOMONTH($B$3,0))</f>
        <v>0</v>
      </c>
      <c r="K8" s="46">
        <f t="shared" si="0"/>
        <v>0</v>
      </c>
      <c r="L8" s="46">
        <f t="shared" si="1"/>
        <v>0</v>
      </c>
      <c r="M8" t="s">
        <v>83</v>
      </c>
      <c r="N8" t="s">
        <v>127</v>
      </c>
      <c r="P8" t="s">
        <v>85</v>
      </c>
      <c r="Q8" t="s">
        <v>86</v>
      </c>
    </row>
    <row r="9" spans="1:17">
      <c r="A9" t="s">
        <v>140</v>
      </c>
      <c r="B9" t="s">
        <v>141</v>
      </c>
      <c r="C9" t="s">
        <v>81</v>
      </c>
      <c r="D9" t="s">
        <v>82</v>
      </c>
      <c r="E9" s="46">
        <f>SUMIFS(凭证计算!$G$4:$G$83,凭证计算!$E$4:$E$83,$A9)</f>
        <v>0</v>
      </c>
      <c r="F9" s="46">
        <f>SUMIFS(凭证计算!$H$4:$H$83,凭证计算!$E$4:$E$83,$A9)</f>
        <v>0</v>
      </c>
      <c r="G9" s="46">
        <f>SUMIFS(凭证计算!$G$86:$G$239,凭证计算!$E$86:$E$239,$A9,凭证计算!$A$86:$A$239,"&gt;="&amp;DATE(YEAR($B$3),MONTH($B$3),1),凭证计算!$A$86:$A$239,"&lt;="&amp;EOMONTH($B$3,0))</f>
        <v>0</v>
      </c>
      <c r="H9" s="46">
        <f>SUMIFS(凭证计算!$H$86:$H$239,凭证计算!$E$86:$E$239,$A9,凭证计算!$A$86:$A$239,"&gt;="&amp;DATE(YEAR($B$3),MONTH($B$3),1),凭证计算!$A$86:$A$239,"&lt;="&amp;EOMONTH($B$3,0))</f>
        <v>0</v>
      </c>
      <c r="I9" s="46">
        <f>SUMIFS(凭证计算!$G$86:$G$239,凭证计算!$E$86:$E$239,$A9,凭证计算!$A$86:$A$239,"&gt;="&amp;DATE(YEAR($B$3),1,1),凭证计算!$A$86:$A$239,"&lt;="&amp;EOMONTH($B$3,0))</f>
        <v>0</v>
      </c>
      <c r="J9" s="46">
        <f>SUMIFS(凭证计算!$H$86:$H$239,凭证计算!$E$86:$E$239,$A9,凭证计算!$A$86:$A$239,"&gt;="&amp;DATE(YEAR($B$3),1,1),凭证计算!$A$86:$A$239,"&lt;="&amp;EOMONTH($B$3,0))</f>
        <v>0</v>
      </c>
      <c r="K9" s="46">
        <f t="shared" si="0"/>
        <v>0</v>
      </c>
      <c r="L9" s="46">
        <f t="shared" si="1"/>
        <v>0</v>
      </c>
      <c r="M9" t="s">
        <v>83</v>
      </c>
      <c r="N9" t="s">
        <v>141</v>
      </c>
      <c r="P9" t="s">
        <v>85</v>
      </c>
      <c r="Q9" t="s">
        <v>86</v>
      </c>
    </row>
    <row r="10" spans="1:17">
      <c r="A10" t="s">
        <v>79</v>
      </c>
      <c r="B10" t="s">
        <v>155</v>
      </c>
      <c r="C10" t="s">
        <v>81</v>
      </c>
      <c r="D10" t="s">
        <v>82</v>
      </c>
      <c r="E10" s="46">
        <f>SUMIFS(凭证计算!$G$4:$G$83,凭证计算!$E$4:$E$83,$A10)</f>
        <v>158000</v>
      </c>
      <c r="F10" s="46">
        <f>SUMIFS(凭证计算!$H$4:$H$83,凭证计算!$E$4:$E$83,$A10)</f>
        <v>0</v>
      </c>
      <c r="G10" s="46">
        <f>SUMIFS(凭证计算!$G$86:$G$239,凭证计算!$E$86:$E$239,$A10,凭证计算!$A$86:$A$239,"&gt;="&amp;DATE(YEAR($B$3),MONTH($B$3),1),凭证计算!$A$86:$A$239,"&lt;="&amp;EOMONTH($B$3,0))</f>
        <v>26080</v>
      </c>
      <c r="H10" s="46">
        <f>SUMIFS(凭证计算!$H$86:$H$239,凭证计算!$E$86:$E$239,$A10,凭证计算!$A$86:$A$239,"&gt;="&amp;DATE(YEAR($B$3),MONTH($B$3),1),凭证计算!$A$86:$A$239,"&lt;="&amp;EOMONTH($B$3,0))</f>
        <v>20000</v>
      </c>
      <c r="I10" s="46">
        <f>SUMIFS(凭证计算!$G$86:$G$239,凭证计算!$E$86:$E$239,$A10,凭证计算!$A$86:$A$239,"&gt;="&amp;DATE(YEAR($B$3),1,1),凭证计算!$A$86:$A$239,"&lt;="&amp;EOMONTH($B$3,0))</f>
        <v>26080</v>
      </c>
      <c r="J10" s="46">
        <f>SUMIFS(凭证计算!$H$86:$H$239,凭证计算!$E$86:$E$239,$A10,凭证计算!$A$86:$A$239,"&gt;="&amp;DATE(YEAR($B$3),1,1),凭证计算!$A$86:$A$239,"&lt;="&amp;EOMONTH($B$3,0))</f>
        <v>20000</v>
      </c>
      <c r="K10" s="46">
        <f t="shared" si="0"/>
        <v>164080</v>
      </c>
      <c r="L10" s="46">
        <f t="shared" si="1"/>
        <v>0</v>
      </c>
      <c r="M10" t="s">
        <v>83</v>
      </c>
      <c r="N10" t="s">
        <v>155</v>
      </c>
      <c r="P10" t="s">
        <v>85</v>
      </c>
      <c r="Q10" t="s">
        <v>156</v>
      </c>
    </row>
    <row r="11" spans="1:17">
      <c r="A11" t="s">
        <v>169</v>
      </c>
      <c r="B11" t="s">
        <v>170</v>
      </c>
      <c r="C11" t="s">
        <v>81</v>
      </c>
      <c r="D11" t="s">
        <v>82</v>
      </c>
      <c r="E11" s="46">
        <f>SUMIFS(凭证计算!$G$4:$G$83,凭证计算!$E$4:$E$83,$A11)</f>
        <v>0</v>
      </c>
      <c r="F11" s="46">
        <f>SUMIFS(凭证计算!$H$4:$H$83,凭证计算!$E$4:$E$83,$A11)</f>
        <v>0</v>
      </c>
      <c r="G11" s="46">
        <f>SUMIFS(凭证计算!$G$86:$G$239,凭证计算!$E$86:$E$239,$A11,凭证计算!$A$86:$A$239,"&gt;="&amp;DATE(YEAR($B$3),MONTH($B$3),1),凭证计算!$A$86:$A$239,"&lt;="&amp;EOMONTH($B$3,0))</f>
        <v>0</v>
      </c>
      <c r="H11" s="46">
        <f>SUMIFS(凭证计算!$H$86:$H$239,凭证计算!$E$86:$E$239,$A11,凭证计算!$A$86:$A$239,"&gt;="&amp;DATE(YEAR($B$3),MONTH($B$3),1),凭证计算!$A$86:$A$239,"&lt;="&amp;EOMONTH($B$3,0))</f>
        <v>0</v>
      </c>
      <c r="I11" s="46">
        <f>SUMIFS(凭证计算!$G$86:$G$239,凭证计算!$E$86:$E$239,$A11,凭证计算!$A$86:$A$239,"&gt;="&amp;DATE(YEAR($B$3),1,1),凭证计算!$A$86:$A$239,"&lt;="&amp;EOMONTH($B$3,0))</f>
        <v>0</v>
      </c>
      <c r="J11" s="46">
        <f>SUMIFS(凭证计算!$H$86:$H$239,凭证计算!$E$86:$E$239,$A11,凭证计算!$A$86:$A$239,"&gt;="&amp;DATE(YEAR($B$3),1,1),凭证计算!$A$86:$A$239,"&lt;="&amp;EOMONTH($B$3,0))</f>
        <v>0</v>
      </c>
      <c r="K11" s="46">
        <f t="shared" si="0"/>
        <v>0</v>
      </c>
      <c r="L11" s="46">
        <f t="shared" si="1"/>
        <v>0</v>
      </c>
      <c r="M11" t="s">
        <v>83</v>
      </c>
      <c r="N11" t="s">
        <v>171</v>
      </c>
      <c r="P11" t="s">
        <v>85</v>
      </c>
      <c r="Q11" t="s">
        <v>172</v>
      </c>
    </row>
    <row r="12" spans="1:17">
      <c r="A12" t="s">
        <v>185</v>
      </c>
      <c r="B12" t="s">
        <v>186</v>
      </c>
      <c r="C12" t="s">
        <v>81</v>
      </c>
      <c r="D12" t="s">
        <v>82</v>
      </c>
      <c r="E12" s="46">
        <f>SUMIFS(凭证计算!$G$4:$G$83,凭证计算!$E$4:$E$83,$A12)</f>
        <v>0</v>
      </c>
      <c r="F12" s="46">
        <f>SUMIFS(凭证计算!$H$4:$H$83,凭证计算!$E$4:$E$83,$A12)</f>
        <v>0</v>
      </c>
      <c r="G12" s="46">
        <f>SUMIFS(凭证计算!$G$86:$G$239,凭证计算!$E$86:$E$239,$A12,凭证计算!$A$86:$A$239,"&gt;="&amp;DATE(YEAR($B$3),MONTH($B$3),1),凭证计算!$A$86:$A$239,"&lt;="&amp;EOMONTH($B$3,0))</f>
        <v>0</v>
      </c>
      <c r="H12" s="46">
        <f>SUMIFS(凭证计算!$H$86:$H$239,凭证计算!$E$86:$E$239,$A12,凭证计算!$A$86:$A$239,"&gt;="&amp;DATE(YEAR($B$3),MONTH($B$3),1),凭证计算!$A$86:$A$239,"&lt;="&amp;EOMONTH($B$3,0))</f>
        <v>0</v>
      </c>
      <c r="I12" s="46">
        <f>SUMIFS(凭证计算!$G$86:$G$239,凭证计算!$E$86:$E$239,$A12,凭证计算!$A$86:$A$239,"&gt;="&amp;DATE(YEAR($B$3),1,1),凭证计算!$A$86:$A$239,"&lt;="&amp;EOMONTH($B$3,0))</f>
        <v>0</v>
      </c>
      <c r="J12" s="46">
        <f>SUMIFS(凭证计算!$H$86:$H$239,凭证计算!$E$86:$E$239,$A12,凭证计算!$A$86:$A$239,"&gt;="&amp;DATE(YEAR($B$3),1,1),凭证计算!$A$86:$A$239,"&lt;="&amp;EOMONTH($B$3,0))</f>
        <v>0</v>
      </c>
      <c r="K12" s="46">
        <f t="shared" si="0"/>
        <v>0</v>
      </c>
      <c r="L12" s="46">
        <f t="shared" si="1"/>
        <v>0</v>
      </c>
      <c r="M12" t="s">
        <v>83</v>
      </c>
      <c r="N12" t="s">
        <v>186</v>
      </c>
      <c r="P12" t="s">
        <v>85</v>
      </c>
      <c r="Q12" t="s">
        <v>86</v>
      </c>
    </row>
    <row r="13" spans="1:17">
      <c r="A13" t="s">
        <v>199</v>
      </c>
      <c r="B13" t="s">
        <v>200</v>
      </c>
      <c r="C13" t="s">
        <v>81</v>
      </c>
      <c r="D13" t="s">
        <v>82</v>
      </c>
      <c r="E13" s="46">
        <f>SUMIFS(凭证计算!$G$4:$G$83,凭证计算!$E$4:$E$83,$A13)</f>
        <v>0</v>
      </c>
      <c r="F13" s="46">
        <f>SUMIFS(凭证计算!$H$4:$H$83,凭证计算!$E$4:$E$83,$A13)</f>
        <v>0</v>
      </c>
      <c r="G13" s="46">
        <f>SUMIFS(凭证计算!$G$86:$G$239,凭证计算!$E$86:$E$239,$A13,凭证计算!$A$86:$A$239,"&gt;="&amp;DATE(YEAR($B$3),MONTH($B$3),1),凭证计算!$A$86:$A$239,"&lt;="&amp;EOMONTH($B$3,0))</f>
        <v>0</v>
      </c>
      <c r="H13" s="46">
        <f>SUMIFS(凭证计算!$H$86:$H$239,凭证计算!$E$86:$E$239,$A13,凭证计算!$A$86:$A$239,"&gt;="&amp;DATE(YEAR($B$3),MONTH($B$3),1),凭证计算!$A$86:$A$239,"&lt;="&amp;EOMONTH($B$3,0))</f>
        <v>0</v>
      </c>
      <c r="I13" s="46">
        <f>SUMIFS(凭证计算!$G$86:$G$239,凭证计算!$E$86:$E$239,$A13,凭证计算!$A$86:$A$239,"&gt;="&amp;DATE(YEAR($B$3),1,1),凭证计算!$A$86:$A$239,"&lt;="&amp;EOMONTH($B$3,0))</f>
        <v>0</v>
      </c>
      <c r="J13" s="46">
        <f>SUMIFS(凭证计算!$H$86:$H$239,凭证计算!$E$86:$E$239,$A13,凭证计算!$A$86:$A$239,"&gt;="&amp;DATE(YEAR($B$3),1,1),凭证计算!$A$86:$A$239,"&lt;="&amp;EOMONTH($B$3,0))</f>
        <v>0</v>
      </c>
      <c r="K13" s="46">
        <f t="shared" si="0"/>
        <v>0</v>
      </c>
      <c r="L13" s="46">
        <f t="shared" si="1"/>
        <v>0</v>
      </c>
      <c r="M13" t="s">
        <v>83</v>
      </c>
      <c r="N13" t="s">
        <v>200</v>
      </c>
      <c r="P13" t="s">
        <v>85</v>
      </c>
      <c r="Q13" t="s">
        <v>86</v>
      </c>
    </row>
    <row r="14" spans="1:17">
      <c r="A14" t="s">
        <v>213</v>
      </c>
      <c r="B14" t="s">
        <v>214</v>
      </c>
      <c r="C14" t="s">
        <v>81</v>
      </c>
      <c r="D14" t="s">
        <v>82</v>
      </c>
      <c r="E14" s="46">
        <f>SUMIFS(凭证计算!$G$4:$G$83,凭证计算!$E$4:$E$83,$A14)</f>
        <v>0</v>
      </c>
      <c r="F14" s="46">
        <f>SUMIFS(凭证计算!$H$4:$H$83,凭证计算!$E$4:$E$83,$A14)</f>
        <v>0</v>
      </c>
      <c r="G14" s="46">
        <f>SUMIFS(凭证计算!$G$86:$G$239,凭证计算!$E$86:$E$239,$A14,凭证计算!$A$86:$A$239,"&gt;="&amp;DATE(YEAR($B$3),MONTH($B$3),1),凭证计算!$A$86:$A$239,"&lt;="&amp;EOMONTH($B$3,0))</f>
        <v>0</v>
      </c>
      <c r="H14" s="46">
        <f>SUMIFS(凭证计算!$H$86:$H$239,凭证计算!$E$86:$E$239,$A14,凭证计算!$A$86:$A$239,"&gt;="&amp;DATE(YEAR($B$3),MONTH($B$3),1),凭证计算!$A$86:$A$239,"&lt;="&amp;EOMONTH($B$3,0))</f>
        <v>0</v>
      </c>
      <c r="I14" s="46">
        <f>SUMIFS(凭证计算!$G$86:$G$239,凭证计算!$E$86:$E$239,$A14,凭证计算!$A$86:$A$239,"&gt;="&amp;DATE(YEAR($B$3),1,1),凭证计算!$A$86:$A$239,"&lt;="&amp;EOMONTH($B$3,0))</f>
        <v>0</v>
      </c>
      <c r="J14" s="46">
        <f>SUMIFS(凭证计算!$H$86:$H$239,凭证计算!$E$86:$E$239,$A14,凭证计算!$A$86:$A$239,"&gt;="&amp;DATE(YEAR($B$3),1,1),凭证计算!$A$86:$A$239,"&lt;="&amp;EOMONTH($B$3,0))</f>
        <v>0</v>
      </c>
      <c r="K14" s="46">
        <f t="shared" si="0"/>
        <v>0</v>
      </c>
      <c r="L14" s="46">
        <f t="shared" si="1"/>
        <v>0</v>
      </c>
      <c r="M14" t="s">
        <v>83</v>
      </c>
      <c r="N14" t="s">
        <v>214</v>
      </c>
      <c r="P14" t="s">
        <v>85</v>
      </c>
      <c r="Q14" t="s">
        <v>215</v>
      </c>
    </row>
    <row r="15" spans="1:17">
      <c r="A15" t="s">
        <v>219</v>
      </c>
      <c r="B15" t="s">
        <v>220</v>
      </c>
      <c r="C15" t="s">
        <v>81</v>
      </c>
      <c r="D15" t="s">
        <v>221</v>
      </c>
      <c r="E15" s="46">
        <f>SUMIFS(凭证计算!$G$4:$G$83,凭证计算!$E$4:$E$83,$A15)</f>
        <v>0</v>
      </c>
      <c r="F15" s="46">
        <f>SUMIFS(凭证计算!$H$4:$H$83,凭证计算!$E$4:$E$83,$A15)</f>
        <v>0</v>
      </c>
      <c r="G15" s="46">
        <f>SUMIFS(凭证计算!$G$86:$G$239,凭证计算!$E$86:$E$239,$A15,凭证计算!$A$86:$A$239,"&gt;="&amp;DATE(YEAR($B$3),MONTH($B$3),1),凭证计算!$A$86:$A$239,"&lt;="&amp;EOMONTH($B$3,0))</f>
        <v>0</v>
      </c>
      <c r="H15" s="46">
        <f>SUMIFS(凭证计算!$H$86:$H$239,凭证计算!$E$86:$E$239,$A15,凭证计算!$A$86:$A$239,"&gt;="&amp;DATE(YEAR($B$3),MONTH($B$3),1),凭证计算!$A$86:$A$239,"&lt;="&amp;EOMONTH($B$3,0))</f>
        <v>0</v>
      </c>
      <c r="I15" s="46">
        <f>SUMIFS(凭证计算!$G$86:$G$239,凭证计算!$E$86:$E$239,$A15,凭证计算!$A$86:$A$239,"&gt;="&amp;DATE(YEAR($B$3),1,1),凭证计算!$A$86:$A$239,"&lt;="&amp;EOMONTH($B$3,0))</f>
        <v>0</v>
      </c>
      <c r="J15" s="46">
        <f>SUMIFS(凭证计算!$H$86:$H$239,凭证计算!$E$86:$E$239,$A15,凭证计算!$A$86:$A$239,"&gt;="&amp;DATE(YEAR($B$3),1,1),凭证计算!$A$86:$A$239,"&lt;="&amp;EOMONTH($B$3,0))</f>
        <v>0</v>
      </c>
      <c r="K15" s="46">
        <f t="shared" si="0"/>
        <v>0</v>
      </c>
      <c r="L15" s="46">
        <f t="shared" si="1"/>
        <v>0</v>
      </c>
      <c r="M15" t="s">
        <v>83</v>
      </c>
      <c r="N15" t="s">
        <v>155</v>
      </c>
      <c r="P15" t="s">
        <v>85</v>
      </c>
      <c r="Q15" t="s">
        <v>86</v>
      </c>
    </row>
    <row r="16" spans="1:17">
      <c r="A16" t="s">
        <v>224</v>
      </c>
      <c r="B16" t="s">
        <v>225</v>
      </c>
      <c r="C16" t="s">
        <v>81</v>
      </c>
      <c r="D16" t="s">
        <v>82</v>
      </c>
      <c r="E16" s="46">
        <f>SUMIFS(凭证计算!$G$4:$G$83,凭证计算!$E$4:$E$83,$A16)</f>
        <v>0</v>
      </c>
      <c r="F16" s="46">
        <f>SUMIFS(凭证计算!$H$4:$H$83,凭证计算!$E$4:$E$83,$A16)</f>
        <v>0</v>
      </c>
      <c r="G16" s="46">
        <f>SUMIFS(凭证计算!$G$86:$G$239,凭证计算!$E$86:$E$239,$A16,凭证计算!$A$86:$A$239,"&gt;="&amp;DATE(YEAR($B$3),MONTH($B$3),1),凭证计算!$A$86:$A$239,"&lt;="&amp;EOMONTH($B$3,0))</f>
        <v>0</v>
      </c>
      <c r="H16" s="46">
        <f>SUMIFS(凭证计算!$H$86:$H$239,凭证计算!$E$86:$E$239,$A16,凭证计算!$A$86:$A$239,"&gt;="&amp;DATE(YEAR($B$3),MONTH($B$3),1),凭证计算!$A$86:$A$239,"&lt;="&amp;EOMONTH($B$3,0))</f>
        <v>0</v>
      </c>
      <c r="I16" s="46">
        <f>SUMIFS(凭证计算!$G$86:$G$239,凭证计算!$E$86:$E$239,$A16,凭证计算!$A$86:$A$239,"&gt;="&amp;DATE(YEAR($B$3),1,1),凭证计算!$A$86:$A$239,"&lt;="&amp;EOMONTH($B$3,0))</f>
        <v>0</v>
      </c>
      <c r="J16" s="46">
        <f>SUMIFS(凭证计算!$H$86:$H$239,凭证计算!$E$86:$E$239,$A16,凭证计算!$A$86:$A$239,"&gt;="&amp;DATE(YEAR($B$3),1,1),凭证计算!$A$86:$A$239,"&lt;="&amp;EOMONTH($B$3,0))</f>
        <v>0</v>
      </c>
      <c r="K16" s="46">
        <f t="shared" si="0"/>
        <v>0</v>
      </c>
      <c r="L16" s="46">
        <f t="shared" si="1"/>
        <v>0</v>
      </c>
      <c r="M16" t="s">
        <v>83</v>
      </c>
      <c r="N16" t="s">
        <v>226</v>
      </c>
      <c r="P16" t="s">
        <v>85</v>
      </c>
      <c r="Q16" t="s">
        <v>86</v>
      </c>
    </row>
    <row r="17" spans="1:17">
      <c r="A17" t="s">
        <v>228</v>
      </c>
      <c r="B17" t="s">
        <v>229</v>
      </c>
      <c r="C17" t="s">
        <v>81</v>
      </c>
      <c r="D17" t="s">
        <v>82</v>
      </c>
      <c r="E17" s="46">
        <f>SUMIFS(凭证计算!$G$4:$G$83,凭证计算!$E$4:$E$83,$A17)</f>
        <v>0</v>
      </c>
      <c r="F17" s="46">
        <f>SUMIFS(凭证计算!$H$4:$H$83,凭证计算!$E$4:$E$83,$A17)</f>
        <v>0</v>
      </c>
      <c r="G17" s="46">
        <f>SUMIFS(凭证计算!$G$86:$G$239,凭证计算!$E$86:$E$239,$A17,凭证计算!$A$86:$A$239,"&gt;="&amp;DATE(YEAR($B$3),MONTH($B$3),1),凭证计算!$A$86:$A$239,"&lt;="&amp;EOMONTH($B$3,0))</f>
        <v>0</v>
      </c>
      <c r="H17" s="46">
        <f>SUMIFS(凭证计算!$H$86:$H$239,凭证计算!$E$86:$E$239,$A17,凭证计算!$A$86:$A$239,"&gt;="&amp;DATE(YEAR($B$3),MONTH($B$3),1),凭证计算!$A$86:$A$239,"&lt;="&amp;EOMONTH($B$3,0))</f>
        <v>0</v>
      </c>
      <c r="I17" s="46">
        <f>SUMIFS(凭证计算!$G$86:$G$239,凭证计算!$E$86:$E$239,$A17,凭证计算!$A$86:$A$239,"&gt;="&amp;DATE(YEAR($B$3),1,1),凭证计算!$A$86:$A$239,"&lt;="&amp;EOMONTH($B$3,0))</f>
        <v>0</v>
      </c>
      <c r="J17" s="46">
        <f>SUMIFS(凭证计算!$H$86:$H$239,凭证计算!$E$86:$E$239,$A17,凭证计算!$A$86:$A$239,"&gt;="&amp;DATE(YEAR($B$3),1,1),凭证计算!$A$86:$A$239,"&lt;="&amp;EOMONTH($B$3,0))</f>
        <v>0</v>
      </c>
      <c r="K17" s="46">
        <f t="shared" si="0"/>
        <v>0</v>
      </c>
      <c r="L17" s="46">
        <f t="shared" si="1"/>
        <v>0</v>
      </c>
      <c r="M17" t="s">
        <v>83</v>
      </c>
      <c r="N17" t="s">
        <v>226</v>
      </c>
      <c r="P17" t="s">
        <v>85</v>
      </c>
      <c r="Q17" t="s">
        <v>86</v>
      </c>
    </row>
    <row r="18" spans="1:17">
      <c r="A18" t="s">
        <v>231</v>
      </c>
      <c r="B18" t="s">
        <v>232</v>
      </c>
      <c r="C18" t="s">
        <v>81</v>
      </c>
      <c r="D18" t="s">
        <v>82</v>
      </c>
      <c r="E18" s="46">
        <f>SUMIFS(凭证计算!$G$4:$G$83,凭证计算!$E$4:$E$83,$A18)</f>
        <v>0</v>
      </c>
      <c r="F18" s="46">
        <f>SUMIFS(凭证计算!$H$4:$H$83,凭证计算!$E$4:$E$83,$A18)</f>
        <v>0</v>
      </c>
      <c r="G18" s="46">
        <f>SUMIFS(凭证计算!$G$86:$G$239,凭证计算!$E$86:$E$239,$A18,凭证计算!$A$86:$A$239,"&gt;="&amp;DATE(YEAR($B$3),MONTH($B$3),1),凭证计算!$A$86:$A$239,"&lt;="&amp;EOMONTH($B$3,0))</f>
        <v>0</v>
      </c>
      <c r="H18" s="46">
        <f>SUMIFS(凭证计算!$H$86:$H$239,凭证计算!$E$86:$E$239,$A18,凭证计算!$A$86:$A$239,"&gt;="&amp;DATE(YEAR($B$3),MONTH($B$3),1),凭证计算!$A$86:$A$239,"&lt;="&amp;EOMONTH($B$3,0))</f>
        <v>0</v>
      </c>
      <c r="I18" s="46">
        <f>SUMIFS(凭证计算!$G$86:$G$239,凭证计算!$E$86:$E$239,$A18,凭证计算!$A$86:$A$239,"&gt;="&amp;DATE(YEAR($B$3),1,1),凭证计算!$A$86:$A$239,"&lt;="&amp;EOMONTH($B$3,0))</f>
        <v>0</v>
      </c>
      <c r="J18" s="46">
        <f>SUMIFS(凭证计算!$H$86:$H$239,凭证计算!$E$86:$E$239,$A18,凭证计算!$A$86:$A$239,"&gt;="&amp;DATE(YEAR($B$3),1,1),凭证计算!$A$86:$A$239,"&lt;="&amp;EOMONTH($B$3,0))</f>
        <v>0</v>
      </c>
      <c r="K18" s="46">
        <f t="shared" si="0"/>
        <v>0</v>
      </c>
      <c r="L18" s="46">
        <f t="shared" si="1"/>
        <v>0</v>
      </c>
      <c r="M18" t="s">
        <v>83</v>
      </c>
      <c r="N18" t="s">
        <v>226</v>
      </c>
      <c r="P18" t="s">
        <v>85</v>
      </c>
      <c r="Q18" t="s">
        <v>86</v>
      </c>
    </row>
    <row r="19" spans="1:17">
      <c r="A19" t="s">
        <v>234</v>
      </c>
      <c r="B19" t="s">
        <v>235</v>
      </c>
      <c r="C19" t="s">
        <v>81</v>
      </c>
      <c r="D19" t="s">
        <v>82</v>
      </c>
      <c r="E19" s="46">
        <f>SUMIFS(凭证计算!$G$4:$G$83,凭证计算!$E$4:$E$83,$A19)</f>
        <v>0</v>
      </c>
      <c r="F19" s="46">
        <f>SUMIFS(凭证计算!$H$4:$H$83,凭证计算!$E$4:$E$83,$A19)</f>
        <v>0</v>
      </c>
      <c r="G19" s="46">
        <f>SUMIFS(凭证计算!$G$86:$G$239,凭证计算!$E$86:$E$239,$A19,凭证计算!$A$86:$A$239,"&gt;="&amp;DATE(YEAR($B$3),MONTH($B$3),1),凭证计算!$A$86:$A$239,"&lt;="&amp;EOMONTH($B$3,0))</f>
        <v>0</v>
      </c>
      <c r="H19" s="46">
        <f>SUMIFS(凭证计算!$H$86:$H$239,凭证计算!$E$86:$E$239,$A19,凭证计算!$A$86:$A$239,"&gt;="&amp;DATE(YEAR($B$3),MONTH($B$3),1),凭证计算!$A$86:$A$239,"&lt;="&amp;EOMONTH($B$3,0))</f>
        <v>0</v>
      </c>
      <c r="I19" s="46">
        <f>SUMIFS(凭证计算!$G$86:$G$239,凭证计算!$E$86:$E$239,$A19,凭证计算!$A$86:$A$239,"&gt;="&amp;DATE(YEAR($B$3),1,1),凭证计算!$A$86:$A$239,"&lt;="&amp;EOMONTH($B$3,0))</f>
        <v>0</v>
      </c>
      <c r="J19" s="46">
        <f>SUMIFS(凭证计算!$H$86:$H$239,凭证计算!$E$86:$E$239,$A19,凭证计算!$A$86:$A$239,"&gt;="&amp;DATE(YEAR($B$3),1,1),凭证计算!$A$86:$A$239,"&lt;="&amp;EOMONTH($B$3,0))</f>
        <v>0</v>
      </c>
      <c r="K19" s="46">
        <f t="shared" si="0"/>
        <v>0</v>
      </c>
      <c r="L19" s="46">
        <f t="shared" si="1"/>
        <v>0</v>
      </c>
      <c r="M19" t="s">
        <v>83</v>
      </c>
      <c r="N19" t="s">
        <v>226</v>
      </c>
      <c r="P19" t="s">
        <v>85</v>
      </c>
      <c r="Q19" t="s">
        <v>86</v>
      </c>
    </row>
    <row r="20" spans="1:17">
      <c r="A20" t="s">
        <v>237</v>
      </c>
      <c r="B20" t="s">
        <v>238</v>
      </c>
      <c r="C20" t="s">
        <v>81</v>
      </c>
      <c r="D20" t="s">
        <v>82</v>
      </c>
      <c r="E20" s="46">
        <f>SUMIFS(凭证计算!$G$4:$G$83,凭证计算!$E$4:$E$83,$A20)</f>
        <v>100000</v>
      </c>
      <c r="F20" s="46">
        <f>SUMIFS(凭证计算!$H$4:$H$83,凭证计算!$E$4:$E$83,$A20)</f>
        <v>0</v>
      </c>
      <c r="G20" s="46">
        <f>SUMIFS(凭证计算!$G$86:$G$239,凭证计算!$E$86:$E$239,$A20,凭证计算!$A$86:$A$239,"&gt;="&amp;DATE(YEAR($B$3),MONTH($B$3),1),凭证计算!$A$86:$A$239,"&lt;="&amp;EOMONTH($B$3,0))</f>
        <v>20300</v>
      </c>
      <c r="H20" s="46">
        <f>SUMIFS(凭证计算!$H$86:$H$239,凭证计算!$E$86:$E$239,$A20,凭证计算!$A$86:$A$239,"&gt;="&amp;DATE(YEAR($B$3),MONTH($B$3),1),凭证计算!$A$86:$A$239,"&lt;="&amp;EOMONTH($B$3,0))</f>
        <v>13040</v>
      </c>
      <c r="I20" s="46">
        <f>SUMIFS(凭证计算!$G$86:$G$239,凭证计算!$E$86:$E$239,$A20,凭证计算!$A$86:$A$239,"&gt;="&amp;DATE(YEAR($B$3),1,1),凭证计算!$A$86:$A$239,"&lt;="&amp;EOMONTH($B$3,0))</f>
        <v>20300</v>
      </c>
      <c r="J20" s="46">
        <f>SUMIFS(凭证计算!$H$86:$H$239,凭证计算!$E$86:$E$239,$A20,凭证计算!$A$86:$A$239,"&gt;="&amp;DATE(YEAR($B$3),1,1),凭证计算!$A$86:$A$239,"&lt;="&amp;EOMONTH($B$3,0))</f>
        <v>13040</v>
      </c>
      <c r="K20" s="46">
        <f t="shared" si="0"/>
        <v>107260</v>
      </c>
      <c r="L20" s="46">
        <f t="shared" si="1"/>
        <v>0</v>
      </c>
      <c r="M20" t="s">
        <v>83</v>
      </c>
      <c r="N20" t="s">
        <v>226</v>
      </c>
      <c r="P20" t="s">
        <v>85</v>
      </c>
      <c r="Q20" t="s">
        <v>86</v>
      </c>
    </row>
    <row r="21" spans="1:17">
      <c r="A21" t="s">
        <v>240</v>
      </c>
      <c r="B21" t="s">
        <v>241</v>
      </c>
      <c r="C21" t="s">
        <v>81</v>
      </c>
      <c r="D21" t="s">
        <v>82</v>
      </c>
      <c r="E21" s="46">
        <f>SUMIFS(凭证计算!$G$4:$G$83,凭证计算!$E$4:$E$83,$A21)</f>
        <v>0</v>
      </c>
      <c r="F21" s="46">
        <f>SUMIFS(凭证计算!$H$4:$H$83,凭证计算!$E$4:$E$83,$A21)</f>
        <v>0</v>
      </c>
      <c r="G21" s="46">
        <f>SUMIFS(凭证计算!$G$86:$G$239,凭证计算!$E$86:$E$239,$A21,凭证计算!$A$86:$A$239,"&gt;="&amp;DATE(YEAR($B$3),MONTH($B$3),1),凭证计算!$A$86:$A$239,"&lt;="&amp;EOMONTH($B$3,0))</f>
        <v>0</v>
      </c>
      <c r="H21" s="46">
        <f>SUMIFS(凭证计算!$H$86:$H$239,凭证计算!$E$86:$E$239,$A21,凭证计算!$A$86:$A$239,"&gt;="&amp;DATE(YEAR($B$3),MONTH($B$3),1),凭证计算!$A$86:$A$239,"&lt;="&amp;EOMONTH($B$3,0))</f>
        <v>0</v>
      </c>
      <c r="I21" s="46">
        <f>SUMIFS(凭证计算!$G$86:$G$239,凭证计算!$E$86:$E$239,$A21,凭证计算!$A$86:$A$239,"&gt;="&amp;DATE(YEAR($B$3),1,1),凭证计算!$A$86:$A$239,"&lt;="&amp;EOMONTH($B$3,0))</f>
        <v>0</v>
      </c>
      <c r="J21" s="46">
        <f>SUMIFS(凭证计算!$H$86:$H$239,凭证计算!$E$86:$E$239,$A21,凭证计算!$A$86:$A$239,"&gt;="&amp;DATE(YEAR($B$3),1,1),凭证计算!$A$86:$A$239,"&lt;="&amp;EOMONTH($B$3,0))</f>
        <v>0</v>
      </c>
      <c r="K21" s="46">
        <f t="shared" si="0"/>
        <v>0</v>
      </c>
      <c r="L21" s="46">
        <f t="shared" si="1"/>
        <v>0</v>
      </c>
      <c r="M21" t="s">
        <v>83</v>
      </c>
      <c r="N21" t="s">
        <v>226</v>
      </c>
      <c r="P21" t="s">
        <v>85</v>
      </c>
      <c r="Q21" t="s">
        <v>86</v>
      </c>
    </row>
    <row r="22" spans="1:17">
      <c r="A22" t="s">
        <v>243</v>
      </c>
      <c r="B22" t="s">
        <v>244</v>
      </c>
      <c r="C22" t="s">
        <v>81</v>
      </c>
      <c r="D22" t="s">
        <v>221</v>
      </c>
      <c r="E22" s="46">
        <f>SUMIFS(凭证计算!$G$4:$G$83,凭证计算!$E$4:$E$83,$A22)</f>
        <v>0</v>
      </c>
      <c r="F22" s="46">
        <f>SUMIFS(凭证计算!$H$4:$H$83,凭证计算!$E$4:$E$83,$A22)</f>
        <v>0</v>
      </c>
      <c r="G22" s="46">
        <f>SUMIFS(凭证计算!$G$86:$G$239,凭证计算!$E$86:$E$239,$A22,凭证计算!$A$86:$A$239,"&gt;="&amp;DATE(YEAR($B$3),MONTH($B$3),1),凭证计算!$A$86:$A$239,"&lt;="&amp;EOMONTH($B$3,0))</f>
        <v>0</v>
      </c>
      <c r="H22" s="46">
        <f>SUMIFS(凭证计算!$H$86:$H$239,凭证计算!$E$86:$E$239,$A22,凭证计算!$A$86:$A$239,"&gt;="&amp;DATE(YEAR($B$3),MONTH($B$3),1),凭证计算!$A$86:$A$239,"&lt;="&amp;EOMONTH($B$3,0))</f>
        <v>0</v>
      </c>
      <c r="I22" s="46">
        <f>SUMIFS(凭证计算!$G$86:$G$239,凭证计算!$E$86:$E$239,$A22,凭证计算!$A$86:$A$239,"&gt;="&amp;DATE(YEAR($B$3),1,1),凭证计算!$A$86:$A$239,"&lt;="&amp;EOMONTH($B$3,0))</f>
        <v>0</v>
      </c>
      <c r="J22" s="46">
        <f>SUMIFS(凭证计算!$H$86:$H$239,凭证计算!$E$86:$E$239,$A22,凭证计算!$A$86:$A$239,"&gt;="&amp;DATE(YEAR($B$3),1,1),凭证计算!$A$86:$A$239,"&lt;="&amp;EOMONTH($B$3,0))</f>
        <v>0</v>
      </c>
      <c r="K22" s="46">
        <f t="shared" si="0"/>
        <v>0</v>
      </c>
      <c r="L22" s="46">
        <f t="shared" si="1"/>
        <v>0</v>
      </c>
      <c r="M22" t="s">
        <v>83</v>
      </c>
      <c r="N22" t="s">
        <v>226</v>
      </c>
      <c r="P22" t="s">
        <v>85</v>
      </c>
      <c r="Q22" t="s">
        <v>86</v>
      </c>
    </row>
    <row r="23" spans="1:17">
      <c r="A23" t="s">
        <v>247</v>
      </c>
      <c r="B23" t="s">
        <v>248</v>
      </c>
      <c r="C23" t="s">
        <v>81</v>
      </c>
      <c r="D23" t="s">
        <v>82</v>
      </c>
      <c r="E23" s="46">
        <f>SUMIFS(凭证计算!$G$4:$G$83,凭证计算!$E$4:$E$83,$A23)</f>
        <v>0</v>
      </c>
      <c r="F23" s="46">
        <f>SUMIFS(凭证计算!$H$4:$H$83,凭证计算!$E$4:$E$83,$A23)</f>
        <v>0</v>
      </c>
      <c r="G23" s="46">
        <f>SUMIFS(凭证计算!$G$86:$G$239,凭证计算!$E$86:$E$239,$A23,凭证计算!$A$86:$A$239,"&gt;="&amp;DATE(YEAR($B$3),MONTH($B$3),1),凭证计算!$A$86:$A$239,"&lt;="&amp;EOMONTH($B$3,0))</f>
        <v>0</v>
      </c>
      <c r="H23" s="46">
        <f>SUMIFS(凭证计算!$H$86:$H$239,凭证计算!$E$86:$E$239,$A23,凭证计算!$A$86:$A$239,"&gt;="&amp;DATE(YEAR($B$3),MONTH($B$3),1),凭证计算!$A$86:$A$239,"&lt;="&amp;EOMONTH($B$3,0))</f>
        <v>0</v>
      </c>
      <c r="I23" s="46">
        <f>SUMIFS(凭证计算!$G$86:$G$239,凭证计算!$E$86:$E$239,$A23,凭证计算!$A$86:$A$239,"&gt;="&amp;DATE(YEAR($B$3),1,1),凭证计算!$A$86:$A$239,"&lt;="&amp;EOMONTH($B$3,0))</f>
        <v>0</v>
      </c>
      <c r="J23" s="46">
        <f>SUMIFS(凭证计算!$H$86:$H$239,凭证计算!$E$86:$E$239,$A23,凭证计算!$A$86:$A$239,"&gt;="&amp;DATE(YEAR($B$3),1,1),凭证计算!$A$86:$A$239,"&lt;="&amp;EOMONTH($B$3,0))</f>
        <v>0</v>
      </c>
      <c r="K23" s="46">
        <f t="shared" si="0"/>
        <v>0</v>
      </c>
      <c r="L23" s="46">
        <f t="shared" si="1"/>
        <v>0</v>
      </c>
      <c r="M23" t="s">
        <v>83</v>
      </c>
      <c r="N23" t="s">
        <v>226</v>
      </c>
      <c r="P23" t="s">
        <v>85</v>
      </c>
      <c r="Q23" t="s">
        <v>86</v>
      </c>
    </row>
    <row r="24" spans="1:17">
      <c r="A24" t="s">
        <v>250</v>
      </c>
      <c r="B24" t="s">
        <v>251</v>
      </c>
      <c r="C24" t="s">
        <v>81</v>
      </c>
      <c r="D24" t="s">
        <v>82</v>
      </c>
      <c r="E24" s="46">
        <f>SUMIFS(凭证计算!$G$4:$G$83,凭证计算!$E$4:$E$83,$A24)</f>
        <v>0</v>
      </c>
      <c r="F24" s="46">
        <f>SUMIFS(凭证计算!$H$4:$H$83,凭证计算!$E$4:$E$83,$A24)</f>
        <v>0</v>
      </c>
      <c r="G24" s="46">
        <f>SUMIFS(凭证计算!$G$86:$G$239,凭证计算!$E$86:$E$239,$A24,凭证计算!$A$86:$A$239,"&gt;="&amp;DATE(YEAR($B$3),MONTH($B$3),1),凭证计算!$A$86:$A$239,"&lt;="&amp;EOMONTH($B$3,0))</f>
        <v>0</v>
      </c>
      <c r="H24" s="46">
        <f>SUMIFS(凭证计算!$H$86:$H$239,凭证计算!$E$86:$E$239,$A24,凭证计算!$A$86:$A$239,"&gt;="&amp;DATE(YEAR($B$3),MONTH($B$3),1),凭证计算!$A$86:$A$239,"&lt;="&amp;EOMONTH($B$3,0))</f>
        <v>0</v>
      </c>
      <c r="I24" s="46">
        <f>SUMIFS(凭证计算!$G$86:$G$239,凭证计算!$E$86:$E$239,$A24,凭证计算!$A$86:$A$239,"&gt;="&amp;DATE(YEAR($B$3),1,1),凭证计算!$A$86:$A$239,"&lt;="&amp;EOMONTH($B$3,0))</f>
        <v>0</v>
      </c>
      <c r="J24" s="46">
        <f>SUMIFS(凭证计算!$H$86:$H$239,凭证计算!$E$86:$E$239,$A24,凭证计算!$A$86:$A$239,"&gt;="&amp;DATE(YEAR($B$3),1,1),凭证计算!$A$86:$A$239,"&lt;="&amp;EOMONTH($B$3,0))</f>
        <v>0</v>
      </c>
      <c r="K24" s="46">
        <f t="shared" si="0"/>
        <v>0</v>
      </c>
      <c r="L24" s="46">
        <f t="shared" si="1"/>
        <v>0</v>
      </c>
      <c r="M24" t="s">
        <v>83</v>
      </c>
      <c r="N24" t="s">
        <v>226</v>
      </c>
      <c r="P24" t="s">
        <v>85</v>
      </c>
      <c r="Q24" t="s">
        <v>86</v>
      </c>
    </row>
    <row r="25" spans="1:17">
      <c r="A25" t="s">
        <v>254</v>
      </c>
      <c r="B25" t="s">
        <v>255</v>
      </c>
      <c r="C25" t="s">
        <v>81</v>
      </c>
      <c r="D25" t="s">
        <v>221</v>
      </c>
      <c r="E25" s="46">
        <f>SUMIFS(凭证计算!$G$4:$G$83,凭证计算!$E$4:$E$83,$A25)</f>
        <v>0</v>
      </c>
      <c r="F25" s="46">
        <f>SUMIFS(凭证计算!$H$4:$H$83,凭证计算!$E$4:$E$83,$A25)</f>
        <v>0</v>
      </c>
      <c r="G25" s="46">
        <f>SUMIFS(凭证计算!$G$86:$G$239,凭证计算!$E$86:$E$239,$A25,凭证计算!$A$86:$A$239,"&gt;="&amp;DATE(YEAR($B$3),MONTH($B$3),1),凭证计算!$A$86:$A$239,"&lt;="&amp;EOMONTH($B$3,0))</f>
        <v>0</v>
      </c>
      <c r="H25" s="46">
        <f>SUMIFS(凭证计算!$H$86:$H$239,凭证计算!$E$86:$E$239,$A25,凭证计算!$A$86:$A$239,"&gt;="&amp;DATE(YEAR($B$3),MONTH($B$3),1),凭证计算!$A$86:$A$239,"&lt;="&amp;EOMONTH($B$3,0))</f>
        <v>0</v>
      </c>
      <c r="I25" s="46">
        <f>SUMIFS(凭证计算!$G$86:$G$239,凭证计算!$E$86:$E$239,$A25,凭证计算!$A$86:$A$239,"&gt;="&amp;DATE(YEAR($B$3),1,1),凭证计算!$A$86:$A$239,"&lt;="&amp;EOMONTH($B$3,0))</f>
        <v>0</v>
      </c>
      <c r="J25" s="46">
        <f>SUMIFS(凭证计算!$H$86:$H$239,凭证计算!$E$86:$E$239,$A25,凭证计算!$A$86:$A$239,"&gt;="&amp;DATE(YEAR($B$3),1,1),凭证计算!$A$86:$A$239,"&lt;="&amp;EOMONTH($B$3,0))</f>
        <v>0</v>
      </c>
      <c r="K25" s="46">
        <f t="shared" si="0"/>
        <v>0</v>
      </c>
      <c r="L25" s="46">
        <f t="shared" si="1"/>
        <v>0</v>
      </c>
      <c r="M25" t="s">
        <v>83</v>
      </c>
      <c r="N25" t="s">
        <v>226</v>
      </c>
      <c r="P25" t="s">
        <v>85</v>
      </c>
      <c r="Q25" t="s">
        <v>86</v>
      </c>
    </row>
    <row r="26" spans="1:17">
      <c r="A26" t="s">
        <v>258</v>
      </c>
      <c r="B26" t="s">
        <v>259</v>
      </c>
      <c r="C26" t="s">
        <v>81</v>
      </c>
      <c r="D26" t="s">
        <v>82</v>
      </c>
      <c r="E26" s="46">
        <f>SUMIFS(凭证计算!$G$4:$G$83,凭证计算!$E$4:$E$83,$A26)</f>
        <v>0</v>
      </c>
      <c r="F26" s="46">
        <f>SUMIFS(凭证计算!$H$4:$H$83,凭证计算!$E$4:$E$83,$A26)</f>
        <v>0</v>
      </c>
      <c r="G26" s="46">
        <f>SUMIFS(凭证计算!$G$86:$G$239,凭证计算!$E$86:$E$239,$A26,凭证计算!$A$86:$A$239,"&gt;="&amp;DATE(YEAR($B$3),MONTH($B$3),1),凭证计算!$A$86:$A$239,"&lt;="&amp;EOMONTH($B$3,0))</f>
        <v>0</v>
      </c>
      <c r="H26" s="46">
        <f>SUMIFS(凭证计算!$H$86:$H$239,凭证计算!$E$86:$E$239,$A26,凭证计算!$A$86:$A$239,"&gt;="&amp;DATE(YEAR($B$3),MONTH($B$3),1),凭证计算!$A$86:$A$239,"&lt;="&amp;EOMONTH($B$3,0))</f>
        <v>0</v>
      </c>
      <c r="I26" s="46">
        <f>SUMIFS(凭证计算!$G$86:$G$239,凭证计算!$E$86:$E$239,$A26,凭证计算!$A$86:$A$239,"&gt;="&amp;DATE(YEAR($B$3),1,1),凭证计算!$A$86:$A$239,"&lt;="&amp;EOMONTH($B$3,0))</f>
        <v>0</v>
      </c>
      <c r="J26" s="46">
        <f>SUMIFS(凭证计算!$H$86:$H$239,凭证计算!$E$86:$E$239,$A26,凭证计算!$A$86:$A$239,"&gt;="&amp;DATE(YEAR($B$3),1,1),凭证计算!$A$86:$A$239,"&lt;="&amp;EOMONTH($B$3,0))</f>
        <v>0</v>
      </c>
      <c r="K26" s="46">
        <f t="shared" si="0"/>
        <v>0</v>
      </c>
      <c r="L26" s="46">
        <f t="shared" si="1"/>
        <v>0</v>
      </c>
      <c r="M26" t="s">
        <v>83</v>
      </c>
      <c r="N26" t="s">
        <v>259</v>
      </c>
      <c r="P26" t="s">
        <v>260</v>
      </c>
      <c r="Q26" t="s">
        <v>86</v>
      </c>
    </row>
    <row r="27" spans="1:17">
      <c r="A27" t="s">
        <v>261</v>
      </c>
      <c r="B27" t="s">
        <v>262</v>
      </c>
      <c r="C27" t="s">
        <v>81</v>
      </c>
      <c r="D27" t="s">
        <v>82</v>
      </c>
      <c r="E27" s="46">
        <f>SUMIFS(凭证计算!$G$4:$G$83,凭证计算!$E$4:$E$83,$A27)</f>
        <v>0</v>
      </c>
      <c r="F27" s="46">
        <f>SUMIFS(凭证计算!$H$4:$H$83,凭证计算!$E$4:$E$83,$A27)</f>
        <v>0</v>
      </c>
      <c r="G27" s="46">
        <f>SUMIFS(凭证计算!$G$86:$G$239,凭证计算!$E$86:$E$239,$A27,凭证计算!$A$86:$A$239,"&gt;="&amp;DATE(YEAR($B$3),MONTH($B$3),1),凭证计算!$A$86:$A$239,"&lt;="&amp;EOMONTH($B$3,0))</f>
        <v>0</v>
      </c>
      <c r="H27" s="46">
        <f>SUMIFS(凭证计算!$H$86:$H$239,凭证计算!$E$86:$E$239,$A27,凭证计算!$A$86:$A$239,"&gt;="&amp;DATE(YEAR($B$3),MONTH($B$3),1),凭证计算!$A$86:$A$239,"&lt;="&amp;EOMONTH($B$3,0))</f>
        <v>0</v>
      </c>
      <c r="I27" s="46">
        <f>SUMIFS(凭证计算!$G$86:$G$239,凭证计算!$E$86:$E$239,$A27,凭证计算!$A$86:$A$239,"&gt;="&amp;DATE(YEAR($B$3),1,1),凭证计算!$A$86:$A$239,"&lt;="&amp;EOMONTH($B$3,0))</f>
        <v>0</v>
      </c>
      <c r="J27" s="46">
        <f>SUMIFS(凭证计算!$H$86:$H$239,凭证计算!$E$86:$E$239,$A27,凭证计算!$A$86:$A$239,"&gt;="&amp;DATE(YEAR($B$3),1,1),凭证计算!$A$86:$A$239,"&lt;="&amp;EOMONTH($B$3,0))</f>
        <v>0</v>
      </c>
      <c r="K27" s="46">
        <f t="shared" si="0"/>
        <v>0</v>
      </c>
      <c r="L27" s="46">
        <f t="shared" si="1"/>
        <v>0</v>
      </c>
      <c r="M27" t="s">
        <v>83</v>
      </c>
      <c r="N27" t="s">
        <v>262</v>
      </c>
      <c r="P27" t="s">
        <v>260</v>
      </c>
      <c r="Q27" t="s">
        <v>86</v>
      </c>
    </row>
    <row r="28" spans="1:17">
      <c r="A28" t="s">
        <v>263</v>
      </c>
      <c r="B28" t="s">
        <v>264</v>
      </c>
      <c r="C28" t="s">
        <v>81</v>
      </c>
      <c r="D28" t="s">
        <v>82</v>
      </c>
      <c r="E28" s="46">
        <f>SUMIFS(凭证计算!$G$4:$G$83,凭证计算!$E$4:$E$83,$A28)</f>
        <v>0</v>
      </c>
      <c r="F28" s="46">
        <f>SUMIFS(凭证计算!$H$4:$H$83,凭证计算!$E$4:$E$83,$A28)</f>
        <v>0</v>
      </c>
      <c r="G28" s="46">
        <f>SUMIFS(凭证计算!$G$86:$G$239,凭证计算!$E$86:$E$239,$A28,凭证计算!$A$86:$A$239,"&gt;="&amp;DATE(YEAR($B$3),MONTH($B$3),1),凭证计算!$A$86:$A$239,"&lt;="&amp;EOMONTH($B$3,0))</f>
        <v>0</v>
      </c>
      <c r="H28" s="46">
        <f>SUMIFS(凭证计算!$H$86:$H$239,凭证计算!$E$86:$E$239,$A28,凭证计算!$A$86:$A$239,"&gt;="&amp;DATE(YEAR($B$3),MONTH($B$3),1),凭证计算!$A$86:$A$239,"&lt;="&amp;EOMONTH($B$3,0))</f>
        <v>0</v>
      </c>
      <c r="I28" s="46">
        <f>SUMIFS(凭证计算!$G$86:$G$239,凭证计算!$E$86:$E$239,$A28,凭证计算!$A$86:$A$239,"&gt;="&amp;DATE(YEAR($B$3),1,1),凭证计算!$A$86:$A$239,"&lt;="&amp;EOMONTH($B$3,0))</f>
        <v>0</v>
      </c>
      <c r="J28" s="46">
        <f>SUMIFS(凭证计算!$H$86:$H$239,凭证计算!$E$86:$E$239,$A28,凭证计算!$A$86:$A$239,"&gt;="&amp;DATE(YEAR($B$3),1,1),凭证计算!$A$86:$A$239,"&lt;="&amp;EOMONTH($B$3,0))</f>
        <v>0</v>
      </c>
      <c r="K28" s="46">
        <f t="shared" si="0"/>
        <v>0</v>
      </c>
      <c r="L28" s="46">
        <f t="shared" si="1"/>
        <v>0</v>
      </c>
      <c r="M28" t="s">
        <v>83</v>
      </c>
      <c r="N28" t="s">
        <v>264</v>
      </c>
      <c r="P28" t="s">
        <v>85</v>
      </c>
      <c r="Q28" t="s">
        <v>86</v>
      </c>
    </row>
    <row r="29" spans="1:17">
      <c r="A29" t="s">
        <v>265</v>
      </c>
      <c r="B29" t="s">
        <v>266</v>
      </c>
      <c r="C29" t="s">
        <v>81</v>
      </c>
      <c r="D29" t="s">
        <v>82</v>
      </c>
      <c r="E29" s="46">
        <f>SUMIFS(凭证计算!$G$4:$G$83,凭证计算!$E$4:$E$83,$A29)</f>
        <v>600000</v>
      </c>
      <c r="F29" s="46">
        <f>SUMIFS(凭证计算!$H$4:$H$83,凭证计算!$E$4:$E$83,$A29)</f>
        <v>0</v>
      </c>
      <c r="G29" s="46">
        <f>SUMIFS(凭证计算!$G$86:$G$239,凭证计算!$E$86:$E$239,$A29,凭证计算!$A$86:$A$239,"&gt;="&amp;DATE(YEAR($B$3),MONTH($B$3),1),凭证计算!$A$86:$A$239,"&lt;="&amp;EOMONTH($B$3,0))</f>
        <v>0</v>
      </c>
      <c r="H29" s="46">
        <f>SUMIFS(凭证计算!$H$86:$H$239,凭证计算!$E$86:$E$239,$A29,凭证计算!$A$86:$A$239,"&gt;="&amp;DATE(YEAR($B$3),MONTH($B$3),1),凭证计算!$A$86:$A$239,"&lt;="&amp;EOMONTH($B$3,0))</f>
        <v>0</v>
      </c>
      <c r="I29" s="46">
        <f>SUMIFS(凭证计算!$G$86:$G$239,凭证计算!$E$86:$E$239,$A29,凭证计算!$A$86:$A$239,"&gt;="&amp;DATE(YEAR($B$3),1,1),凭证计算!$A$86:$A$239,"&lt;="&amp;EOMONTH($B$3,0))</f>
        <v>0</v>
      </c>
      <c r="J29" s="46">
        <f>SUMIFS(凭证计算!$H$86:$H$239,凭证计算!$E$86:$E$239,$A29,凭证计算!$A$86:$A$239,"&gt;="&amp;DATE(YEAR($B$3),1,1),凭证计算!$A$86:$A$239,"&lt;="&amp;EOMONTH($B$3,0))</f>
        <v>0</v>
      </c>
      <c r="K29" s="46">
        <f t="shared" si="0"/>
        <v>600000</v>
      </c>
      <c r="L29" s="46">
        <f t="shared" si="1"/>
        <v>0</v>
      </c>
      <c r="M29" t="s">
        <v>83</v>
      </c>
      <c r="N29" t="s">
        <v>266</v>
      </c>
      <c r="P29" t="s">
        <v>260</v>
      </c>
      <c r="Q29" t="s">
        <v>86</v>
      </c>
    </row>
    <row r="30" spans="1:17">
      <c r="A30" t="s">
        <v>267</v>
      </c>
      <c r="B30" t="s">
        <v>268</v>
      </c>
      <c r="C30" t="s">
        <v>81</v>
      </c>
      <c r="D30" t="s">
        <v>221</v>
      </c>
      <c r="E30" s="46">
        <f>SUMIFS(凭证计算!$G$4:$G$83,凭证计算!$E$4:$E$83,$A30)</f>
        <v>0</v>
      </c>
      <c r="F30" s="46">
        <f>SUMIFS(凭证计算!$H$4:$H$83,凭证计算!$E$4:$E$83,$A30)</f>
        <v>0</v>
      </c>
      <c r="G30" s="46">
        <f>SUMIFS(凭证计算!$G$86:$G$239,凭证计算!$E$86:$E$239,$A30,凭证计算!$A$86:$A$239,"&gt;="&amp;DATE(YEAR($B$3),MONTH($B$3),1),凭证计算!$A$86:$A$239,"&lt;="&amp;EOMONTH($B$3,0))</f>
        <v>0</v>
      </c>
      <c r="H30" s="46">
        <f>SUMIFS(凭证计算!$H$86:$H$239,凭证计算!$E$86:$E$239,$A30,凭证计算!$A$86:$A$239,"&gt;="&amp;DATE(YEAR($B$3),MONTH($B$3),1),凭证计算!$A$86:$A$239,"&lt;="&amp;EOMONTH($B$3,0))</f>
        <v>0</v>
      </c>
      <c r="I30" s="46">
        <f>SUMIFS(凭证计算!$G$86:$G$239,凭证计算!$E$86:$E$239,$A30,凭证计算!$A$86:$A$239,"&gt;="&amp;DATE(YEAR($B$3),1,1),凭证计算!$A$86:$A$239,"&lt;="&amp;EOMONTH($B$3,0))</f>
        <v>0</v>
      </c>
      <c r="J30" s="46">
        <f>SUMIFS(凭证计算!$H$86:$H$239,凭证计算!$E$86:$E$239,$A30,凭证计算!$A$86:$A$239,"&gt;="&amp;DATE(YEAR($B$3),1,1),凭证计算!$A$86:$A$239,"&lt;="&amp;EOMONTH($B$3,0))</f>
        <v>0</v>
      </c>
      <c r="K30" s="46">
        <f t="shared" si="0"/>
        <v>0</v>
      </c>
      <c r="L30" s="46">
        <f t="shared" si="1"/>
        <v>0</v>
      </c>
      <c r="M30" t="s">
        <v>83</v>
      </c>
      <c r="N30" t="s">
        <v>266</v>
      </c>
      <c r="P30" t="s">
        <v>85</v>
      </c>
      <c r="Q30" t="s">
        <v>86</v>
      </c>
    </row>
    <row r="31" spans="1:17">
      <c r="A31" t="s">
        <v>269</v>
      </c>
      <c r="B31" t="s">
        <v>270</v>
      </c>
      <c r="C31" t="s">
        <v>81</v>
      </c>
      <c r="D31" t="s">
        <v>82</v>
      </c>
      <c r="E31" s="46">
        <f>SUMIFS(凭证计算!$G$4:$G$83,凭证计算!$E$4:$E$83,$A31)</f>
        <v>0</v>
      </c>
      <c r="F31" s="46">
        <f>SUMIFS(凭证计算!$H$4:$H$83,凭证计算!$E$4:$E$83,$A31)</f>
        <v>0</v>
      </c>
      <c r="G31" s="46">
        <f>SUMIFS(凭证计算!$G$86:$G$239,凭证计算!$E$86:$E$239,$A31,凭证计算!$A$86:$A$239,"&gt;="&amp;DATE(YEAR($B$3),MONTH($B$3),1),凭证计算!$A$86:$A$239,"&lt;="&amp;EOMONTH($B$3,0))</f>
        <v>0</v>
      </c>
      <c r="H31" s="46">
        <f>SUMIFS(凭证计算!$H$86:$H$239,凭证计算!$E$86:$E$239,$A31,凭证计算!$A$86:$A$239,"&gt;="&amp;DATE(YEAR($B$3),MONTH($B$3),1),凭证计算!$A$86:$A$239,"&lt;="&amp;EOMONTH($B$3,0))</f>
        <v>0</v>
      </c>
      <c r="I31" s="46">
        <f>SUMIFS(凭证计算!$G$86:$G$239,凭证计算!$E$86:$E$239,$A31,凭证计算!$A$86:$A$239,"&gt;="&amp;DATE(YEAR($B$3),1,1),凭证计算!$A$86:$A$239,"&lt;="&amp;EOMONTH($B$3,0))</f>
        <v>0</v>
      </c>
      <c r="J31" s="46">
        <f>SUMIFS(凭证计算!$H$86:$H$239,凭证计算!$E$86:$E$239,$A31,凭证计算!$A$86:$A$239,"&gt;="&amp;DATE(YEAR($B$3),1,1),凭证计算!$A$86:$A$239,"&lt;="&amp;EOMONTH($B$3,0))</f>
        <v>0</v>
      </c>
      <c r="K31" s="46">
        <f t="shared" si="0"/>
        <v>0</v>
      </c>
      <c r="L31" s="46">
        <f t="shared" si="1"/>
        <v>0</v>
      </c>
      <c r="M31" t="s">
        <v>83</v>
      </c>
      <c r="N31" t="s">
        <v>270</v>
      </c>
      <c r="P31" t="s">
        <v>260</v>
      </c>
      <c r="Q31" t="s">
        <v>86</v>
      </c>
    </row>
    <row r="32" spans="1:17">
      <c r="A32" t="s">
        <v>271</v>
      </c>
      <c r="B32" t="s">
        <v>272</v>
      </c>
      <c r="C32" t="s">
        <v>81</v>
      </c>
      <c r="D32" t="s">
        <v>82</v>
      </c>
      <c r="E32" s="46">
        <f>SUMIFS(凭证计算!$G$4:$G$83,凭证计算!$E$4:$E$83,$A32)</f>
        <v>0</v>
      </c>
      <c r="F32" s="46">
        <f>SUMIFS(凭证计算!$H$4:$H$83,凭证计算!$E$4:$E$83,$A32)</f>
        <v>0</v>
      </c>
      <c r="G32" s="46">
        <f>SUMIFS(凭证计算!$G$86:$G$239,凭证计算!$E$86:$E$239,$A32,凭证计算!$A$86:$A$239,"&gt;="&amp;DATE(YEAR($B$3),MONTH($B$3),1),凭证计算!$A$86:$A$239,"&lt;="&amp;EOMONTH($B$3,0))</f>
        <v>0</v>
      </c>
      <c r="H32" s="46">
        <f>SUMIFS(凭证计算!$H$86:$H$239,凭证计算!$E$86:$E$239,$A32,凭证计算!$A$86:$A$239,"&gt;="&amp;DATE(YEAR($B$3),MONTH($B$3),1),凭证计算!$A$86:$A$239,"&lt;="&amp;EOMONTH($B$3,0))</f>
        <v>0</v>
      </c>
      <c r="I32" s="46">
        <f>SUMIFS(凭证计算!$G$86:$G$239,凭证计算!$E$86:$E$239,$A32,凭证计算!$A$86:$A$239,"&gt;="&amp;DATE(YEAR($B$3),1,1),凭证计算!$A$86:$A$239,"&lt;="&amp;EOMONTH($B$3,0))</f>
        <v>0</v>
      </c>
      <c r="J32" s="46">
        <f>SUMIFS(凭证计算!$H$86:$H$239,凭证计算!$E$86:$E$239,$A32,凭证计算!$A$86:$A$239,"&gt;="&amp;DATE(YEAR($B$3),1,1),凭证计算!$A$86:$A$239,"&lt;="&amp;EOMONTH($B$3,0))</f>
        <v>0</v>
      </c>
      <c r="K32" s="46">
        <f t="shared" si="0"/>
        <v>0</v>
      </c>
      <c r="L32" s="46">
        <f t="shared" si="1"/>
        <v>0</v>
      </c>
      <c r="M32" t="s">
        <v>83</v>
      </c>
      <c r="N32" t="s">
        <v>270</v>
      </c>
      <c r="P32" t="s">
        <v>85</v>
      </c>
      <c r="Q32" t="s">
        <v>86</v>
      </c>
    </row>
    <row r="33" spans="1:17">
      <c r="A33" t="s">
        <v>273</v>
      </c>
      <c r="B33" t="s">
        <v>274</v>
      </c>
      <c r="C33" t="s">
        <v>81</v>
      </c>
      <c r="D33" t="s">
        <v>82</v>
      </c>
      <c r="E33" s="46">
        <f>SUMIFS(凭证计算!$G$4:$G$83,凭证计算!$E$4:$E$83,$A33)</f>
        <v>0</v>
      </c>
      <c r="F33" s="46">
        <f>SUMIFS(凭证计算!$H$4:$H$83,凭证计算!$E$4:$E$83,$A33)</f>
        <v>0</v>
      </c>
      <c r="G33" s="46">
        <f>SUMIFS(凭证计算!$G$86:$G$239,凭证计算!$E$86:$E$239,$A33,凭证计算!$A$86:$A$239,"&gt;="&amp;DATE(YEAR($B$3),MONTH($B$3),1),凭证计算!$A$86:$A$239,"&lt;="&amp;EOMONTH($B$3,0))</f>
        <v>0</v>
      </c>
      <c r="H33" s="46">
        <f>SUMIFS(凭证计算!$H$86:$H$239,凭证计算!$E$86:$E$239,$A33,凭证计算!$A$86:$A$239,"&gt;="&amp;DATE(YEAR($B$3),MONTH($B$3),1),凭证计算!$A$86:$A$239,"&lt;="&amp;EOMONTH($B$3,0))</f>
        <v>0</v>
      </c>
      <c r="I33" s="46">
        <f>SUMIFS(凭证计算!$G$86:$G$239,凭证计算!$E$86:$E$239,$A33,凭证计算!$A$86:$A$239,"&gt;="&amp;DATE(YEAR($B$3),1,1),凭证计算!$A$86:$A$239,"&lt;="&amp;EOMONTH($B$3,0))</f>
        <v>0</v>
      </c>
      <c r="J33" s="46">
        <f>SUMIFS(凭证计算!$H$86:$H$239,凭证计算!$E$86:$E$239,$A33,凭证计算!$A$86:$A$239,"&gt;="&amp;DATE(YEAR($B$3),1,1),凭证计算!$A$86:$A$239,"&lt;="&amp;EOMONTH($B$3,0))</f>
        <v>0</v>
      </c>
      <c r="K33" s="46">
        <f t="shared" si="0"/>
        <v>0</v>
      </c>
      <c r="L33" s="46">
        <f t="shared" si="1"/>
        <v>0</v>
      </c>
      <c r="M33" t="s">
        <v>83</v>
      </c>
      <c r="N33" t="s">
        <v>266</v>
      </c>
      <c r="P33" t="s">
        <v>85</v>
      </c>
      <c r="Q33" t="s">
        <v>86</v>
      </c>
    </row>
    <row r="34" spans="1:17">
      <c r="A34" t="s">
        <v>275</v>
      </c>
      <c r="B34" t="s">
        <v>276</v>
      </c>
      <c r="C34" t="s">
        <v>81</v>
      </c>
      <c r="D34" t="s">
        <v>82</v>
      </c>
      <c r="E34" s="46">
        <f>SUMIFS(凭证计算!$G$4:$G$83,凭证计算!$E$4:$E$83,$A34)</f>
        <v>0</v>
      </c>
      <c r="F34" s="46">
        <f>SUMIFS(凭证计算!$H$4:$H$83,凭证计算!$E$4:$E$83,$A34)</f>
        <v>0</v>
      </c>
      <c r="G34" s="46">
        <f>SUMIFS(凭证计算!$G$86:$G$239,凭证计算!$E$86:$E$239,$A34,凭证计算!$A$86:$A$239,"&gt;="&amp;DATE(YEAR($B$3),MONTH($B$3),1),凭证计算!$A$86:$A$239,"&lt;="&amp;EOMONTH($B$3,0))</f>
        <v>0</v>
      </c>
      <c r="H34" s="46">
        <f>SUMIFS(凭证计算!$H$86:$H$239,凭证计算!$E$86:$E$239,$A34,凭证计算!$A$86:$A$239,"&gt;="&amp;DATE(YEAR($B$3),MONTH($B$3),1),凭证计算!$A$86:$A$239,"&lt;="&amp;EOMONTH($B$3,0))</f>
        <v>0</v>
      </c>
      <c r="I34" s="46">
        <f>SUMIFS(凭证计算!$G$86:$G$239,凭证计算!$E$86:$E$239,$A34,凭证计算!$A$86:$A$239,"&gt;="&amp;DATE(YEAR($B$3),1,1),凭证计算!$A$86:$A$239,"&lt;="&amp;EOMONTH($B$3,0))</f>
        <v>0</v>
      </c>
      <c r="J34" s="46">
        <f>SUMIFS(凭证计算!$H$86:$H$239,凭证计算!$E$86:$E$239,$A34,凭证计算!$A$86:$A$239,"&gt;="&amp;DATE(YEAR($B$3),1,1),凭证计算!$A$86:$A$239,"&lt;="&amp;EOMONTH($B$3,0))</f>
        <v>0</v>
      </c>
      <c r="K34" s="46">
        <f t="shared" si="0"/>
        <v>0</v>
      </c>
      <c r="L34" s="46">
        <f t="shared" si="1"/>
        <v>0</v>
      </c>
      <c r="M34" t="s">
        <v>83</v>
      </c>
      <c r="N34" t="s">
        <v>276</v>
      </c>
      <c r="P34" t="s">
        <v>260</v>
      </c>
      <c r="Q34" t="s">
        <v>86</v>
      </c>
    </row>
    <row r="35" spans="1:17">
      <c r="A35" t="s">
        <v>277</v>
      </c>
      <c r="B35" t="s">
        <v>278</v>
      </c>
      <c r="C35" t="s">
        <v>81</v>
      </c>
      <c r="D35" t="s">
        <v>221</v>
      </c>
      <c r="E35" s="46">
        <f>SUMIFS(凭证计算!$G$4:$G$83,凭证计算!$E$4:$E$83,$A35)</f>
        <v>0</v>
      </c>
      <c r="F35" s="46">
        <f>SUMIFS(凭证计算!$H$4:$H$83,凭证计算!$E$4:$E$83,$A35)</f>
        <v>0</v>
      </c>
      <c r="G35" s="46">
        <f>SUMIFS(凭证计算!$G$86:$G$239,凭证计算!$E$86:$E$239,$A35,凭证计算!$A$86:$A$239,"&gt;="&amp;DATE(YEAR($B$3),MONTH($B$3),1),凭证计算!$A$86:$A$239,"&lt;="&amp;EOMONTH($B$3,0))</f>
        <v>0</v>
      </c>
      <c r="H35" s="46">
        <f>SUMIFS(凭证计算!$H$86:$H$239,凭证计算!$E$86:$E$239,$A35,凭证计算!$A$86:$A$239,"&gt;="&amp;DATE(YEAR($B$3),MONTH($B$3),1),凭证计算!$A$86:$A$239,"&lt;="&amp;EOMONTH($B$3,0))</f>
        <v>0</v>
      </c>
      <c r="I35" s="46">
        <f>SUMIFS(凭证计算!$G$86:$G$239,凭证计算!$E$86:$E$239,$A35,凭证计算!$A$86:$A$239,"&gt;="&amp;DATE(YEAR($B$3),1,1),凭证计算!$A$86:$A$239,"&lt;="&amp;EOMONTH($B$3,0))</f>
        <v>0</v>
      </c>
      <c r="J35" s="46">
        <f>SUMIFS(凭证计算!$H$86:$H$239,凭证计算!$E$86:$E$239,$A35,凭证计算!$A$86:$A$239,"&gt;="&amp;DATE(YEAR($B$3),1,1),凭证计算!$A$86:$A$239,"&lt;="&amp;EOMONTH($B$3,0))</f>
        <v>0</v>
      </c>
      <c r="K35" s="46">
        <f t="shared" si="0"/>
        <v>0</v>
      </c>
      <c r="L35" s="46">
        <f t="shared" si="1"/>
        <v>0</v>
      </c>
      <c r="M35" t="s">
        <v>83</v>
      </c>
      <c r="N35" t="s">
        <v>276</v>
      </c>
      <c r="P35" t="s">
        <v>85</v>
      </c>
      <c r="Q35" t="s">
        <v>86</v>
      </c>
    </row>
    <row r="36" spans="1:17">
      <c r="A36" t="s">
        <v>279</v>
      </c>
      <c r="B36" t="s">
        <v>280</v>
      </c>
      <c r="C36" t="s">
        <v>81</v>
      </c>
      <c r="D36" t="s">
        <v>82</v>
      </c>
      <c r="E36" s="46">
        <f>SUMIFS(凭证计算!$G$4:$G$83,凭证计算!$E$4:$E$83,$A36)</f>
        <v>0</v>
      </c>
      <c r="F36" s="46">
        <f>SUMIFS(凭证计算!$H$4:$H$83,凭证计算!$E$4:$E$83,$A36)</f>
        <v>0</v>
      </c>
      <c r="G36" s="46">
        <f>SUMIFS(凭证计算!$G$86:$G$239,凭证计算!$E$86:$E$239,$A36,凭证计算!$A$86:$A$239,"&gt;="&amp;DATE(YEAR($B$3),MONTH($B$3),1),凭证计算!$A$86:$A$239,"&lt;="&amp;EOMONTH($B$3,0))</f>
        <v>0</v>
      </c>
      <c r="H36" s="46">
        <f>SUMIFS(凭证计算!$H$86:$H$239,凭证计算!$E$86:$E$239,$A36,凭证计算!$A$86:$A$239,"&gt;="&amp;DATE(YEAR($B$3),MONTH($B$3),1),凭证计算!$A$86:$A$239,"&lt;="&amp;EOMONTH($B$3,0))</f>
        <v>0</v>
      </c>
      <c r="I36" s="46">
        <f>SUMIFS(凭证计算!$G$86:$G$239,凭证计算!$E$86:$E$239,$A36,凭证计算!$A$86:$A$239,"&gt;="&amp;DATE(YEAR($B$3),1,1),凭证计算!$A$86:$A$239,"&lt;="&amp;EOMONTH($B$3,0))</f>
        <v>0</v>
      </c>
      <c r="J36" s="46">
        <f>SUMIFS(凭证计算!$H$86:$H$239,凭证计算!$E$86:$E$239,$A36,凭证计算!$A$86:$A$239,"&gt;="&amp;DATE(YEAR($B$3),1,1),凭证计算!$A$86:$A$239,"&lt;="&amp;EOMONTH($B$3,0))</f>
        <v>0</v>
      </c>
      <c r="K36" s="46">
        <f t="shared" si="0"/>
        <v>0</v>
      </c>
      <c r="L36" s="46">
        <f t="shared" si="1"/>
        <v>0</v>
      </c>
      <c r="M36" t="s">
        <v>83</v>
      </c>
      <c r="N36" t="s">
        <v>280</v>
      </c>
      <c r="P36" t="s">
        <v>85</v>
      </c>
      <c r="Q36" t="s">
        <v>86</v>
      </c>
    </row>
    <row r="37" spans="1:17">
      <c r="A37" t="s">
        <v>281</v>
      </c>
      <c r="B37" t="s">
        <v>282</v>
      </c>
      <c r="C37" t="s">
        <v>81</v>
      </c>
      <c r="D37" t="s">
        <v>82</v>
      </c>
      <c r="E37" s="46">
        <f>SUMIFS(凭证计算!$G$4:$G$83,凭证计算!$E$4:$E$83,$A37)</f>
        <v>0</v>
      </c>
      <c r="F37" s="46">
        <f>SUMIFS(凭证计算!$H$4:$H$83,凭证计算!$E$4:$E$83,$A37)</f>
        <v>0</v>
      </c>
      <c r="G37" s="46">
        <f>SUMIFS(凭证计算!$G$86:$G$239,凭证计算!$E$86:$E$239,$A37,凭证计算!$A$86:$A$239,"&gt;="&amp;DATE(YEAR($B$3),MONTH($B$3),1),凭证计算!$A$86:$A$239,"&lt;="&amp;EOMONTH($B$3,0))</f>
        <v>0</v>
      </c>
      <c r="H37" s="46">
        <f>SUMIFS(凭证计算!$H$86:$H$239,凭证计算!$E$86:$E$239,$A37,凭证计算!$A$86:$A$239,"&gt;="&amp;DATE(YEAR($B$3),MONTH($B$3),1),凭证计算!$A$86:$A$239,"&lt;="&amp;EOMONTH($B$3,0))</f>
        <v>0</v>
      </c>
      <c r="I37" s="46">
        <f>SUMIFS(凭证计算!$G$86:$G$239,凭证计算!$E$86:$E$239,$A37,凭证计算!$A$86:$A$239,"&gt;="&amp;DATE(YEAR($B$3),1,1),凭证计算!$A$86:$A$239,"&lt;="&amp;EOMONTH($B$3,0))</f>
        <v>0</v>
      </c>
      <c r="J37" s="46">
        <f>SUMIFS(凭证计算!$H$86:$H$239,凭证计算!$E$86:$E$239,$A37,凭证计算!$A$86:$A$239,"&gt;="&amp;DATE(YEAR($B$3),1,1),凭证计算!$A$86:$A$239,"&lt;="&amp;EOMONTH($B$3,0))</f>
        <v>0</v>
      </c>
      <c r="K37" s="46">
        <f t="shared" si="0"/>
        <v>0</v>
      </c>
      <c r="L37" s="46">
        <f t="shared" si="1"/>
        <v>0</v>
      </c>
      <c r="M37" t="s">
        <v>83</v>
      </c>
      <c r="N37" t="s">
        <v>282</v>
      </c>
      <c r="P37" t="s">
        <v>85</v>
      </c>
      <c r="Q37" t="s">
        <v>86</v>
      </c>
    </row>
    <row r="38" spans="1:17">
      <c r="A38" t="s">
        <v>283</v>
      </c>
      <c r="B38" t="s">
        <v>284</v>
      </c>
      <c r="C38" t="s">
        <v>81</v>
      </c>
      <c r="D38" t="s">
        <v>82</v>
      </c>
      <c r="E38" s="46">
        <f>SUMIFS(凭证计算!$G$4:$G$83,凭证计算!$E$4:$E$83,$A38)</f>
        <v>0</v>
      </c>
      <c r="F38" s="46">
        <f>SUMIFS(凭证计算!$H$4:$H$83,凭证计算!$E$4:$E$83,$A38)</f>
        <v>0</v>
      </c>
      <c r="G38" s="46">
        <f>SUMIFS(凭证计算!$G$86:$G$239,凭证计算!$E$86:$E$239,$A38,凭证计算!$A$86:$A$239,"&gt;="&amp;DATE(YEAR($B$3),MONTH($B$3),1),凭证计算!$A$86:$A$239,"&lt;="&amp;EOMONTH($B$3,0))</f>
        <v>0</v>
      </c>
      <c r="H38" s="46">
        <f>SUMIFS(凭证计算!$H$86:$H$239,凭证计算!$E$86:$E$239,$A38,凭证计算!$A$86:$A$239,"&gt;="&amp;DATE(YEAR($B$3),MONTH($B$3),1),凭证计算!$A$86:$A$239,"&lt;="&amp;EOMONTH($B$3,0))</f>
        <v>0</v>
      </c>
      <c r="I38" s="46">
        <f>SUMIFS(凭证计算!$G$86:$G$239,凭证计算!$E$86:$E$239,$A38,凭证计算!$A$86:$A$239,"&gt;="&amp;DATE(YEAR($B$3),1,1),凭证计算!$A$86:$A$239,"&lt;="&amp;EOMONTH($B$3,0))</f>
        <v>0</v>
      </c>
      <c r="J38" s="46">
        <f>SUMIFS(凭证计算!$H$86:$H$239,凭证计算!$E$86:$E$239,$A38,凭证计算!$A$86:$A$239,"&gt;="&amp;DATE(YEAR($B$3),1,1),凭证计算!$A$86:$A$239,"&lt;="&amp;EOMONTH($B$3,0))</f>
        <v>0</v>
      </c>
      <c r="K38" s="46">
        <f t="shared" si="0"/>
        <v>0</v>
      </c>
      <c r="L38" s="46">
        <f t="shared" si="1"/>
        <v>0</v>
      </c>
      <c r="M38" t="s">
        <v>83</v>
      </c>
      <c r="N38" t="s">
        <v>285</v>
      </c>
      <c r="P38" t="s">
        <v>85</v>
      </c>
      <c r="Q38" t="s">
        <v>86</v>
      </c>
    </row>
    <row r="39" spans="1:17">
      <c r="A39" t="s">
        <v>286</v>
      </c>
      <c r="B39" t="s">
        <v>285</v>
      </c>
      <c r="C39" t="s">
        <v>81</v>
      </c>
      <c r="D39" t="s">
        <v>82</v>
      </c>
      <c r="E39" s="46">
        <f>SUMIFS(凭证计算!$G$4:$G$83,凭证计算!$E$4:$E$83,$A39)</f>
        <v>0</v>
      </c>
      <c r="F39" s="46">
        <f>SUMIFS(凭证计算!$H$4:$H$83,凭证计算!$E$4:$E$83,$A39)</f>
        <v>0</v>
      </c>
      <c r="G39" s="46">
        <f>SUMIFS(凭证计算!$G$86:$G$239,凭证计算!$E$86:$E$239,$A39,凭证计算!$A$86:$A$239,"&gt;="&amp;DATE(YEAR($B$3),MONTH($B$3),1),凭证计算!$A$86:$A$239,"&lt;="&amp;EOMONTH($B$3,0))</f>
        <v>0</v>
      </c>
      <c r="H39" s="46">
        <f>SUMIFS(凭证计算!$H$86:$H$239,凭证计算!$E$86:$E$239,$A39,凭证计算!$A$86:$A$239,"&gt;="&amp;DATE(YEAR($B$3),MONTH($B$3),1),凭证计算!$A$86:$A$239,"&lt;="&amp;EOMONTH($B$3,0))</f>
        <v>0</v>
      </c>
      <c r="I39" s="46">
        <f>SUMIFS(凭证计算!$G$86:$G$239,凭证计算!$E$86:$E$239,$A39,凭证计算!$A$86:$A$239,"&gt;="&amp;DATE(YEAR($B$3),1,1),凭证计算!$A$86:$A$239,"&lt;="&amp;EOMONTH($B$3,0))</f>
        <v>0</v>
      </c>
      <c r="J39" s="46">
        <f>SUMIFS(凭证计算!$H$86:$H$239,凭证计算!$E$86:$E$239,$A39,凭证计算!$A$86:$A$239,"&gt;="&amp;DATE(YEAR($B$3),1,1),凭证计算!$A$86:$A$239,"&lt;="&amp;EOMONTH($B$3,0))</f>
        <v>0</v>
      </c>
      <c r="K39" s="46">
        <f t="shared" si="0"/>
        <v>0</v>
      </c>
      <c r="L39" s="46">
        <f t="shared" si="1"/>
        <v>0</v>
      </c>
      <c r="M39" t="s">
        <v>83</v>
      </c>
      <c r="N39" t="s">
        <v>285</v>
      </c>
      <c r="P39" t="s">
        <v>85</v>
      </c>
      <c r="Q39" t="s">
        <v>86</v>
      </c>
    </row>
    <row r="40" spans="1:17">
      <c r="A40" t="s">
        <v>287</v>
      </c>
      <c r="B40" t="s">
        <v>288</v>
      </c>
      <c r="C40" t="s">
        <v>81</v>
      </c>
      <c r="D40" t="s">
        <v>82</v>
      </c>
      <c r="E40" s="46">
        <f>SUMIFS(凭证计算!$G$4:$G$83,凭证计算!$E$4:$E$83,$A40)</f>
        <v>0</v>
      </c>
      <c r="F40" s="46">
        <f>SUMIFS(凭证计算!$H$4:$H$83,凭证计算!$E$4:$E$83,$A40)</f>
        <v>0</v>
      </c>
      <c r="G40" s="46">
        <f>SUMIFS(凭证计算!$G$86:$G$239,凭证计算!$E$86:$E$239,$A40,凭证计算!$A$86:$A$239,"&gt;="&amp;DATE(YEAR($B$3),MONTH($B$3),1),凭证计算!$A$86:$A$239,"&lt;="&amp;EOMONTH($B$3,0))</f>
        <v>0</v>
      </c>
      <c r="H40" s="46">
        <f>SUMIFS(凭证计算!$H$86:$H$239,凭证计算!$E$86:$E$239,$A40,凭证计算!$A$86:$A$239,"&gt;="&amp;DATE(YEAR($B$3),MONTH($B$3),1),凭证计算!$A$86:$A$239,"&lt;="&amp;EOMONTH($B$3,0))</f>
        <v>0</v>
      </c>
      <c r="I40" s="46">
        <f>SUMIFS(凭证计算!$G$86:$G$239,凭证计算!$E$86:$E$239,$A40,凭证计算!$A$86:$A$239,"&gt;="&amp;DATE(YEAR($B$3),1,1),凭证计算!$A$86:$A$239,"&lt;="&amp;EOMONTH($B$3,0))</f>
        <v>0</v>
      </c>
      <c r="J40" s="46">
        <f>SUMIFS(凭证计算!$H$86:$H$239,凭证计算!$E$86:$E$239,$A40,凭证计算!$A$86:$A$239,"&gt;="&amp;DATE(YEAR($B$3),1,1),凭证计算!$A$86:$A$239,"&lt;="&amp;EOMONTH($B$3,0))</f>
        <v>0</v>
      </c>
      <c r="K40" s="46">
        <f t="shared" si="0"/>
        <v>0</v>
      </c>
      <c r="L40" s="46">
        <f t="shared" si="1"/>
        <v>0</v>
      </c>
      <c r="M40" t="s">
        <v>83</v>
      </c>
      <c r="N40" t="s">
        <v>288</v>
      </c>
      <c r="P40" t="s">
        <v>85</v>
      </c>
      <c r="Q40" t="s">
        <v>86</v>
      </c>
    </row>
    <row r="41" spans="1:17">
      <c r="A41" t="s">
        <v>289</v>
      </c>
      <c r="B41" t="s">
        <v>290</v>
      </c>
      <c r="C41" t="s">
        <v>291</v>
      </c>
      <c r="D41" t="s">
        <v>221</v>
      </c>
      <c r="E41" s="46">
        <f>SUMIFS(凭证计算!$G$4:$G$83,凭证计算!$E$4:$E$83,$A41)</f>
        <v>0</v>
      </c>
      <c r="F41" s="46">
        <f>SUMIFS(凭证计算!$H$4:$H$83,凭证计算!$E$4:$E$83,$A41)</f>
        <v>300000</v>
      </c>
      <c r="G41" s="46">
        <f>SUMIFS(凭证计算!$G$86:$G$239,凭证计算!$E$86:$E$239,$A41,凭证计算!$A$86:$A$239,"&gt;="&amp;DATE(YEAR($B$3),MONTH($B$3),1),凭证计算!$A$86:$A$239,"&lt;="&amp;EOMONTH($B$3,0))</f>
        <v>0</v>
      </c>
      <c r="H41" s="46">
        <f>SUMIFS(凭证计算!$H$86:$H$239,凭证计算!$E$86:$E$239,$A41,凭证计算!$A$86:$A$239,"&gt;="&amp;DATE(YEAR($B$3),MONTH($B$3),1),凭证计算!$A$86:$A$239,"&lt;="&amp;EOMONTH($B$3,0))</f>
        <v>0</v>
      </c>
      <c r="I41" s="46">
        <f>SUMIFS(凭证计算!$G$86:$G$239,凭证计算!$E$86:$E$239,$A41,凭证计算!$A$86:$A$239,"&gt;="&amp;DATE(YEAR($B$3),1,1),凭证计算!$A$86:$A$239,"&lt;="&amp;EOMONTH($B$3,0))</f>
        <v>0</v>
      </c>
      <c r="J41" s="46">
        <f>SUMIFS(凭证计算!$H$86:$H$239,凭证计算!$E$86:$E$239,$A41,凭证计算!$A$86:$A$239,"&gt;="&amp;DATE(YEAR($B$3),1,1),凭证计算!$A$86:$A$239,"&lt;="&amp;EOMONTH($B$3,0))</f>
        <v>0</v>
      </c>
      <c r="K41" s="46">
        <f t="shared" si="0"/>
        <v>0</v>
      </c>
      <c r="L41" s="46">
        <f t="shared" si="1"/>
        <v>300000</v>
      </c>
      <c r="M41" t="s">
        <v>83</v>
      </c>
      <c r="N41" t="s">
        <v>290</v>
      </c>
      <c r="P41" t="s">
        <v>292</v>
      </c>
      <c r="Q41" t="s">
        <v>86</v>
      </c>
    </row>
    <row r="42" spans="1:17">
      <c r="A42" t="s">
        <v>293</v>
      </c>
      <c r="B42" t="s">
        <v>294</v>
      </c>
      <c r="C42" t="s">
        <v>291</v>
      </c>
      <c r="D42" t="s">
        <v>221</v>
      </c>
      <c r="E42" s="46">
        <f>SUMIFS(凭证计算!$G$4:$G$83,凭证计算!$E$4:$E$83,$A42)</f>
        <v>0</v>
      </c>
      <c r="F42" s="46">
        <f>SUMIFS(凭证计算!$H$4:$H$83,凭证计算!$E$4:$E$83,$A42)</f>
        <v>0</v>
      </c>
      <c r="G42" s="46">
        <f>SUMIFS(凭证计算!$G$86:$G$239,凭证计算!$E$86:$E$239,$A42,凭证计算!$A$86:$A$239,"&gt;="&amp;DATE(YEAR($B$3),MONTH($B$3),1),凭证计算!$A$86:$A$239,"&lt;="&amp;EOMONTH($B$3,0))</f>
        <v>0</v>
      </c>
      <c r="H42" s="46">
        <f>SUMIFS(凭证计算!$H$86:$H$239,凭证计算!$E$86:$E$239,$A42,凭证计算!$A$86:$A$239,"&gt;="&amp;DATE(YEAR($B$3),MONTH($B$3),1),凭证计算!$A$86:$A$239,"&lt;="&amp;EOMONTH($B$3,0))</f>
        <v>0</v>
      </c>
      <c r="I42" s="46">
        <f>SUMIFS(凭证计算!$G$86:$G$239,凭证计算!$E$86:$E$239,$A42,凭证计算!$A$86:$A$239,"&gt;="&amp;DATE(YEAR($B$3),1,1),凭证计算!$A$86:$A$239,"&lt;="&amp;EOMONTH($B$3,0))</f>
        <v>0</v>
      </c>
      <c r="J42" s="46">
        <f>SUMIFS(凭证计算!$H$86:$H$239,凭证计算!$E$86:$E$239,$A42,凭证计算!$A$86:$A$239,"&gt;="&amp;DATE(YEAR($B$3),1,1),凭证计算!$A$86:$A$239,"&lt;="&amp;EOMONTH($B$3,0))</f>
        <v>0</v>
      </c>
      <c r="K42" s="46">
        <f t="shared" si="0"/>
        <v>0</v>
      </c>
      <c r="L42" s="46">
        <f t="shared" si="1"/>
        <v>0</v>
      </c>
      <c r="M42" t="s">
        <v>83</v>
      </c>
      <c r="N42" t="s">
        <v>294</v>
      </c>
      <c r="P42" t="s">
        <v>85</v>
      </c>
      <c r="Q42" t="s">
        <v>86</v>
      </c>
    </row>
    <row r="43" spans="1:17">
      <c r="A43" t="s">
        <v>218</v>
      </c>
      <c r="B43" t="s">
        <v>295</v>
      </c>
      <c r="C43" t="s">
        <v>291</v>
      </c>
      <c r="D43" t="s">
        <v>221</v>
      </c>
      <c r="E43" s="46">
        <f>SUMIFS(凭证计算!$G$4:$G$83,凭证计算!$E$4:$E$83,$A43)</f>
        <v>0</v>
      </c>
      <c r="F43" s="46">
        <f>SUMIFS(凭证计算!$H$4:$H$83,凭证计算!$E$4:$E$83,$A43)</f>
        <v>210000</v>
      </c>
      <c r="G43" s="46">
        <f>SUMIFS(凭证计算!$G$86:$G$239,凭证计算!$E$86:$E$239,$A43,凭证计算!$A$86:$A$239,"&gt;="&amp;DATE(YEAR($B$3),MONTH($B$3),1),凭证计算!$A$86:$A$239,"&lt;="&amp;EOMONTH($B$3,0))</f>
        <v>10000</v>
      </c>
      <c r="H43" s="46">
        <f>SUMIFS(凭证计算!$H$86:$H$239,凭证计算!$E$86:$E$239,$A43,凭证计算!$A$86:$A$239,"&gt;="&amp;DATE(YEAR($B$3),MONTH($B$3),1),凭证计算!$A$86:$A$239,"&lt;="&amp;EOMONTH($B$3,0))</f>
        <v>20300</v>
      </c>
      <c r="I43" s="46">
        <f>SUMIFS(凭证计算!$G$86:$G$239,凭证计算!$E$86:$E$239,$A43,凭证计算!$A$86:$A$239,"&gt;="&amp;DATE(YEAR($B$3),1,1),凭证计算!$A$86:$A$239,"&lt;="&amp;EOMONTH($B$3,0))</f>
        <v>10000</v>
      </c>
      <c r="J43" s="46">
        <f>SUMIFS(凭证计算!$H$86:$H$239,凭证计算!$E$86:$E$239,$A43,凭证计算!$A$86:$A$239,"&gt;="&amp;DATE(YEAR($B$3),1,1),凭证计算!$A$86:$A$239,"&lt;="&amp;EOMONTH($B$3,0))</f>
        <v>20300</v>
      </c>
      <c r="K43" s="46">
        <f t="shared" si="0"/>
        <v>0</v>
      </c>
      <c r="L43" s="46">
        <f t="shared" si="1"/>
        <v>220300</v>
      </c>
      <c r="M43" t="s">
        <v>83</v>
      </c>
      <c r="N43" t="s">
        <v>295</v>
      </c>
      <c r="P43" t="s">
        <v>85</v>
      </c>
      <c r="Q43" t="s">
        <v>172</v>
      </c>
    </row>
    <row r="44" spans="1:17">
      <c r="A44" t="s">
        <v>296</v>
      </c>
      <c r="B44" t="s">
        <v>297</v>
      </c>
      <c r="C44" t="s">
        <v>291</v>
      </c>
      <c r="D44" t="s">
        <v>221</v>
      </c>
      <c r="E44" s="46">
        <f>SUMIFS(凭证计算!$G$4:$G$83,凭证计算!$E$4:$E$83,$A44)</f>
        <v>0</v>
      </c>
      <c r="F44" s="46">
        <f>SUMIFS(凭证计算!$H$4:$H$83,凭证计算!$E$4:$E$83,$A44)</f>
        <v>0</v>
      </c>
      <c r="G44" s="46">
        <f>SUMIFS(凭证计算!$G$86:$G$239,凭证计算!$E$86:$E$239,$A44,凭证计算!$A$86:$A$239,"&gt;="&amp;DATE(YEAR($B$3),MONTH($B$3),1),凭证计算!$A$86:$A$239,"&lt;="&amp;EOMONTH($B$3,0))</f>
        <v>0</v>
      </c>
      <c r="H44" s="46">
        <f>SUMIFS(凭证计算!$H$86:$H$239,凭证计算!$E$86:$E$239,$A44,凭证计算!$A$86:$A$239,"&gt;="&amp;DATE(YEAR($B$3),MONTH($B$3),1),凭证计算!$A$86:$A$239,"&lt;="&amp;EOMONTH($B$3,0))</f>
        <v>0</v>
      </c>
      <c r="I44" s="46">
        <f>SUMIFS(凭证计算!$G$86:$G$239,凭证计算!$E$86:$E$239,$A44,凭证计算!$A$86:$A$239,"&gt;="&amp;DATE(YEAR($B$3),1,1),凭证计算!$A$86:$A$239,"&lt;="&amp;EOMONTH($B$3,0))</f>
        <v>0</v>
      </c>
      <c r="J44" s="46">
        <f>SUMIFS(凭证计算!$H$86:$H$239,凭证计算!$E$86:$E$239,$A44,凭证计算!$A$86:$A$239,"&gt;="&amp;DATE(YEAR($B$3),1,1),凭证计算!$A$86:$A$239,"&lt;="&amp;EOMONTH($B$3,0))</f>
        <v>0</v>
      </c>
      <c r="K44" s="46">
        <f t="shared" si="0"/>
        <v>0</v>
      </c>
      <c r="L44" s="46">
        <f t="shared" si="1"/>
        <v>0</v>
      </c>
      <c r="M44" t="s">
        <v>83</v>
      </c>
      <c r="N44" t="s">
        <v>298</v>
      </c>
      <c r="P44" t="s">
        <v>85</v>
      </c>
      <c r="Q44" t="s">
        <v>156</v>
      </c>
    </row>
    <row r="45" spans="1:17">
      <c r="A45" t="s">
        <v>299</v>
      </c>
      <c r="B45" t="s">
        <v>300</v>
      </c>
      <c r="C45" t="s">
        <v>291</v>
      </c>
      <c r="D45" t="s">
        <v>221</v>
      </c>
      <c r="E45" s="46">
        <f>SUMIFS(凭证计算!$G$4:$G$83,凭证计算!$E$4:$E$83,$A45)</f>
        <v>0</v>
      </c>
      <c r="F45" s="46">
        <f>SUMIFS(凭证计算!$H$4:$H$83,凭证计算!$E$4:$E$83,$A45)</f>
        <v>0</v>
      </c>
      <c r="G45" s="46">
        <f>SUMIFS(凭证计算!$G$86:$G$239,凭证计算!$E$86:$E$239,$A45,凭证计算!$A$86:$A$239,"&gt;="&amp;DATE(YEAR($B$3),MONTH($B$3),1),凭证计算!$A$86:$A$239,"&lt;="&amp;EOMONTH($B$3,0))</f>
        <v>0</v>
      </c>
      <c r="H45" s="46">
        <f>SUMIFS(凭证计算!$H$86:$H$239,凭证计算!$E$86:$E$239,$A45,凭证计算!$A$86:$A$239,"&gt;="&amp;DATE(YEAR($B$3),MONTH($B$3),1),凭证计算!$A$86:$A$239,"&lt;="&amp;EOMONTH($B$3,0))</f>
        <v>0</v>
      </c>
      <c r="I45" s="46">
        <f>SUMIFS(凭证计算!$G$86:$G$239,凭证计算!$E$86:$E$239,$A45,凭证计算!$A$86:$A$239,"&gt;="&amp;DATE(YEAR($B$3),1,1),凭证计算!$A$86:$A$239,"&lt;="&amp;EOMONTH($B$3,0))</f>
        <v>0</v>
      </c>
      <c r="J45" s="46">
        <f>SUMIFS(凭证计算!$H$86:$H$239,凭证计算!$E$86:$E$239,$A45,凭证计算!$A$86:$A$239,"&gt;="&amp;DATE(YEAR($B$3),1,1),凭证计算!$A$86:$A$239,"&lt;="&amp;EOMONTH($B$3,0))</f>
        <v>0</v>
      </c>
      <c r="K45" s="46">
        <f t="shared" si="0"/>
        <v>0</v>
      </c>
      <c r="L45" s="46">
        <f t="shared" si="1"/>
        <v>0</v>
      </c>
      <c r="M45" t="s">
        <v>83</v>
      </c>
      <c r="N45" t="s">
        <v>300</v>
      </c>
      <c r="P45" t="s">
        <v>85</v>
      </c>
      <c r="Q45" t="s">
        <v>156</v>
      </c>
    </row>
    <row r="46" spans="1:17">
      <c r="A46" t="s">
        <v>301</v>
      </c>
      <c r="B46" t="s">
        <v>302</v>
      </c>
      <c r="C46" t="s">
        <v>291</v>
      </c>
      <c r="D46" t="s">
        <v>221</v>
      </c>
      <c r="E46" s="46">
        <f>SUMIFS(凭证计算!$G$4:$G$83,凭证计算!$E$4:$E$83,$A46)</f>
        <v>0</v>
      </c>
      <c r="F46" s="46">
        <f>SUMIFS(凭证计算!$H$4:$H$83,凭证计算!$E$4:$E$83,$A46)</f>
        <v>30000</v>
      </c>
      <c r="G46" s="46">
        <f>SUMIFS(凭证计算!$G$86:$G$239,凭证计算!$E$86:$E$239,$A46,凭证计算!$A$86:$A$239,"&gt;="&amp;DATE(YEAR($B$3),MONTH($B$3),1),凭证计算!$A$86:$A$239,"&lt;="&amp;EOMONTH($B$3,0))</f>
        <v>0</v>
      </c>
      <c r="H46" s="46">
        <f>SUMIFS(凭证计算!$H$86:$H$239,凭证计算!$E$86:$E$239,$A46,凭证计算!$A$86:$A$239,"&gt;="&amp;DATE(YEAR($B$3),MONTH($B$3),1),凭证计算!$A$86:$A$239,"&lt;="&amp;EOMONTH($B$3,0))</f>
        <v>0</v>
      </c>
      <c r="I46" s="46">
        <f>SUMIFS(凭证计算!$G$86:$G$239,凭证计算!$E$86:$E$239,$A46,凭证计算!$A$86:$A$239,"&gt;="&amp;DATE(YEAR($B$3),1,1),凭证计算!$A$86:$A$239,"&lt;="&amp;EOMONTH($B$3,0))</f>
        <v>0</v>
      </c>
      <c r="J46" s="46">
        <f>SUMIFS(凭证计算!$H$86:$H$239,凭证计算!$E$86:$E$239,$A46,凭证计算!$A$86:$A$239,"&gt;="&amp;DATE(YEAR($B$3),1,1),凭证计算!$A$86:$A$239,"&lt;="&amp;EOMONTH($B$3,0))</f>
        <v>0</v>
      </c>
      <c r="K46" s="46">
        <f t="shared" si="0"/>
        <v>0</v>
      </c>
      <c r="L46" s="46">
        <f t="shared" si="1"/>
        <v>30000</v>
      </c>
      <c r="M46" t="s">
        <v>83</v>
      </c>
      <c r="N46" t="s">
        <v>302</v>
      </c>
      <c r="P46" t="s">
        <v>85</v>
      </c>
      <c r="Q46" t="s">
        <v>20</v>
      </c>
    </row>
    <row r="47" spans="1:17">
      <c r="A47" t="s">
        <v>303</v>
      </c>
      <c r="B47" t="s">
        <v>304</v>
      </c>
      <c r="C47" t="s">
        <v>291</v>
      </c>
      <c r="D47" t="s">
        <v>221</v>
      </c>
      <c r="E47" s="46">
        <f>SUMIFS(凭证计算!$G$4:$G$83,凭证计算!$E$4:$E$83,$A47)</f>
        <v>0</v>
      </c>
      <c r="F47" s="46">
        <f>SUMIFS(凭证计算!$H$4:$H$83,凭证计算!$E$4:$E$83,$A47)</f>
        <v>0</v>
      </c>
      <c r="G47" s="46">
        <f>SUMIFS(凭证计算!$G$86:$G$239,凭证计算!$E$86:$E$239,$A47,凭证计算!$A$86:$A$239,"&gt;="&amp;DATE(YEAR($B$3),MONTH($B$3),1),凭证计算!$A$86:$A$239,"&lt;="&amp;EOMONTH($B$3,0))</f>
        <v>0</v>
      </c>
      <c r="H47" s="46">
        <f>SUMIFS(凭证计算!$H$86:$H$239,凭证计算!$E$86:$E$239,$A47,凭证计算!$A$86:$A$239,"&gt;="&amp;DATE(YEAR($B$3),MONTH($B$3),1),凭证计算!$A$86:$A$239,"&lt;="&amp;EOMONTH($B$3,0))</f>
        <v>0</v>
      </c>
      <c r="I47" s="46">
        <f>SUMIFS(凭证计算!$G$86:$G$239,凭证计算!$E$86:$E$239,$A47,凭证计算!$A$86:$A$239,"&gt;="&amp;DATE(YEAR($B$3),1,1),凭证计算!$A$86:$A$239,"&lt;="&amp;EOMONTH($B$3,0))</f>
        <v>0</v>
      </c>
      <c r="J47" s="46">
        <f>SUMIFS(凭证计算!$H$86:$H$239,凭证计算!$E$86:$E$239,$A47,凭证计算!$A$86:$A$239,"&gt;="&amp;DATE(YEAR($B$3),1,1),凭证计算!$A$86:$A$239,"&lt;="&amp;EOMONTH($B$3,0))</f>
        <v>0</v>
      </c>
      <c r="K47" s="46">
        <f t="shared" si="0"/>
        <v>0</v>
      </c>
      <c r="L47" s="46">
        <f t="shared" si="1"/>
        <v>0</v>
      </c>
      <c r="M47" t="s">
        <v>83</v>
      </c>
      <c r="N47" t="s">
        <v>304</v>
      </c>
      <c r="P47" t="s">
        <v>85</v>
      </c>
      <c r="Q47" t="s">
        <v>86</v>
      </c>
    </row>
    <row r="48" spans="1:17">
      <c r="A48" t="s">
        <v>305</v>
      </c>
      <c r="B48" t="s">
        <v>306</v>
      </c>
      <c r="C48" t="s">
        <v>291</v>
      </c>
      <c r="D48" t="s">
        <v>221</v>
      </c>
      <c r="E48" s="46">
        <f>SUMIFS(凭证计算!$G$4:$G$83,凭证计算!$E$4:$E$83,$A48)</f>
        <v>0</v>
      </c>
      <c r="F48" s="46">
        <f>SUMIFS(凭证计算!$H$4:$H$83,凭证计算!$E$4:$E$83,$A48)</f>
        <v>0</v>
      </c>
      <c r="G48" s="46">
        <f>SUMIFS(凭证计算!$G$86:$G$239,凭证计算!$E$86:$E$239,$A48,凭证计算!$A$86:$A$239,"&gt;="&amp;DATE(YEAR($B$3),MONTH($B$3),1),凭证计算!$A$86:$A$239,"&lt;="&amp;EOMONTH($B$3,0))</f>
        <v>0</v>
      </c>
      <c r="H48" s="46">
        <f>SUMIFS(凭证计算!$H$86:$H$239,凭证计算!$E$86:$E$239,$A48,凭证计算!$A$86:$A$239,"&gt;="&amp;DATE(YEAR($B$3),MONTH($B$3),1),凭证计算!$A$86:$A$239,"&lt;="&amp;EOMONTH($B$3,0))</f>
        <v>0</v>
      </c>
      <c r="I48" s="46">
        <f>SUMIFS(凭证计算!$G$86:$G$239,凭证计算!$E$86:$E$239,$A48,凭证计算!$A$86:$A$239,"&gt;="&amp;DATE(YEAR($B$3),1,1),凭证计算!$A$86:$A$239,"&lt;="&amp;EOMONTH($B$3,0))</f>
        <v>0</v>
      </c>
      <c r="J48" s="46">
        <f>SUMIFS(凭证计算!$H$86:$H$239,凭证计算!$E$86:$E$239,$A48,凭证计算!$A$86:$A$239,"&gt;="&amp;DATE(YEAR($B$3),1,1),凭证计算!$A$86:$A$239,"&lt;="&amp;EOMONTH($B$3,0))</f>
        <v>0</v>
      </c>
      <c r="K48" s="46">
        <f t="shared" si="0"/>
        <v>0</v>
      </c>
      <c r="L48" s="46">
        <f t="shared" si="1"/>
        <v>0</v>
      </c>
      <c r="M48" t="s">
        <v>83</v>
      </c>
      <c r="N48" t="s">
        <v>306</v>
      </c>
      <c r="P48" t="s">
        <v>85</v>
      </c>
      <c r="Q48" t="s">
        <v>86</v>
      </c>
    </row>
    <row r="49" spans="1:17">
      <c r="A49" t="s">
        <v>307</v>
      </c>
      <c r="B49" t="s">
        <v>308</v>
      </c>
      <c r="C49" t="s">
        <v>291</v>
      </c>
      <c r="D49" t="s">
        <v>221</v>
      </c>
      <c r="E49" s="46">
        <f>SUMIFS(凭证计算!$G$4:$G$83,凭证计算!$E$4:$E$83,$A49)</f>
        <v>0</v>
      </c>
      <c r="F49" s="46">
        <f>SUMIFS(凭证计算!$H$4:$H$83,凭证计算!$E$4:$E$83,$A49)</f>
        <v>0</v>
      </c>
      <c r="G49" s="46">
        <f>SUMIFS(凭证计算!$G$86:$G$239,凭证计算!$E$86:$E$239,$A49,凭证计算!$A$86:$A$239,"&gt;="&amp;DATE(YEAR($B$3),MONTH($B$3),1),凭证计算!$A$86:$A$239,"&lt;="&amp;EOMONTH($B$3,0))</f>
        <v>0</v>
      </c>
      <c r="H49" s="46">
        <f>SUMIFS(凭证计算!$H$86:$H$239,凭证计算!$E$86:$E$239,$A49,凭证计算!$A$86:$A$239,"&gt;="&amp;DATE(YEAR($B$3),MONTH($B$3),1),凭证计算!$A$86:$A$239,"&lt;="&amp;EOMONTH($B$3,0))</f>
        <v>0</v>
      </c>
      <c r="I49" s="46">
        <f>SUMIFS(凭证计算!$G$86:$G$239,凭证计算!$E$86:$E$239,$A49,凭证计算!$A$86:$A$239,"&gt;="&amp;DATE(YEAR($B$3),1,1),凭证计算!$A$86:$A$239,"&lt;="&amp;EOMONTH($B$3,0))</f>
        <v>0</v>
      </c>
      <c r="J49" s="46">
        <f>SUMIFS(凭证计算!$H$86:$H$239,凭证计算!$E$86:$E$239,$A49,凭证计算!$A$86:$A$239,"&gt;="&amp;DATE(YEAR($B$3),1,1),凭证计算!$A$86:$A$239,"&lt;="&amp;EOMONTH($B$3,0))</f>
        <v>0</v>
      </c>
      <c r="K49" s="46">
        <f t="shared" si="0"/>
        <v>0</v>
      </c>
      <c r="L49" s="46">
        <f t="shared" si="1"/>
        <v>0</v>
      </c>
      <c r="M49" t="s">
        <v>83</v>
      </c>
      <c r="N49" t="s">
        <v>308</v>
      </c>
      <c r="P49" t="s">
        <v>85</v>
      </c>
      <c r="Q49" t="s">
        <v>86</v>
      </c>
    </row>
    <row r="50" spans="1:17">
      <c r="A50" t="s">
        <v>309</v>
      </c>
      <c r="B50" t="s">
        <v>310</v>
      </c>
      <c r="C50" t="s">
        <v>291</v>
      </c>
      <c r="D50" t="s">
        <v>221</v>
      </c>
      <c r="E50" s="46">
        <f>SUMIFS(凭证计算!$G$4:$G$83,凭证计算!$E$4:$E$83,$A50)</f>
        <v>0</v>
      </c>
      <c r="F50" s="46">
        <f>SUMIFS(凭证计算!$H$4:$H$83,凭证计算!$E$4:$E$83,$A50)</f>
        <v>0</v>
      </c>
      <c r="G50" s="46">
        <f>SUMIFS(凭证计算!$G$86:$G$239,凭证计算!$E$86:$E$239,$A50,凭证计算!$A$86:$A$239,"&gt;="&amp;DATE(YEAR($B$3),MONTH($B$3),1),凭证计算!$A$86:$A$239,"&lt;="&amp;EOMONTH($B$3,0))</f>
        <v>0</v>
      </c>
      <c r="H50" s="46">
        <f>SUMIFS(凭证计算!$H$86:$H$239,凭证计算!$E$86:$E$239,$A50,凭证计算!$A$86:$A$239,"&gt;="&amp;DATE(YEAR($B$3),MONTH($B$3),1),凭证计算!$A$86:$A$239,"&lt;="&amp;EOMONTH($B$3,0))</f>
        <v>0</v>
      </c>
      <c r="I50" s="46">
        <f>SUMIFS(凭证计算!$G$86:$G$239,凭证计算!$E$86:$E$239,$A50,凭证计算!$A$86:$A$239,"&gt;="&amp;DATE(YEAR($B$3),1,1),凭证计算!$A$86:$A$239,"&lt;="&amp;EOMONTH($B$3,0))</f>
        <v>0</v>
      </c>
      <c r="J50" s="46">
        <f>SUMIFS(凭证计算!$H$86:$H$239,凭证计算!$E$86:$E$239,$A50,凭证计算!$A$86:$A$239,"&gt;="&amp;DATE(YEAR($B$3),1,1),凭证计算!$A$86:$A$239,"&lt;="&amp;EOMONTH($B$3,0))</f>
        <v>0</v>
      </c>
      <c r="K50" s="46">
        <f t="shared" si="0"/>
        <v>0</v>
      </c>
      <c r="L50" s="46">
        <f t="shared" si="1"/>
        <v>0</v>
      </c>
      <c r="M50" t="s">
        <v>83</v>
      </c>
      <c r="N50" t="s">
        <v>310</v>
      </c>
      <c r="P50" t="s">
        <v>85</v>
      </c>
      <c r="Q50" t="s">
        <v>311</v>
      </c>
    </row>
    <row r="51" spans="1:17">
      <c r="A51" t="s">
        <v>312</v>
      </c>
      <c r="B51" t="s">
        <v>313</v>
      </c>
      <c r="C51" t="s">
        <v>291</v>
      </c>
      <c r="D51" t="s">
        <v>221</v>
      </c>
      <c r="E51" s="46">
        <f>SUMIFS(凭证计算!$G$4:$G$83,凭证计算!$E$4:$E$83,$A51)</f>
        <v>0</v>
      </c>
      <c r="F51" s="46">
        <f>SUMIFS(凭证计算!$H$4:$H$83,凭证计算!$E$4:$E$83,$A51)</f>
        <v>0</v>
      </c>
      <c r="G51" s="46">
        <f>SUMIFS(凭证计算!$G$86:$G$239,凭证计算!$E$86:$E$239,$A51,凭证计算!$A$86:$A$239,"&gt;="&amp;DATE(YEAR($B$3),MONTH($B$3),1),凭证计算!$A$86:$A$239,"&lt;="&amp;EOMONTH($B$3,0))</f>
        <v>0</v>
      </c>
      <c r="H51" s="46">
        <f>SUMIFS(凭证计算!$H$86:$H$239,凭证计算!$E$86:$E$239,$A51,凭证计算!$A$86:$A$239,"&gt;="&amp;DATE(YEAR($B$3),MONTH($B$3),1),凭证计算!$A$86:$A$239,"&lt;="&amp;EOMONTH($B$3,0))</f>
        <v>0</v>
      </c>
      <c r="I51" s="46">
        <f>SUMIFS(凭证计算!$G$86:$G$239,凭证计算!$E$86:$E$239,$A51,凭证计算!$A$86:$A$239,"&gt;="&amp;DATE(YEAR($B$3),1,1),凭证计算!$A$86:$A$239,"&lt;="&amp;EOMONTH($B$3,0))</f>
        <v>0</v>
      </c>
      <c r="J51" s="46">
        <f>SUMIFS(凭证计算!$H$86:$H$239,凭证计算!$E$86:$E$239,$A51,凭证计算!$A$86:$A$239,"&gt;="&amp;DATE(YEAR($B$3),1,1),凭证计算!$A$86:$A$239,"&lt;="&amp;EOMONTH($B$3,0))</f>
        <v>0</v>
      </c>
      <c r="K51" s="46">
        <f t="shared" si="0"/>
        <v>0</v>
      </c>
      <c r="L51" s="46">
        <f t="shared" si="1"/>
        <v>0</v>
      </c>
      <c r="M51" t="s">
        <v>83</v>
      </c>
      <c r="N51" t="s">
        <v>313</v>
      </c>
      <c r="P51" t="s">
        <v>85</v>
      </c>
      <c r="Q51" t="s">
        <v>86</v>
      </c>
    </row>
    <row r="52" spans="1:17">
      <c r="A52" t="s">
        <v>314</v>
      </c>
      <c r="B52" t="s">
        <v>315</v>
      </c>
      <c r="C52" t="s">
        <v>291</v>
      </c>
      <c r="D52" t="s">
        <v>221</v>
      </c>
      <c r="E52" s="46">
        <f>SUMIFS(凭证计算!$G$4:$G$83,凭证计算!$E$4:$E$83,$A52)</f>
        <v>0</v>
      </c>
      <c r="F52" s="46">
        <f>SUMIFS(凭证计算!$H$4:$H$83,凭证计算!$E$4:$E$83,$A52)</f>
        <v>0</v>
      </c>
      <c r="G52" s="46">
        <f>SUMIFS(凭证计算!$G$86:$G$239,凭证计算!$E$86:$E$239,$A52,凭证计算!$A$86:$A$239,"&gt;="&amp;DATE(YEAR($B$3),MONTH($B$3),1),凭证计算!$A$86:$A$239,"&lt;="&amp;EOMONTH($B$3,0))</f>
        <v>0</v>
      </c>
      <c r="H52" s="46">
        <f>SUMIFS(凭证计算!$H$86:$H$239,凭证计算!$E$86:$E$239,$A52,凭证计算!$A$86:$A$239,"&gt;="&amp;DATE(YEAR($B$3),MONTH($B$3),1),凭证计算!$A$86:$A$239,"&lt;="&amp;EOMONTH($B$3,0))</f>
        <v>0</v>
      </c>
      <c r="I52" s="46">
        <f>SUMIFS(凭证计算!$G$86:$G$239,凭证计算!$E$86:$E$239,$A52,凭证计算!$A$86:$A$239,"&gt;="&amp;DATE(YEAR($B$3),1,1),凭证计算!$A$86:$A$239,"&lt;="&amp;EOMONTH($B$3,0))</f>
        <v>0</v>
      </c>
      <c r="J52" s="46">
        <f>SUMIFS(凭证计算!$H$86:$H$239,凭证计算!$E$86:$E$239,$A52,凭证计算!$A$86:$A$239,"&gt;="&amp;DATE(YEAR($B$3),1,1),凭证计算!$A$86:$A$239,"&lt;="&amp;EOMONTH($B$3,0))</f>
        <v>0</v>
      </c>
      <c r="K52" s="46">
        <f t="shared" si="0"/>
        <v>0</v>
      </c>
      <c r="L52" s="46">
        <f t="shared" si="1"/>
        <v>0</v>
      </c>
      <c r="M52" t="s">
        <v>83</v>
      </c>
      <c r="N52" t="s">
        <v>315</v>
      </c>
      <c r="P52" t="s">
        <v>85</v>
      </c>
      <c r="Q52" t="s">
        <v>86</v>
      </c>
    </row>
    <row r="53" spans="1:17">
      <c r="A53" t="s">
        <v>316</v>
      </c>
      <c r="B53" t="s">
        <v>317</v>
      </c>
      <c r="C53" t="s">
        <v>291</v>
      </c>
      <c r="D53" t="s">
        <v>221</v>
      </c>
      <c r="E53" s="46">
        <f>SUMIFS(凭证计算!$G$4:$G$83,凭证计算!$E$4:$E$83,$A53)</f>
        <v>0</v>
      </c>
      <c r="F53" s="46">
        <f>SUMIFS(凭证计算!$H$4:$H$83,凭证计算!$E$4:$E$83,$A53)</f>
        <v>0</v>
      </c>
      <c r="G53" s="46">
        <f>SUMIFS(凭证计算!$G$86:$G$239,凭证计算!$E$86:$E$239,$A53,凭证计算!$A$86:$A$239,"&gt;="&amp;DATE(YEAR($B$3),MONTH($B$3),1),凭证计算!$A$86:$A$239,"&lt;="&amp;EOMONTH($B$3,0))</f>
        <v>0</v>
      </c>
      <c r="H53" s="46">
        <f>SUMIFS(凭证计算!$H$86:$H$239,凭证计算!$E$86:$E$239,$A53,凭证计算!$A$86:$A$239,"&gt;="&amp;DATE(YEAR($B$3),MONTH($B$3),1),凭证计算!$A$86:$A$239,"&lt;="&amp;EOMONTH($B$3,0))</f>
        <v>0</v>
      </c>
      <c r="I53" s="46">
        <f>SUMIFS(凭证计算!$G$86:$G$239,凭证计算!$E$86:$E$239,$A53,凭证计算!$A$86:$A$239,"&gt;="&amp;DATE(YEAR($B$3),1,1),凭证计算!$A$86:$A$239,"&lt;="&amp;EOMONTH($B$3,0))</f>
        <v>0</v>
      </c>
      <c r="J53" s="46">
        <f>SUMIFS(凭证计算!$H$86:$H$239,凭证计算!$E$86:$E$239,$A53,凭证计算!$A$86:$A$239,"&gt;="&amp;DATE(YEAR($B$3),1,1),凭证计算!$A$86:$A$239,"&lt;="&amp;EOMONTH($B$3,0))</f>
        <v>0</v>
      </c>
      <c r="K53" s="46">
        <f t="shared" si="0"/>
        <v>0</v>
      </c>
      <c r="L53" s="46">
        <f t="shared" si="1"/>
        <v>0</v>
      </c>
      <c r="M53" t="s">
        <v>83</v>
      </c>
      <c r="N53" t="s">
        <v>317</v>
      </c>
      <c r="P53" t="s">
        <v>85</v>
      </c>
      <c r="Q53" t="s">
        <v>86</v>
      </c>
    </row>
    <row r="54" spans="1:17">
      <c r="A54" t="s">
        <v>318</v>
      </c>
      <c r="B54" t="s">
        <v>319</v>
      </c>
      <c r="C54" t="s">
        <v>291</v>
      </c>
      <c r="D54" t="s">
        <v>221</v>
      </c>
      <c r="E54" s="46">
        <f>SUMIFS(凭证计算!$G$4:$G$83,凭证计算!$E$4:$E$83,$A54)</f>
        <v>0</v>
      </c>
      <c r="F54" s="46">
        <f>SUMIFS(凭证计算!$H$4:$H$83,凭证计算!$E$4:$E$83,$A54)</f>
        <v>0</v>
      </c>
      <c r="G54" s="46">
        <f>SUMIFS(凭证计算!$G$86:$G$239,凭证计算!$E$86:$E$239,$A54,凭证计算!$A$86:$A$239,"&gt;="&amp;DATE(YEAR($B$3),MONTH($B$3),1),凭证计算!$A$86:$A$239,"&lt;="&amp;EOMONTH($B$3,0))</f>
        <v>0</v>
      </c>
      <c r="H54" s="46">
        <f>SUMIFS(凭证计算!$H$86:$H$239,凭证计算!$E$86:$E$239,$A54,凭证计算!$A$86:$A$239,"&gt;="&amp;DATE(YEAR($B$3),MONTH($B$3),1),凭证计算!$A$86:$A$239,"&lt;="&amp;EOMONTH($B$3,0))</f>
        <v>0</v>
      </c>
      <c r="I54" s="46">
        <f>SUMIFS(凭证计算!$G$86:$G$239,凭证计算!$E$86:$E$239,$A54,凭证计算!$A$86:$A$239,"&gt;="&amp;DATE(YEAR($B$3),1,1),凭证计算!$A$86:$A$239,"&lt;="&amp;EOMONTH($B$3,0))</f>
        <v>0</v>
      </c>
      <c r="J54" s="46">
        <f>SUMIFS(凭证计算!$H$86:$H$239,凭证计算!$E$86:$E$239,$A54,凭证计算!$A$86:$A$239,"&gt;="&amp;DATE(YEAR($B$3),1,1),凭证计算!$A$86:$A$239,"&lt;="&amp;EOMONTH($B$3,0))</f>
        <v>0</v>
      </c>
      <c r="K54" s="46">
        <f t="shared" si="0"/>
        <v>0</v>
      </c>
      <c r="L54" s="46">
        <f t="shared" si="1"/>
        <v>0</v>
      </c>
      <c r="M54" t="s">
        <v>83</v>
      </c>
      <c r="N54" t="s">
        <v>319</v>
      </c>
      <c r="P54" t="s">
        <v>292</v>
      </c>
      <c r="Q54" t="s">
        <v>86</v>
      </c>
    </row>
    <row r="55" spans="1:17">
      <c r="A55" t="s">
        <v>320</v>
      </c>
      <c r="B55" t="s">
        <v>321</v>
      </c>
      <c r="C55" t="s">
        <v>291</v>
      </c>
      <c r="D55" t="s">
        <v>221</v>
      </c>
      <c r="E55" s="46">
        <f>SUMIFS(凭证计算!$G$4:$G$83,凭证计算!$E$4:$E$83,$A55)</f>
        <v>0</v>
      </c>
      <c r="F55" s="46">
        <f>SUMIFS(凭证计算!$H$4:$H$83,凭证计算!$E$4:$E$83,$A55)</f>
        <v>0</v>
      </c>
      <c r="G55" s="46">
        <f>SUMIFS(凭证计算!$G$86:$G$239,凭证计算!$E$86:$E$239,$A55,凭证计算!$A$86:$A$239,"&gt;="&amp;DATE(YEAR($B$3),MONTH($B$3),1),凭证计算!$A$86:$A$239,"&lt;="&amp;EOMONTH($B$3,0))</f>
        <v>0</v>
      </c>
      <c r="H55" s="46">
        <f>SUMIFS(凭证计算!$H$86:$H$239,凭证计算!$E$86:$E$239,$A55,凭证计算!$A$86:$A$239,"&gt;="&amp;DATE(YEAR($B$3),MONTH($B$3),1),凭证计算!$A$86:$A$239,"&lt;="&amp;EOMONTH($B$3,0))</f>
        <v>0</v>
      </c>
      <c r="I55" s="46">
        <f>SUMIFS(凭证计算!$G$86:$G$239,凭证计算!$E$86:$E$239,$A55,凭证计算!$A$86:$A$239,"&gt;="&amp;DATE(YEAR($B$3),1,1),凭证计算!$A$86:$A$239,"&lt;="&amp;EOMONTH($B$3,0))</f>
        <v>0</v>
      </c>
      <c r="J55" s="46">
        <f>SUMIFS(凭证计算!$H$86:$H$239,凭证计算!$E$86:$E$239,$A55,凭证计算!$A$86:$A$239,"&gt;="&amp;DATE(YEAR($B$3),1,1),凭证计算!$A$86:$A$239,"&lt;="&amp;EOMONTH($B$3,0))</f>
        <v>0</v>
      </c>
      <c r="K55" s="46">
        <f t="shared" si="0"/>
        <v>0</v>
      </c>
      <c r="L55" s="46">
        <f t="shared" si="1"/>
        <v>0</v>
      </c>
      <c r="M55" t="s">
        <v>83</v>
      </c>
      <c r="N55" t="s">
        <v>321</v>
      </c>
      <c r="P55" t="s">
        <v>85</v>
      </c>
      <c r="Q55" t="s">
        <v>86</v>
      </c>
    </row>
    <row r="56" spans="1:17">
      <c r="A56" t="s">
        <v>322</v>
      </c>
      <c r="B56" t="s">
        <v>323</v>
      </c>
      <c r="C56" t="s">
        <v>291</v>
      </c>
      <c r="D56" t="s">
        <v>221</v>
      </c>
      <c r="E56" s="46">
        <f>SUMIFS(凭证计算!$G$4:$G$83,凭证计算!$E$4:$E$83,$A56)</f>
        <v>0</v>
      </c>
      <c r="F56" s="46">
        <f>SUMIFS(凭证计算!$H$4:$H$83,凭证计算!$E$4:$E$83,$A56)</f>
        <v>0</v>
      </c>
      <c r="G56" s="46">
        <f>SUMIFS(凭证计算!$G$86:$G$239,凭证计算!$E$86:$E$239,$A56,凭证计算!$A$86:$A$239,"&gt;="&amp;DATE(YEAR($B$3),MONTH($B$3),1),凭证计算!$A$86:$A$239,"&lt;="&amp;EOMONTH($B$3,0))</f>
        <v>0</v>
      </c>
      <c r="H56" s="46">
        <f>SUMIFS(凭证计算!$H$86:$H$239,凭证计算!$E$86:$E$239,$A56,凭证计算!$A$86:$A$239,"&gt;="&amp;DATE(YEAR($B$3),MONTH($B$3),1),凭证计算!$A$86:$A$239,"&lt;="&amp;EOMONTH($B$3,0))</f>
        <v>0</v>
      </c>
      <c r="I56" s="46">
        <f>SUMIFS(凭证计算!$G$86:$G$239,凭证计算!$E$86:$E$239,$A56,凭证计算!$A$86:$A$239,"&gt;="&amp;DATE(YEAR($B$3),1,1),凭证计算!$A$86:$A$239,"&lt;="&amp;EOMONTH($B$3,0))</f>
        <v>0</v>
      </c>
      <c r="J56" s="46">
        <f>SUMIFS(凭证计算!$H$86:$H$239,凭证计算!$E$86:$E$239,$A56,凭证计算!$A$86:$A$239,"&gt;="&amp;DATE(YEAR($B$3),1,1),凭证计算!$A$86:$A$239,"&lt;="&amp;EOMONTH($B$3,0))</f>
        <v>0</v>
      </c>
      <c r="K56" s="46">
        <f t="shared" si="0"/>
        <v>0</v>
      </c>
      <c r="L56" s="46">
        <f t="shared" si="1"/>
        <v>0</v>
      </c>
      <c r="M56" t="s">
        <v>83</v>
      </c>
      <c r="N56" t="s">
        <v>323</v>
      </c>
      <c r="P56" t="s">
        <v>85</v>
      </c>
      <c r="Q56" t="s">
        <v>86</v>
      </c>
    </row>
    <row r="57" spans="1:17">
      <c r="A57" t="s">
        <v>324</v>
      </c>
      <c r="B57" t="s">
        <v>325</v>
      </c>
      <c r="C57" t="s">
        <v>291</v>
      </c>
      <c r="D57" t="s">
        <v>221</v>
      </c>
      <c r="E57" s="46">
        <f>SUMIFS(凭证计算!$G$4:$G$83,凭证计算!$E$4:$E$83,$A57)</f>
        <v>0</v>
      </c>
      <c r="F57" s="46">
        <f>SUMIFS(凭证计算!$H$4:$H$83,凭证计算!$E$4:$E$83,$A57)</f>
        <v>0</v>
      </c>
      <c r="G57" s="46">
        <f>SUMIFS(凭证计算!$G$86:$G$239,凭证计算!$E$86:$E$239,$A57,凭证计算!$A$86:$A$239,"&gt;="&amp;DATE(YEAR($B$3),MONTH($B$3),1),凭证计算!$A$86:$A$239,"&lt;="&amp;EOMONTH($B$3,0))</f>
        <v>0</v>
      </c>
      <c r="H57" s="46">
        <f>SUMIFS(凭证计算!$H$86:$H$239,凭证计算!$E$86:$E$239,$A57,凭证计算!$A$86:$A$239,"&gt;="&amp;DATE(YEAR($B$3),MONTH($B$3),1),凭证计算!$A$86:$A$239,"&lt;="&amp;EOMONTH($B$3,0))</f>
        <v>0</v>
      </c>
      <c r="I57" s="46">
        <f>SUMIFS(凭证计算!$G$86:$G$239,凭证计算!$E$86:$E$239,$A57,凭证计算!$A$86:$A$239,"&gt;="&amp;DATE(YEAR($B$3),1,1),凭证计算!$A$86:$A$239,"&lt;="&amp;EOMONTH($B$3,0))</f>
        <v>0</v>
      </c>
      <c r="J57" s="46">
        <f>SUMIFS(凭证计算!$H$86:$H$239,凭证计算!$E$86:$E$239,$A57,凭证计算!$A$86:$A$239,"&gt;="&amp;DATE(YEAR($B$3),1,1),凭证计算!$A$86:$A$239,"&lt;="&amp;EOMONTH($B$3,0))</f>
        <v>0</v>
      </c>
      <c r="K57" s="46">
        <f t="shared" si="0"/>
        <v>0</v>
      </c>
      <c r="L57" s="46">
        <f t="shared" si="1"/>
        <v>0</v>
      </c>
      <c r="M57" t="s">
        <v>83</v>
      </c>
      <c r="N57" t="s">
        <v>325</v>
      </c>
      <c r="P57" t="s">
        <v>85</v>
      </c>
      <c r="Q57" t="s">
        <v>86</v>
      </c>
    </row>
    <row r="58" spans="1:17">
      <c r="A58" t="s">
        <v>326</v>
      </c>
      <c r="B58" t="s">
        <v>327</v>
      </c>
      <c r="C58" t="s">
        <v>328</v>
      </c>
      <c r="D58" t="s">
        <v>221</v>
      </c>
      <c r="E58" s="46">
        <f>SUMIFS(凭证计算!$G$4:$G$83,凭证计算!$E$4:$E$83,$A58)</f>
        <v>0</v>
      </c>
      <c r="F58" s="46">
        <f>SUMIFS(凭证计算!$H$4:$H$83,凭证计算!$E$4:$E$83,$A58)</f>
        <v>1000000</v>
      </c>
      <c r="G58" s="46">
        <f>SUMIFS(凭证计算!$G$86:$G$239,凭证计算!$E$86:$E$239,$A58,凭证计算!$A$86:$A$239,"&gt;="&amp;DATE(YEAR($B$3),MONTH($B$3),1),凭证计算!$A$86:$A$239,"&lt;="&amp;EOMONTH($B$3,0))</f>
        <v>0</v>
      </c>
      <c r="H58" s="46">
        <f>SUMIFS(凭证计算!$H$86:$H$239,凭证计算!$E$86:$E$239,$A58,凭证计算!$A$86:$A$239,"&gt;="&amp;DATE(YEAR($B$3),MONTH($B$3),1),凭证计算!$A$86:$A$239,"&lt;="&amp;EOMONTH($B$3,0))</f>
        <v>0</v>
      </c>
      <c r="I58" s="46">
        <f>SUMIFS(凭证计算!$G$86:$G$239,凭证计算!$E$86:$E$239,$A58,凭证计算!$A$86:$A$239,"&gt;="&amp;DATE(YEAR($B$3),1,1),凭证计算!$A$86:$A$239,"&lt;="&amp;EOMONTH($B$3,0))</f>
        <v>0</v>
      </c>
      <c r="J58" s="46">
        <f>SUMIFS(凭证计算!$H$86:$H$239,凭证计算!$E$86:$E$239,$A58,凭证计算!$A$86:$A$239,"&gt;="&amp;DATE(YEAR($B$3),1,1),凭证计算!$A$86:$A$239,"&lt;="&amp;EOMONTH($B$3,0))</f>
        <v>0</v>
      </c>
      <c r="K58" s="46">
        <f t="shared" si="0"/>
        <v>0</v>
      </c>
      <c r="L58" s="46">
        <f t="shared" si="1"/>
        <v>1000000</v>
      </c>
      <c r="M58" t="s">
        <v>83</v>
      </c>
      <c r="N58" t="s">
        <v>327</v>
      </c>
      <c r="P58" t="s">
        <v>292</v>
      </c>
      <c r="Q58" t="s">
        <v>86</v>
      </c>
    </row>
    <row r="59" spans="1:17">
      <c r="A59" t="s">
        <v>329</v>
      </c>
      <c r="B59" t="s">
        <v>330</v>
      </c>
      <c r="C59" t="s">
        <v>328</v>
      </c>
      <c r="D59" t="s">
        <v>221</v>
      </c>
      <c r="E59" s="46">
        <f>SUMIFS(凭证计算!$G$4:$G$83,凭证计算!$E$4:$E$83,$A59)</f>
        <v>0</v>
      </c>
      <c r="F59" s="46">
        <f>SUMIFS(凭证计算!$H$4:$H$83,凭证计算!$E$4:$E$83,$A59)</f>
        <v>0</v>
      </c>
      <c r="G59" s="46">
        <f>SUMIFS(凭证计算!$G$86:$G$239,凭证计算!$E$86:$E$239,$A59,凭证计算!$A$86:$A$239,"&gt;="&amp;DATE(YEAR($B$3),MONTH($B$3),1),凭证计算!$A$86:$A$239,"&lt;="&amp;EOMONTH($B$3,0))</f>
        <v>0</v>
      </c>
      <c r="H59" s="46">
        <f>SUMIFS(凭证计算!$H$86:$H$239,凭证计算!$E$86:$E$239,$A59,凭证计算!$A$86:$A$239,"&gt;="&amp;DATE(YEAR($B$3),MONTH($B$3),1),凭证计算!$A$86:$A$239,"&lt;="&amp;EOMONTH($B$3,0))</f>
        <v>0</v>
      </c>
      <c r="I59" s="46">
        <f>SUMIFS(凭证计算!$G$86:$G$239,凭证计算!$E$86:$E$239,$A59,凭证计算!$A$86:$A$239,"&gt;="&amp;DATE(YEAR($B$3),1,1),凭证计算!$A$86:$A$239,"&lt;="&amp;EOMONTH($B$3,0))</f>
        <v>0</v>
      </c>
      <c r="J59" s="46">
        <f>SUMIFS(凭证计算!$H$86:$H$239,凭证计算!$E$86:$E$239,$A59,凭证计算!$A$86:$A$239,"&gt;="&amp;DATE(YEAR($B$3),1,1),凭证计算!$A$86:$A$239,"&lt;="&amp;EOMONTH($B$3,0))</f>
        <v>0</v>
      </c>
      <c r="K59" s="46">
        <f t="shared" si="0"/>
        <v>0</v>
      </c>
      <c r="L59" s="46">
        <f t="shared" si="1"/>
        <v>0</v>
      </c>
      <c r="M59" t="s">
        <v>83</v>
      </c>
      <c r="N59" t="s">
        <v>330</v>
      </c>
      <c r="P59" t="s">
        <v>292</v>
      </c>
      <c r="Q59" t="s">
        <v>86</v>
      </c>
    </row>
    <row r="60" spans="1:17">
      <c r="A60" t="s">
        <v>331</v>
      </c>
      <c r="B60" t="s">
        <v>332</v>
      </c>
      <c r="C60" t="s">
        <v>328</v>
      </c>
      <c r="D60" t="s">
        <v>221</v>
      </c>
      <c r="E60" s="46">
        <f>SUMIFS(凭证计算!$G$4:$G$83,凭证计算!$E$4:$E$83,$A60)</f>
        <v>0</v>
      </c>
      <c r="F60" s="46">
        <f>SUMIFS(凭证计算!$H$4:$H$83,凭证计算!$E$4:$E$83,$A60)</f>
        <v>0</v>
      </c>
      <c r="G60" s="46">
        <f>SUMIFS(凭证计算!$G$86:$G$239,凭证计算!$E$86:$E$239,$A60,凭证计算!$A$86:$A$239,"&gt;="&amp;DATE(YEAR($B$3),MONTH($B$3),1),凭证计算!$A$86:$A$239,"&lt;="&amp;EOMONTH($B$3,0))</f>
        <v>0</v>
      </c>
      <c r="H60" s="46">
        <f>SUMIFS(凭证计算!$H$86:$H$239,凭证计算!$E$86:$E$239,$A60,凭证计算!$A$86:$A$239,"&gt;="&amp;DATE(YEAR($B$3),MONTH($B$3),1),凭证计算!$A$86:$A$239,"&lt;="&amp;EOMONTH($B$3,0))</f>
        <v>0</v>
      </c>
      <c r="I60" s="46">
        <f>SUMIFS(凭证计算!$G$86:$G$239,凭证计算!$E$86:$E$239,$A60,凭证计算!$A$86:$A$239,"&gt;="&amp;DATE(YEAR($B$3),1,1),凭证计算!$A$86:$A$239,"&lt;="&amp;EOMONTH($B$3,0))</f>
        <v>0</v>
      </c>
      <c r="J60" s="46">
        <f>SUMIFS(凭证计算!$H$86:$H$239,凭证计算!$E$86:$E$239,$A60,凭证计算!$A$86:$A$239,"&gt;="&amp;DATE(YEAR($B$3),1,1),凭证计算!$A$86:$A$239,"&lt;="&amp;EOMONTH($B$3,0))</f>
        <v>0</v>
      </c>
      <c r="K60" s="46">
        <f t="shared" si="0"/>
        <v>0</v>
      </c>
      <c r="L60" s="46">
        <f t="shared" si="1"/>
        <v>0</v>
      </c>
      <c r="M60" t="s">
        <v>83</v>
      </c>
      <c r="N60" t="s">
        <v>332</v>
      </c>
      <c r="P60" t="s">
        <v>85</v>
      </c>
      <c r="Q60" t="s">
        <v>86</v>
      </c>
    </row>
    <row r="61" spans="1:17">
      <c r="A61" t="s">
        <v>333</v>
      </c>
      <c r="B61" t="s">
        <v>334</v>
      </c>
      <c r="C61" t="s">
        <v>328</v>
      </c>
      <c r="D61" t="s">
        <v>221</v>
      </c>
      <c r="E61" s="46">
        <f>SUMIFS(凭证计算!$G$4:$G$83,凭证计算!$E$4:$E$83,$A61)</f>
        <v>0</v>
      </c>
      <c r="F61" s="46">
        <f>SUMIFS(凭证计算!$H$4:$H$83,凭证计算!$E$4:$E$83,$A61)</f>
        <v>0</v>
      </c>
      <c r="G61" s="46">
        <f>SUMIFS(凭证计算!$G$86:$G$239,凭证计算!$E$86:$E$239,$A61,凭证计算!$A$86:$A$239,"&gt;="&amp;DATE(YEAR($B$3),MONTH($B$3),1),凭证计算!$A$86:$A$239,"&lt;="&amp;EOMONTH($B$3,0))</f>
        <v>0</v>
      </c>
      <c r="H61" s="46">
        <f>SUMIFS(凭证计算!$H$86:$H$239,凭证计算!$E$86:$E$239,$A61,凭证计算!$A$86:$A$239,"&gt;="&amp;DATE(YEAR($B$3),MONTH($B$3),1),凭证计算!$A$86:$A$239,"&lt;="&amp;EOMONTH($B$3,0))</f>
        <v>0</v>
      </c>
      <c r="I61" s="46">
        <f>SUMIFS(凭证计算!$G$86:$G$239,凭证计算!$E$86:$E$239,$A61,凭证计算!$A$86:$A$239,"&gt;="&amp;DATE(YEAR($B$3),1,1),凭证计算!$A$86:$A$239,"&lt;="&amp;EOMONTH($B$3,0))</f>
        <v>0</v>
      </c>
      <c r="J61" s="46">
        <f>SUMIFS(凭证计算!$H$86:$H$239,凭证计算!$E$86:$E$239,$A61,凭证计算!$A$86:$A$239,"&gt;="&amp;DATE(YEAR($B$3),1,1),凭证计算!$A$86:$A$239,"&lt;="&amp;EOMONTH($B$3,0))</f>
        <v>0</v>
      </c>
      <c r="K61" s="46">
        <f t="shared" si="0"/>
        <v>0</v>
      </c>
      <c r="L61" s="46">
        <f t="shared" si="1"/>
        <v>0</v>
      </c>
      <c r="M61" t="s">
        <v>83</v>
      </c>
      <c r="P61" t="s">
        <v>85</v>
      </c>
      <c r="Q61" t="s">
        <v>86</v>
      </c>
    </row>
    <row r="62" spans="1:17">
      <c r="A62" t="s">
        <v>335</v>
      </c>
      <c r="B62" t="s">
        <v>336</v>
      </c>
      <c r="C62" t="s">
        <v>328</v>
      </c>
      <c r="D62" t="s">
        <v>221</v>
      </c>
      <c r="E62" s="46">
        <f>SUMIFS(凭证计算!$G$4:$G$83,凭证计算!$E$4:$E$83,$A62)</f>
        <v>0</v>
      </c>
      <c r="F62" s="46">
        <f>SUMIFS(凭证计算!$H$4:$H$83,凭证计算!$E$4:$E$83,$A62)</f>
        <v>178000</v>
      </c>
      <c r="G62" s="46">
        <f>SUMIFS(凭证计算!$G$86:$G$239,凭证计算!$E$86:$E$239,$A62,凭证计算!$A$86:$A$239,"&gt;="&amp;DATE(YEAR($B$3),MONTH($B$3),1),凭证计算!$A$86:$A$239,"&lt;="&amp;EOMONTH($B$3,0))</f>
        <v>0</v>
      </c>
      <c r="H62" s="46">
        <f>SUMIFS(凭证计算!$H$86:$H$239,凭证计算!$E$86:$E$239,$A62,凭证计算!$A$86:$A$239,"&gt;="&amp;DATE(YEAR($B$3),MONTH($B$3),1),凭证计算!$A$86:$A$239,"&lt;="&amp;EOMONTH($B$3,0))</f>
        <v>0</v>
      </c>
      <c r="I62" s="46">
        <f>SUMIFS(凭证计算!$G$86:$G$239,凭证计算!$E$86:$E$239,$A62,凭证计算!$A$86:$A$239,"&gt;="&amp;DATE(YEAR($B$3),1,1),凭证计算!$A$86:$A$239,"&lt;="&amp;EOMONTH($B$3,0))</f>
        <v>0</v>
      </c>
      <c r="J62" s="46">
        <f>SUMIFS(凭证计算!$H$86:$H$239,凭证计算!$E$86:$E$239,$A62,凭证计算!$A$86:$A$239,"&gt;="&amp;DATE(YEAR($B$3),1,1),凭证计算!$A$86:$A$239,"&lt;="&amp;EOMONTH($B$3,0))</f>
        <v>0</v>
      </c>
      <c r="K62" s="46">
        <f t="shared" si="0"/>
        <v>0</v>
      </c>
      <c r="L62" s="46">
        <f t="shared" si="1"/>
        <v>178000</v>
      </c>
      <c r="M62" t="s">
        <v>83</v>
      </c>
      <c r="N62" t="s">
        <v>337</v>
      </c>
      <c r="P62" t="s">
        <v>85</v>
      </c>
      <c r="Q62" t="s">
        <v>86</v>
      </c>
    </row>
    <row r="63" spans="1:17">
      <c r="A63" t="s">
        <v>338</v>
      </c>
      <c r="B63" t="s">
        <v>339</v>
      </c>
      <c r="C63" t="s">
        <v>340</v>
      </c>
      <c r="D63" t="s">
        <v>82</v>
      </c>
      <c r="E63" s="46">
        <f>SUMIFS(凭证计算!$G$4:$G$83,凭证计算!$E$4:$E$83,$A63)</f>
        <v>0</v>
      </c>
      <c r="F63" s="46">
        <f>SUMIFS(凭证计算!$H$4:$H$83,凭证计算!$E$4:$E$83,$A63)</f>
        <v>0</v>
      </c>
      <c r="G63" s="46">
        <f>SUMIFS(凭证计算!$G$86:$G$239,凭证计算!$E$86:$E$239,$A63,凭证计算!$A$86:$A$239,"&gt;="&amp;DATE(YEAR($B$3),MONTH($B$3),1),凭证计算!$A$86:$A$239,"&lt;="&amp;EOMONTH($B$3,0))</f>
        <v>0</v>
      </c>
      <c r="H63" s="46">
        <f>SUMIFS(凭证计算!$H$86:$H$239,凭证计算!$E$86:$E$239,$A63,凭证计算!$A$86:$A$239,"&gt;="&amp;DATE(YEAR($B$3),MONTH($B$3),1),凭证计算!$A$86:$A$239,"&lt;="&amp;EOMONTH($B$3,0))</f>
        <v>0</v>
      </c>
      <c r="I63" s="46">
        <f>SUMIFS(凭证计算!$G$86:$G$239,凭证计算!$E$86:$E$239,$A63,凭证计算!$A$86:$A$239,"&gt;="&amp;DATE(YEAR($B$3),1,1),凭证计算!$A$86:$A$239,"&lt;="&amp;EOMONTH($B$3,0))</f>
        <v>0</v>
      </c>
      <c r="J63" s="46">
        <f>SUMIFS(凭证计算!$H$86:$H$239,凭证计算!$E$86:$E$239,$A63,凭证计算!$A$86:$A$239,"&gt;="&amp;DATE(YEAR($B$3),1,1),凭证计算!$A$86:$A$239,"&lt;="&amp;EOMONTH($B$3,0))</f>
        <v>0</v>
      </c>
      <c r="K63" s="46">
        <f t="shared" si="0"/>
        <v>0</v>
      </c>
      <c r="L63" s="46">
        <f t="shared" si="1"/>
        <v>0</v>
      </c>
      <c r="M63" t="s">
        <v>83</v>
      </c>
      <c r="N63" t="s">
        <v>226</v>
      </c>
      <c r="P63" t="s">
        <v>85</v>
      </c>
      <c r="Q63" t="s">
        <v>86</v>
      </c>
    </row>
    <row r="64" spans="1:17">
      <c r="A64" t="s">
        <v>341</v>
      </c>
      <c r="B64" t="s">
        <v>342</v>
      </c>
      <c r="C64" t="s">
        <v>340</v>
      </c>
      <c r="D64" t="s">
        <v>82</v>
      </c>
      <c r="E64" s="46">
        <f>SUMIFS(凭证计算!$G$4:$G$83,凭证计算!$E$4:$E$83,$A64)</f>
        <v>0</v>
      </c>
      <c r="F64" s="46">
        <f>SUMIFS(凭证计算!$H$4:$H$83,凭证计算!$E$4:$E$83,$A64)</f>
        <v>0</v>
      </c>
      <c r="G64" s="46">
        <f>SUMIFS(凭证计算!$G$86:$G$239,凭证计算!$E$86:$E$239,$A64,凭证计算!$A$86:$A$239,"&gt;="&amp;DATE(YEAR($B$3),MONTH($B$3),1),凭证计算!$A$86:$A$239,"&lt;="&amp;EOMONTH($B$3,0))</f>
        <v>0</v>
      </c>
      <c r="H64" s="46">
        <f>SUMIFS(凭证计算!$H$86:$H$239,凭证计算!$E$86:$E$239,$A64,凭证计算!$A$86:$A$239,"&gt;="&amp;DATE(YEAR($B$3),MONTH($B$3),1),凭证计算!$A$86:$A$239,"&lt;="&amp;EOMONTH($B$3,0))</f>
        <v>0</v>
      </c>
      <c r="I64" s="46">
        <f>SUMIFS(凭证计算!$G$86:$G$239,凭证计算!$E$86:$E$239,$A64,凭证计算!$A$86:$A$239,"&gt;="&amp;DATE(YEAR($B$3),1,1),凭证计算!$A$86:$A$239,"&lt;="&amp;EOMONTH($B$3,0))</f>
        <v>0</v>
      </c>
      <c r="J64" s="46">
        <f>SUMIFS(凭证计算!$H$86:$H$239,凭证计算!$E$86:$E$239,$A64,凭证计算!$A$86:$A$239,"&gt;="&amp;DATE(YEAR($B$3),1,1),凭证计算!$A$86:$A$239,"&lt;="&amp;EOMONTH($B$3,0))</f>
        <v>0</v>
      </c>
      <c r="K64" s="46">
        <f t="shared" si="0"/>
        <v>0</v>
      </c>
      <c r="L64" s="46">
        <f t="shared" si="1"/>
        <v>0</v>
      </c>
      <c r="M64" t="s">
        <v>83</v>
      </c>
      <c r="N64" t="s">
        <v>226</v>
      </c>
      <c r="P64" t="s">
        <v>85</v>
      </c>
      <c r="Q64" t="s">
        <v>86</v>
      </c>
    </row>
    <row r="65" spans="1:17">
      <c r="A65" t="s">
        <v>343</v>
      </c>
      <c r="B65" t="s">
        <v>344</v>
      </c>
      <c r="C65" t="s">
        <v>340</v>
      </c>
      <c r="D65" t="s">
        <v>82</v>
      </c>
      <c r="E65" s="46">
        <f>SUMIFS(凭证计算!$G$4:$G$83,凭证计算!$E$4:$E$83,$A65)</f>
        <v>0</v>
      </c>
      <c r="F65" s="46">
        <f>SUMIFS(凭证计算!$H$4:$H$83,凭证计算!$E$4:$E$83,$A65)</f>
        <v>0</v>
      </c>
      <c r="G65" s="46">
        <f>SUMIFS(凭证计算!$G$86:$G$239,凭证计算!$E$86:$E$239,$A65,凭证计算!$A$86:$A$239,"&gt;="&amp;DATE(YEAR($B$3),MONTH($B$3),1),凭证计算!$A$86:$A$239,"&lt;="&amp;EOMONTH($B$3,0))</f>
        <v>0</v>
      </c>
      <c r="H65" s="46">
        <f>SUMIFS(凭证计算!$H$86:$H$239,凭证计算!$E$86:$E$239,$A65,凭证计算!$A$86:$A$239,"&gt;="&amp;DATE(YEAR($B$3),MONTH($B$3),1),凭证计算!$A$86:$A$239,"&lt;="&amp;EOMONTH($B$3,0))</f>
        <v>0</v>
      </c>
      <c r="I65" s="46">
        <f>SUMIFS(凭证计算!$G$86:$G$239,凭证计算!$E$86:$E$239,$A65,凭证计算!$A$86:$A$239,"&gt;="&amp;DATE(YEAR($B$3),1,1),凭证计算!$A$86:$A$239,"&lt;="&amp;EOMONTH($B$3,0))</f>
        <v>0</v>
      </c>
      <c r="J65" s="46">
        <f>SUMIFS(凭证计算!$H$86:$H$239,凭证计算!$E$86:$E$239,$A65,凭证计算!$A$86:$A$239,"&gt;="&amp;DATE(YEAR($B$3),1,1),凭证计算!$A$86:$A$239,"&lt;="&amp;EOMONTH($B$3,0))</f>
        <v>0</v>
      </c>
      <c r="K65" s="46">
        <f t="shared" si="0"/>
        <v>0</v>
      </c>
      <c r="L65" s="46">
        <f t="shared" si="1"/>
        <v>0</v>
      </c>
      <c r="M65" t="s">
        <v>83</v>
      </c>
      <c r="P65" t="s">
        <v>85</v>
      </c>
      <c r="Q65" t="s">
        <v>86</v>
      </c>
    </row>
    <row r="66" spans="1:17">
      <c r="A66" t="s">
        <v>345</v>
      </c>
      <c r="B66" t="s">
        <v>346</v>
      </c>
      <c r="C66" t="s">
        <v>340</v>
      </c>
      <c r="D66" t="s">
        <v>82</v>
      </c>
      <c r="E66" s="46">
        <f>SUMIFS(凭证计算!$G$4:$G$83,凭证计算!$E$4:$E$83,$A66)</f>
        <v>0</v>
      </c>
      <c r="F66" s="46">
        <f>SUMIFS(凭证计算!$H$4:$H$83,凭证计算!$E$4:$E$83,$A66)</f>
        <v>0</v>
      </c>
      <c r="G66" s="46">
        <f>SUMIFS(凭证计算!$G$86:$G$239,凭证计算!$E$86:$E$239,$A66,凭证计算!$A$86:$A$239,"&gt;="&amp;DATE(YEAR($B$3),MONTH($B$3),1),凭证计算!$A$86:$A$239,"&lt;="&amp;EOMONTH($B$3,0))</f>
        <v>0</v>
      </c>
      <c r="H66" s="46">
        <f>SUMIFS(凭证计算!$H$86:$H$239,凭证计算!$E$86:$E$239,$A66,凭证计算!$A$86:$A$239,"&gt;="&amp;DATE(YEAR($B$3),MONTH($B$3),1),凭证计算!$A$86:$A$239,"&lt;="&amp;EOMONTH($B$3,0))</f>
        <v>0</v>
      </c>
      <c r="I66" s="46">
        <f>SUMIFS(凭证计算!$G$86:$G$239,凭证计算!$E$86:$E$239,$A66,凭证计算!$A$86:$A$239,"&gt;="&amp;DATE(YEAR($B$3),1,1),凭证计算!$A$86:$A$239,"&lt;="&amp;EOMONTH($B$3,0))</f>
        <v>0</v>
      </c>
      <c r="J66" s="46">
        <f>SUMIFS(凭证计算!$H$86:$H$239,凭证计算!$E$86:$E$239,$A66,凭证计算!$A$86:$A$239,"&gt;="&amp;DATE(YEAR($B$3),1,1),凭证计算!$A$86:$A$239,"&lt;="&amp;EOMONTH($B$3,0))</f>
        <v>0</v>
      </c>
      <c r="K66" s="46">
        <f t="shared" si="0"/>
        <v>0</v>
      </c>
      <c r="L66" s="46">
        <f t="shared" si="1"/>
        <v>0</v>
      </c>
      <c r="M66" t="s">
        <v>83</v>
      </c>
      <c r="P66" t="s">
        <v>85</v>
      </c>
      <c r="Q66" t="s">
        <v>86</v>
      </c>
    </row>
    <row r="67" spans="1:17">
      <c r="A67" t="s">
        <v>348</v>
      </c>
      <c r="B67" t="s">
        <v>349</v>
      </c>
      <c r="C67" t="s">
        <v>77</v>
      </c>
      <c r="D67" t="s">
        <v>221</v>
      </c>
      <c r="E67" s="46">
        <f>SUMIFS(凭证计算!$G$4:$G$83,凭证计算!$E$4:$E$83,$A67)</f>
        <v>0</v>
      </c>
      <c r="F67" s="46">
        <f>SUMIFS(凭证计算!$H$4:$H$83,凭证计算!$E$4:$E$83,$A67)</f>
        <v>0</v>
      </c>
      <c r="G67" s="46">
        <f>SUMIFS(凭证计算!$G$86:$G$239,凭证计算!$E$86:$E$239,$A67,凭证计算!$A$86:$A$239,"&gt;="&amp;DATE(YEAR($B$3),MONTH($B$3),1),凭证计算!$A$86:$A$239,"&lt;="&amp;EOMONTH($B$3,0))</f>
        <v>0</v>
      </c>
      <c r="H67" s="46">
        <f>SUMIFS(凭证计算!$H$86:$H$239,凭证计算!$E$86:$E$239,$A67,凭证计算!$A$86:$A$239,"&gt;="&amp;DATE(YEAR($B$3),MONTH($B$3),1),凭证计算!$A$86:$A$239,"&lt;="&amp;EOMONTH($B$3,0))</f>
        <v>26080</v>
      </c>
      <c r="I67" s="46">
        <f>SUMIFS(凭证计算!$G$86:$G$239,凭证计算!$E$86:$E$239,$A67,凭证计算!$A$86:$A$239,"&gt;="&amp;DATE(YEAR($B$3),1,1),凭证计算!$A$86:$A$239,"&lt;="&amp;EOMONTH($B$3,0))</f>
        <v>0</v>
      </c>
      <c r="J67" s="46">
        <f>SUMIFS(凭证计算!$H$86:$H$239,凭证计算!$E$86:$E$239,$A67,凭证计算!$A$86:$A$239,"&gt;="&amp;DATE(YEAR($B$3),1,1),凭证计算!$A$86:$A$239,"&lt;="&amp;EOMONTH($B$3,0))</f>
        <v>26080</v>
      </c>
      <c r="K67" s="46">
        <f t="shared" si="0"/>
        <v>0</v>
      </c>
      <c r="L67" s="46">
        <f t="shared" si="1"/>
        <v>26080</v>
      </c>
      <c r="M67" t="s">
        <v>83</v>
      </c>
      <c r="O67" t="s">
        <v>349</v>
      </c>
      <c r="P67" t="s">
        <v>350</v>
      </c>
      <c r="Q67" t="s">
        <v>351</v>
      </c>
    </row>
    <row r="68" spans="1:17">
      <c r="A68" t="s">
        <v>99</v>
      </c>
      <c r="B68" t="s">
        <v>112</v>
      </c>
      <c r="C68" t="s">
        <v>77</v>
      </c>
      <c r="D68" t="s">
        <v>221</v>
      </c>
      <c r="E68" s="46">
        <f>SUMIFS(凭证计算!$G$4:$G$83,凭证计算!$E$4:$E$83,$A68)</f>
        <v>0</v>
      </c>
      <c r="F68" s="46">
        <f>SUMIFS(凭证计算!$H$4:$H$83,凭证计算!$E$4:$E$83,$A68)</f>
        <v>0</v>
      </c>
      <c r="G68" s="46">
        <f>SUMIFS(凭证计算!$G$86:$G$239,凭证计算!$E$86:$E$239,$A68,凭证计算!$A$86:$A$239,"&gt;="&amp;DATE(YEAR($B$3),MONTH($B$3),1),凭证计算!$A$86:$A$239,"&lt;="&amp;EOMONTH($B$3,0))</f>
        <v>0</v>
      </c>
      <c r="H68" s="46">
        <f>SUMIFS(凭证计算!$H$86:$H$239,凭证计算!$E$86:$E$239,$A68,凭证计算!$A$86:$A$239,"&gt;="&amp;DATE(YEAR($B$3),MONTH($B$3),1),凭证计算!$A$86:$A$239,"&lt;="&amp;EOMONTH($B$3,0))</f>
        <v>3200</v>
      </c>
      <c r="I68" s="46">
        <f>SUMIFS(凭证计算!$G$86:$G$239,凭证计算!$E$86:$E$239,$A68,凭证计算!$A$86:$A$239,"&gt;="&amp;DATE(YEAR($B$3),1,1),凭证计算!$A$86:$A$239,"&lt;="&amp;EOMONTH($B$3,0))</f>
        <v>0</v>
      </c>
      <c r="J68" s="46">
        <f>SUMIFS(凭证计算!$H$86:$H$239,凭证计算!$E$86:$E$239,$A68,凭证计算!$A$86:$A$239,"&gt;="&amp;DATE(YEAR($B$3),1,1),凭证计算!$A$86:$A$239,"&lt;="&amp;EOMONTH($B$3,0))</f>
        <v>3200</v>
      </c>
      <c r="K68" s="46">
        <f t="shared" si="0"/>
        <v>0</v>
      </c>
      <c r="L68" s="46">
        <f t="shared" si="1"/>
        <v>3200</v>
      </c>
      <c r="M68" t="s">
        <v>83</v>
      </c>
      <c r="O68" t="s">
        <v>112</v>
      </c>
      <c r="P68" t="s">
        <v>350</v>
      </c>
      <c r="Q68" t="s">
        <v>351</v>
      </c>
    </row>
    <row r="69" spans="1:17">
      <c r="A69" t="s">
        <v>352</v>
      </c>
      <c r="B69" t="s">
        <v>353</v>
      </c>
      <c r="C69" t="s">
        <v>77</v>
      </c>
      <c r="D69" t="s">
        <v>221</v>
      </c>
      <c r="E69" s="46">
        <f>SUMIFS(凭证计算!$G$4:$G$83,凭证计算!$E$4:$E$83,$A69)</f>
        <v>0</v>
      </c>
      <c r="F69" s="46">
        <f>SUMIFS(凭证计算!$H$4:$H$83,凭证计算!$E$4:$E$83,$A69)</f>
        <v>0</v>
      </c>
      <c r="G69" s="46">
        <f>SUMIFS(凭证计算!$G$86:$G$239,凭证计算!$E$86:$E$239,$A69,凭证计算!$A$86:$A$239,"&gt;="&amp;DATE(YEAR($B$3),MONTH($B$3),1),凭证计算!$A$86:$A$239,"&lt;="&amp;EOMONTH($B$3,0))</f>
        <v>0</v>
      </c>
      <c r="H69" s="46">
        <f>SUMIFS(凭证计算!$H$86:$H$239,凭证计算!$E$86:$E$239,$A69,凭证计算!$A$86:$A$239,"&gt;="&amp;DATE(YEAR($B$3),MONTH($B$3),1),凭证计算!$A$86:$A$239,"&lt;="&amp;EOMONTH($B$3,0))</f>
        <v>0</v>
      </c>
      <c r="I69" s="46">
        <f>SUMIFS(凭证计算!$G$86:$G$239,凭证计算!$E$86:$E$239,$A69,凭证计算!$A$86:$A$239,"&gt;="&amp;DATE(YEAR($B$3),1,1),凭证计算!$A$86:$A$239,"&lt;="&amp;EOMONTH($B$3,0))</f>
        <v>0</v>
      </c>
      <c r="J69" s="46">
        <f>SUMIFS(凭证计算!$H$86:$H$239,凭证计算!$E$86:$E$239,$A69,凭证计算!$A$86:$A$239,"&gt;="&amp;DATE(YEAR($B$3),1,1),凭证计算!$A$86:$A$239,"&lt;="&amp;EOMONTH($B$3,0))</f>
        <v>0</v>
      </c>
      <c r="K69" s="46">
        <f t="shared" ref="K69:K84" si="2">MAX(0,E69+I69-F69-J69)</f>
        <v>0</v>
      </c>
      <c r="L69" s="46">
        <f t="shared" ref="L69:L84" si="3">MAX(0,F69+J69-E69-I69)</f>
        <v>0</v>
      </c>
      <c r="M69" t="s">
        <v>83</v>
      </c>
      <c r="O69" t="s">
        <v>354</v>
      </c>
      <c r="P69" t="s">
        <v>85</v>
      </c>
      <c r="Q69" t="s">
        <v>86</v>
      </c>
    </row>
    <row r="70" spans="1:17">
      <c r="A70" t="s">
        <v>355</v>
      </c>
      <c r="B70" t="s">
        <v>356</v>
      </c>
      <c r="C70" t="s">
        <v>77</v>
      </c>
      <c r="D70" t="s">
        <v>221</v>
      </c>
      <c r="E70" s="46">
        <f>SUMIFS(凭证计算!$G$4:$G$83,凭证计算!$E$4:$E$83,$A70)</f>
        <v>0</v>
      </c>
      <c r="F70" s="46">
        <f>SUMIFS(凭证计算!$H$4:$H$83,凭证计算!$E$4:$E$83,$A70)</f>
        <v>0</v>
      </c>
      <c r="G70" s="46">
        <f>SUMIFS(凭证计算!$G$86:$G$239,凭证计算!$E$86:$E$239,$A70,凭证计算!$A$86:$A$239,"&gt;="&amp;DATE(YEAR($B$3),MONTH($B$3),1),凭证计算!$A$86:$A$239,"&lt;="&amp;EOMONTH($B$3,0))</f>
        <v>0</v>
      </c>
      <c r="H70" s="46">
        <f>SUMIFS(凭证计算!$H$86:$H$239,凭证计算!$E$86:$E$239,$A70,凭证计算!$A$86:$A$239,"&gt;="&amp;DATE(YEAR($B$3),MONTH($B$3),1),凭证计算!$A$86:$A$239,"&lt;="&amp;EOMONTH($B$3,0))</f>
        <v>0</v>
      </c>
      <c r="I70" s="46">
        <f>SUMIFS(凭证计算!$G$86:$G$239,凭证计算!$E$86:$E$239,$A70,凭证计算!$A$86:$A$239,"&gt;="&amp;DATE(YEAR($B$3),1,1),凭证计算!$A$86:$A$239,"&lt;="&amp;EOMONTH($B$3,0))</f>
        <v>0</v>
      </c>
      <c r="J70" s="46">
        <f>SUMIFS(凭证计算!$H$86:$H$239,凭证计算!$E$86:$E$239,$A70,凭证计算!$A$86:$A$239,"&gt;="&amp;DATE(YEAR($B$3),1,1),凭证计算!$A$86:$A$239,"&lt;="&amp;EOMONTH($B$3,0))</f>
        <v>0</v>
      </c>
      <c r="K70" s="46">
        <f t="shared" si="2"/>
        <v>0</v>
      </c>
      <c r="L70" s="46">
        <f t="shared" si="3"/>
        <v>0</v>
      </c>
      <c r="M70" t="s">
        <v>83</v>
      </c>
      <c r="O70" t="s">
        <v>356</v>
      </c>
      <c r="P70" t="s">
        <v>85</v>
      </c>
      <c r="Q70" t="s">
        <v>86</v>
      </c>
    </row>
    <row r="71" spans="1:17">
      <c r="A71" t="s">
        <v>357</v>
      </c>
      <c r="B71" t="s">
        <v>358</v>
      </c>
      <c r="C71" t="s">
        <v>77</v>
      </c>
      <c r="D71" t="s">
        <v>221</v>
      </c>
      <c r="E71" s="46">
        <f>SUMIFS(凭证计算!$G$4:$G$83,凭证计算!$E$4:$E$83,$A71)</f>
        <v>0</v>
      </c>
      <c r="F71" s="46">
        <f>SUMIFS(凭证计算!$H$4:$H$83,凭证计算!$E$4:$E$83,$A71)</f>
        <v>0</v>
      </c>
      <c r="G71" s="46">
        <f>SUMIFS(凭证计算!$G$86:$G$239,凭证计算!$E$86:$E$239,$A71,凭证计算!$A$86:$A$239,"&gt;="&amp;DATE(YEAR($B$3),MONTH($B$3),1),凭证计算!$A$86:$A$239,"&lt;="&amp;EOMONTH($B$3,0))</f>
        <v>0</v>
      </c>
      <c r="H71" s="46">
        <f>SUMIFS(凭证计算!$H$86:$H$239,凭证计算!$E$86:$E$239,$A71,凭证计算!$A$86:$A$239,"&gt;="&amp;DATE(YEAR($B$3),MONTH($B$3),1),凭证计算!$A$86:$A$239,"&lt;="&amp;EOMONTH($B$3,0))</f>
        <v>0</v>
      </c>
      <c r="I71" s="46">
        <f>SUMIFS(凭证计算!$G$86:$G$239,凭证计算!$E$86:$E$239,$A71,凭证计算!$A$86:$A$239,"&gt;="&amp;DATE(YEAR($B$3),1,1),凭证计算!$A$86:$A$239,"&lt;="&amp;EOMONTH($B$3,0))</f>
        <v>0</v>
      </c>
      <c r="J71" s="46">
        <f>SUMIFS(凭证计算!$H$86:$H$239,凭证计算!$E$86:$E$239,$A71,凭证计算!$A$86:$A$239,"&gt;="&amp;DATE(YEAR($B$3),1,1),凭证计算!$A$86:$A$239,"&lt;="&amp;EOMONTH($B$3,0))</f>
        <v>0</v>
      </c>
      <c r="K71" s="46">
        <f t="shared" si="2"/>
        <v>0</v>
      </c>
      <c r="L71" s="46">
        <f t="shared" si="3"/>
        <v>0</v>
      </c>
      <c r="M71" t="s">
        <v>83</v>
      </c>
      <c r="O71" t="s">
        <v>358</v>
      </c>
      <c r="P71" t="s">
        <v>85</v>
      </c>
      <c r="Q71" t="s">
        <v>86</v>
      </c>
    </row>
    <row r="72" spans="1:17">
      <c r="A72" t="s">
        <v>359</v>
      </c>
      <c r="B72" t="s">
        <v>360</v>
      </c>
      <c r="C72" t="s">
        <v>77</v>
      </c>
      <c r="D72" t="s">
        <v>221</v>
      </c>
      <c r="E72" s="46">
        <f>SUMIFS(凭证计算!$G$4:$G$83,凭证计算!$E$4:$E$83,$A72)</f>
        <v>0</v>
      </c>
      <c r="F72" s="46">
        <f>SUMIFS(凭证计算!$H$4:$H$83,凭证计算!$E$4:$E$83,$A72)</f>
        <v>0</v>
      </c>
      <c r="G72" s="46">
        <f>SUMIFS(凭证计算!$G$86:$G$239,凭证计算!$E$86:$E$239,$A72,凭证计算!$A$86:$A$239,"&gt;="&amp;DATE(YEAR($B$3),MONTH($B$3),1),凭证计算!$A$86:$A$239,"&lt;="&amp;EOMONTH($B$3,0))</f>
        <v>0</v>
      </c>
      <c r="H72" s="46">
        <f>SUMIFS(凭证计算!$H$86:$H$239,凭证计算!$E$86:$E$239,$A72,凭证计算!$A$86:$A$239,"&gt;="&amp;DATE(YEAR($B$3),MONTH($B$3),1),凭证计算!$A$86:$A$239,"&lt;="&amp;EOMONTH($B$3,0))</f>
        <v>0</v>
      </c>
      <c r="I72" s="46">
        <f>SUMIFS(凭证计算!$G$86:$G$239,凭证计算!$E$86:$E$239,$A72,凭证计算!$A$86:$A$239,"&gt;="&amp;DATE(YEAR($B$3),1,1),凭证计算!$A$86:$A$239,"&lt;="&amp;EOMONTH($B$3,0))</f>
        <v>0</v>
      </c>
      <c r="J72" s="46">
        <f>SUMIFS(凭证计算!$H$86:$H$239,凭证计算!$E$86:$E$239,$A72,凭证计算!$A$86:$A$239,"&gt;="&amp;DATE(YEAR($B$3),1,1),凭证计算!$A$86:$A$239,"&lt;="&amp;EOMONTH($B$3,0))</f>
        <v>0</v>
      </c>
      <c r="K72" s="46">
        <f t="shared" si="2"/>
        <v>0</v>
      </c>
      <c r="L72" s="46">
        <f t="shared" si="3"/>
        <v>0</v>
      </c>
      <c r="M72" t="s">
        <v>83</v>
      </c>
      <c r="O72" t="s">
        <v>360</v>
      </c>
      <c r="P72" t="s">
        <v>85</v>
      </c>
      <c r="Q72" t="s">
        <v>86</v>
      </c>
    </row>
    <row r="73" spans="1:17">
      <c r="A73" t="s">
        <v>361</v>
      </c>
      <c r="B73" t="s">
        <v>362</v>
      </c>
      <c r="C73" t="s">
        <v>77</v>
      </c>
      <c r="D73" t="s">
        <v>221</v>
      </c>
      <c r="E73" s="46">
        <f>SUMIFS(凭证计算!$G$4:$G$83,凭证计算!$E$4:$E$83,$A73)</f>
        <v>0</v>
      </c>
      <c r="F73" s="46">
        <f>SUMIFS(凭证计算!$H$4:$H$83,凭证计算!$E$4:$E$83,$A73)</f>
        <v>0</v>
      </c>
      <c r="G73" s="46">
        <f>SUMIFS(凭证计算!$G$86:$G$239,凭证计算!$E$86:$E$239,$A73,凭证计算!$A$86:$A$239,"&gt;="&amp;DATE(YEAR($B$3),MONTH($B$3),1),凭证计算!$A$86:$A$239,"&lt;="&amp;EOMONTH($B$3,0))</f>
        <v>0</v>
      </c>
      <c r="H73" s="46">
        <f>SUMIFS(凭证计算!$H$86:$H$239,凭证计算!$E$86:$E$239,$A73,凭证计算!$A$86:$A$239,"&gt;="&amp;DATE(YEAR($B$3),MONTH($B$3),1),凭证计算!$A$86:$A$239,"&lt;="&amp;EOMONTH($B$3,0))</f>
        <v>0</v>
      </c>
      <c r="I73" s="46">
        <f>SUMIFS(凭证计算!$G$86:$G$239,凭证计算!$E$86:$E$239,$A73,凭证计算!$A$86:$A$239,"&gt;="&amp;DATE(YEAR($B$3),1,1),凭证计算!$A$86:$A$239,"&lt;="&amp;EOMONTH($B$3,0))</f>
        <v>0</v>
      </c>
      <c r="J73" s="46">
        <f>SUMIFS(凭证计算!$H$86:$H$239,凭证计算!$E$86:$E$239,$A73,凭证计算!$A$86:$A$239,"&gt;="&amp;DATE(YEAR($B$3),1,1),凭证计算!$A$86:$A$239,"&lt;="&amp;EOMONTH($B$3,0))</f>
        <v>0</v>
      </c>
      <c r="K73" s="46">
        <f t="shared" si="2"/>
        <v>0</v>
      </c>
      <c r="L73" s="46">
        <f t="shared" si="3"/>
        <v>0</v>
      </c>
      <c r="M73" t="s">
        <v>83</v>
      </c>
      <c r="O73" t="s">
        <v>362</v>
      </c>
      <c r="P73" t="s">
        <v>350</v>
      </c>
      <c r="Q73" t="s">
        <v>86</v>
      </c>
    </row>
    <row r="74" spans="1:17">
      <c r="A74" t="s">
        <v>363</v>
      </c>
      <c r="B74" t="s">
        <v>364</v>
      </c>
      <c r="C74" t="s">
        <v>365</v>
      </c>
      <c r="D74" t="s">
        <v>82</v>
      </c>
      <c r="E74" s="46">
        <f>SUMIFS(凭证计算!$G$4:$G$83,凭证计算!$E$4:$E$83,$A74)</f>
        <v>0</v>
      </c>
      <c r="F74" s="46">
        <f>SUMIFS(凭证计算!$H$4:$H$83,凭证计算!$E$4:$E$83,$A74)</f>
        <v>0</v>
      </c>
      <c r="G74" s="46">
        <f>SUMIFS(凭证计算!$G$86:$G$239,凭证计算!$E$86:$E$239,$A74,凭证计算!$A$86:$A$239,"&gt;="&amp;DATE(YEAR($B$3),MONTH($B$3),1),凭证计算!$A$86:$A$239,"&lt;="&amp;EOMONTH($B$3,0))</f>
        <v>13040</v>
      </c>
      <c r="H74" s="46">
        <f>SUMIFS(凭证计算!$H$86:$H$239,凭证计算!$E$86:$E$239,$A74,凭证计算!$A$86:$A$239,"&gt;="&amp;DATE(YEAR($B$3),MONTH($B$3),1),凭证计算!$A$86:$A$239,"&lt;="&amp;EOMONTH($B$3,0))</f>
        <v>0</v>
      </c>
      <c r="I74" s="46">
        <f>SUMIFS(凭证计算!$G$86:$G$239,凭证计算!$E$86:$E$239,$A74,凭证计算!$A$86:$A$239,"&gt;="&amp;DATE(YEAR($B$3),1,1),凭证计算!$A$86:$A$239,"&lt;="&amp;EOMONTH($B$3,0))</f>
        <v>13040</v>
      </c>
      <c r="J74" s="46">
        <f>SUMIFS(凭证计算!$H$86:$H$239,凭证计算!$E$86:$E$239,$A74,凭证计算!$A$86:$A$239,"&gt;="&amp;DATE(YEAR($B$3),1,1),凭证计算!$A$86:$A$239,"&lt;="&amp;EOMONTH($B$3,0))</f>
        <v>0</v>
      </c>
      <c r="K74" s="46">
        <f t="shared" si="2"/>
        <v>13040</v>
      </c>
      <c r="L74" s="46">
        <f t="shared" si="3"/>
        <v>0</v>
      </c>
      <c r="M74" t="s">
        <v>83</v>
      </c>
      <c r="O74" t="s">
        <v>364</v>
      </c>
      <c r="P74" t="s">
        <v>366</v>
      </c>
      <c r="Q74" t="s">
        <v>367</v>
      </c>
    </row>
    <row r="75" spans="1:17">
      <c r="A75" t="s">
        <v>368</v>
      </c>
      <c r="B75" t="s">
        <v>369</v>
      </c>
      <c r="C75" t="s">
        <v>365</v>
      </c>
      <c r="D75" t="s">
        <v>82</v>
      </c>
      <c r="E75" s="46">
        <f>SUMIFS(凭证计算!$G$4:$G$83,凭证计算!$E$4:$E$83,$A75)</f>
        <v>0</v>
      </c>
      <c r="F75" s="46">
        <f>SUMIFS(凭证计算!$H$4:$H$83,凭证计算!$E$4:$E$83,$A75)</f>
        <v>0</v>
      </c>
      <c r="G75" s="46">
        <f>SUMIFS(凭证计算!$G$86:$G$239,凭证计算!$E$86:$E$239,$A75,凭证计算!$A$86:$A$239,"&gt;="&amp;DATE(YEAR($B$3),MONTH($B$3),1),凭证计算!$A$86:$A$239,"&lt;="&amp;EOMONTH($B$3,0))</f>
        <v>0</v>
      </c>
      <c r="H75" s="46">
        <f>SUMIFS(凭证计算!$H$86:$H$239,凭证计算!$E$86:$E$239,$A75,凭证计算!$A$86:$A$239,"&gt;="&amp;DATE(YEAR($B$3),MONTH($B$3),1),凭证计算!$A$86:$A$239,"&lt;="&amp;EOMONTH($B$3,0))</f>
        <v>0</v>
      </c>
      <c r="I75" s="46">
        <f>SUMIFS(凭证计算!$G$86:$G$239,凭证计算!$E$86:$E$239,$A75,凭证计算!$A$86:$A$239,"&gt;="&amp;DATE(YEAR($B$3),1,1),凭证计算!$A$86:$A$239,"&lt;="&amp;EOMONTH($B$3,0))</f>
        <v>0</v>
      </c>
      <c r="J75" s="46">
        <f>SUMIFS(凭证计算!$H$86:$H$239,凭证计算!$E$86:$E$239,$A75,凭证计算!$A$86:$A$239,"&gt;="&amp;DATE(YEAR($B$3),1,1),凭证计算!$A$86:$A$239,"&lt;="&amp;EOMONTH($B$3,0))</f>
        <v>0</v>
      </c>
      <c r="K75" s="46">
        <f t="shared" si="2"/>
        <v>0</v>
      </c>
      <c r="L75" s="46">
        <f t="shared" si="3"/>
        <v>0</v>
      </c>
      <c r="M75" t="s">
        <v>83</v>
      </c>
      <c r="O75" t="s">
        <v>369</v>
      </c>
      <c r="P75" t="s">
        <v>366</v>
      </c>
      <c r="Q75" t="s">
        <v>86</v>
      </c>
    </row>
    <row r="76" spans="1:17">
      <c r="A76" t="s">
        <v>370</v>
      </c>
      <c r="B76" t="s">
        <v>371</v>
      </c>
      <c r="C76" t="s">
        <v>365</v>
      </c>
      <c r="D76" t="s">
        <v>82</v>
      </c>
      <c r="E76" s="46">
        <f>SUMIFS(凭证计算!$G$4:$G$83,凭证计算!$E$4:$E$83,$A76)</f>
        <v>0</v>
      </c>
      <c r="F76" s="46">
        <f>SUMIFS(凭证计算!$H$4:$H$83,凭证计算!$E$4:$E$83,$A76)</f>
        <v>0</v>
      </c>
      <c r="G76" s="46">
        <f>SUMIFS(凭证计算!$G$86:$G$239,凭证计算!$E$86:$E$239,$A76,凭证计算!$A$86:$A$239,"&gt;="&amp;DATE(YEAR($B$3),MONTH($B$3),1),凭证计算!$A$86:$A$239,"&lt;="&amp;EOMONTH($B$3,0))</f>
        <v>0</v>
      </c>
      <c r="H76" s="46">
        <f>SUMIFS(凭证计算!$H$86:$H$239,凭证计算!$E$86:$E$239,$A76,凭证计算!$A$86:$A$239,"&gt;="&amp;DATE(YEAR($B$3),MONTH($B$3),1),凭证计算!$A$86:$A$239,"&lt;="&amp;EOMONTH($B$3,0))</f>
        <v>0</v>
      </c>
      <c r="I76" s="46">
        <f>SUMIFS(凭证计算!$G$86:$G$239,凭证计算!$E$86:$E$239,$A76,凭证计算!$A$86:$A$239,"&gt;="&amp;DATE(YEAR($B$3),1,1),凭证计算!$A$86:$A$239,"&lt;="&amp;EOMONTH($B$3,0))</f>
        <v>0</v>
      </c>
      <c r="J76" s="46">
        <f>SUMIFS(凭证计算!$H$86:$H$239,凭证计算!$E$86:$E$239,$A76,凭证计算!$A$86:$A$239,"&gt;="&amp;DATE(YEAR($B$3),1,1),凭证计算!$A$86:$A$239,"&lt;="&amp;EOMONTH($B$3,0))</f>
        <v>0</v>
      </c>
      <c r="K76" s="46">
        <f t="shared" si="2"/>
        <v>0</v>
      </c>
      <c r="L76" s="46">
        <f t="shared" si="3"/>
        <v>0</v>
      </c>
      <c r="M76" t="s">
        <v>83</v>
      </c>
      <c r="O76" t="s">
        <v>371</v>
      </c>
      <c r="P76" t="s">
        <v>366</v>
      </c>
      <c r="Q76" t="s">
        <v>86</v>
      </c>
    </row>
    <row r="77" spans="1:17">
      <c r="A77" t="s">
        <v>246</v>
      </c>
      <c r="B77" t="s">
        <v>372</v>
      </c>
      <c r="C77" t="s">
        <v>365</v>
      </c>
      <c r="D77" t="s">
        <v>82</v>
      </c>
      <c r="E77" s="46">
        <f>SUMIFS(凭证计算!$G$4:$G$83,凭证计算!$E$4:$E$83,$A77)</f>
        <v>0</v>
      </c>
      <c r="F77" s="46">
        <f>SUMIFS(凭证计算!$H$4:$H$83,凭证计算!$E$4:$E$83,$A77)</f>
        <v>0</v>
      </c>
      <c r="G77" s="46">
        <f>SUMIFS(凭证计算!$G$86:$G$239,凭证计算!$E$86:$E$239,$A77,凭证计算!$A$86:$A$239,"&gt;="&amp;DATE(YEAR($B$3),MONTH($B$3),1),凭证计算!$A$86:$A$239,"&lt;="&amp;EOMONTH($B$3,0))</f>
        <v>2000</v>
      </c>
      <c r="H77" s="46">
        <f>SUMIFS(凭证计算!$H$86:$H$239,凭证计算!$E$86:$E$239,$A77,凭证计算!$A$86:$A$239,"&gt;="&amp;DATE(YEAR($B$3),MONTH($B$3),1),凭证计算!$A$86:$A$239,"&lt;="&amp;EOMONTH($B$3,0))</f>
        <v>0</v>
      </c>
      <c r="I77" s="46">
        <f>SUMIFS(凭证计算!$G$86:$G$239,凭证计算!$E$86:$E$239,$A77,凭证计算!$A$86:$A$239,"&gt;="&amp;DATE(YEAR($B$3),1,1),凭证计算!$A$86:$A$239,"&lt;="&amp;EOMONTH($B$3,0))</f>
        <v>2000</v>
      </c>
      <c r="J77" s="46">
        <f>SUMIFS(凭证计算!$H$86:$H$239,凭证计算!$E$86:$E$239,$A77,凭证计算!$A$86:$A$239,"&gt;="&amp;DATE(YEAR($B$3),1,1),凭证计算!$A$86:$A$239,"&lt;="&amp;EOMONTH($B$3,0))</f>
        <v>0</v>
      </c>
      <c r="K77" s="46">
        <f t="shared" si="2"/>
        <v>2000</v>
      </c>
      <c r="L77" s="46">
        <f t="shared" si="3"/>
        <v>0</v>
      </c>
      <c r="M77" t="s">
        <v>83</v>
      </c>
      <c r="O77" t="s">
        <v>372</v>
      </c>
      <c r="P77" t="s">
        <v>366</v>
      </c>
      <c r="Q77" t="s">
        <v>373</v>
      </c>
    </row>
    <row r="78" spans="1:17">
      <c r="A78" t="s">
        <v>223</v>
      </c>
      <c r="B78" t="s">
        <v>374</v>
      </c>
      <c r="C78" t="s">
        <v>365</v>
      </c>
      <c r="D78" t="s">
        <v>82</v>
      </c>
      <c r="E78" s="46">
        <f>SUMIFS(凭证计算!$G$4:$G$83,凭证计算!$E$4:$E$83,$A78)</f>
        <v>0</v>
      </c>
      <c r="F78" s="46">
        <f>SUMIFS(凭证计算!$H$4:$H$83,凭证计算!$E$4:$E$83,$A78)</f>
        <v>0</v>
      </c>
      <c r="G78" s="46">
        <f>SUMIFS(凭证计算!$G$86:$G$239,凭证计算!$E$86:$E$239,$A78,凭证计算!$A$86:$A$239,"&gt;="&amp;DATE(YEAR($B$3),MONTH($B$3),1),凭证计算!$A$86:$A$239,"&lt;="&amp;EOMONTH($B$3,0))</f>
        <v>22600</v>
      </c>
      <c r="H78" s="46">
        <f>SUMIFS(凭证计算!$H$86:$H$239,凭证计算!$E$86:$E$239,$A78,凭证计算!$A$86:$A$239,"&gt;="&amp;DATE(YEAR($B$3),MONTH($B$3),1),凭证计算!$A$86:$A$239,"&lt;="&amp;EOMONTH($B$3,0))</f>
        <v>0</v>
      </c>
      <c r="I78" s="46">
        <f>SUMIFS(凭证计算!$G$86:$G$239,凭证计算!$E$86:$E$239,$A78,凭证计算!$A$86:$A$239,"&gt;="&amp;DATE(YEAR($B$3),1,1),凭证计算!$A$86:$A$239,"&lt;="&amp;EOMONTH($B$3,0))</f>
        <v>22600</v>
      </c>
      <c r="J78" s="46">
        <f>SUMIFS(凭证计算!$H$86:$H$239,凭证计算!$E$86:$E$239,$A78,凭证计算!$A$86:$A$239,"&gt;="&amp;DATE(YEAR($B$3),1,1),凭证计算!$A$86:$A$239,"&lt;="&amp;EOMONTH($B$3,0))</f>
        <v>0</v>
      </c>
      <c r="K78" s="46">
        <f t="shared" si="2"/>
        <v>22600</v>
      </c>
      <c r="L78" s="46">
        <f t="shared" si="3"/>
        <v>0</v>
      </c>
      <c r="M78" t="s">
        <v>83</v>
      </c>
      <c r="O78" t="s">
        <v>374</v>
      </c>
      <c r="P78" t="s">
        <v>366</v>
      </c>
      <c r="Q78" t="s">
        <v>373</v>
      </c>
    </row>
    <row r="79" spans="1:17">
      <c r="A79" t="s">
        <v>253</v>
      </c>
      <c r="B79" t="s">
        <v>375</v>
      </c>
      <c r="C79" t="s">
        <v>365</v>
      </c>
      <c r="D79" t="s">
        <v>82</v>
      </c>
      <c r="E79" s="46">
        <f>SUMIFS(凭证计算!$G$4:$G$83,凭证计算!$E$4:$E$83,$A79)</f>
        <v>0</v>
      </c>
      <c r="F79" s="46">
        <f>SUMIFS(凭证计算!$H$4:$H$83,凭证计算!$E$4:$E$83,$A79)</f>
        <v>0</v>
      </c>
      <c r="G79" s="46">
        <f>SUMIFS(凭证计算!$G$86:$G$239,凭证计算!$E$86:$E$239,$A79,凭证计算!$A$86:$A$239,"&gt;="&amp;DATE(YEAR($B$3),MONTH($B$3),1),凭证计算!$A$86:$A$239,"&lt;="&amp;EOMONTH($B$3,0))</f>
        <v>0</v>
      </c>
      <c r="H79" s="46">
        <f>SUMIFS(凭证计算!$H$86:$H$239,凭证计算!$E$86:$E$239,$A79,凭证计算!$A$86:$A$239,"&gt;="&amp;DATE(YEAR($B$3),MONTH($B$3),1),凭证计算!$A$86:$A$239,"&lt;="&amp;EOMONTH($B$3,0))</f>
        <v>0</v>
      </c>
      <c r="I79" s="46">
        <f>SUMIFS(凭证计算!$G$86:$G$239,凭证计算!$E$86:$E$239,$A79,凭证计算!$A$86:$A$239,"&gt;="&amp;DATE(YEAR($B$3),1,1),凭证计算!$A$86:$A$239,"&lt;="&amp;EOMONTH($B$3,0))</f>
        <v>0</v>
      </c>
      <c r="J79" s="46">
        <f>SUMIFS(凭证计算!$H$86:$H$239,凭证计算!$E$86:$E$239,$A79,凭证计算!$A$86:$A$239,"&gt;="&amp;DATE(YEAR($B$3),1,1),凭证计算!$A$86:$A$239,"&lt;="&amp;EOMONTH($B$3,0))</f>
        <v>0</v>
      </c>
      <c r="K79" s="46">
        <f t="shared" si="2"/>
        <v>0</v>
      </c>
      <c r="L79" s="46">
        <f t="shared" si="3"/>
        <v>0</v>
      </c>
      <c r="M79" t="s">
        <v>83</v>
      </c>
      <c r="O79" t="s">
        <v>375</v>
      </c>
      <c r="P79" t="s">
        <v>366</v>
      </c>
      <c r="Q79" t="s">
        <v>19</v>
      </c>
    </row>
    <row r="80" spans="1:17">
      <c r="A80" t="s">
        <v>376</v>
      </c>
      <c r="B80" t="s">
        <v>377</v>
      </c>
      <c r="C80" t="s">
        <v>365</v>
      </c>
      <c r="D80" t="s">
        <v>82</v>
      </c>
      <c r="E80" s="46">
        <f>SUMIFS(凭证计算!$G$4:$G$83,凭证计算!$E$4:$E$83,$A80)</f>
        <v>0</v>
      </c>
      <c r="F80" s="46">
        <f>SUMIFS(凭证计算!$H$4:$H$83,凭证计算!$E$4:$E$83,$A80)</f>
        <v>0</v>
      </c>
      <c r="G80" s="46">
        <f>SUMIFS(凭证计算!$G$86:$G$239,凭证计算!$E$86:$E$239,$A80,凭证计算!$A$86:$A$239,"&gt;="&amp;DATE(YEAR($B$3),MONTH($B$3),1),凭证计算!$A$86:$A$239,"&lt;="&amp;EOMONTH($B$3,0))</f>
        <v>0</v>
      </c>
      <c r="H80" s="46">
        <f>SUMIFS(凭证计算!$H$86:$H$239,凭证计算!$E$86:$E$239,$A80,凭证计算!$A$86:$A$239,"&gt;="&amp;DATE(YEAR($B$3),MONTH($B$3),1),凭证计算!$A$86:$A$239,"&lt;="&amp;EOMONTH($B$3,0))</f>
        <v>0</v>
      </c>
      <c r="I80" s="46">
        <f>SUMIFS(凭证计算!$G$86:$G$239,凭证计算!$E$86:$E$239,$A80,凭证计算!$A$86:$A$239,"&gt;="&amp;DATE(YEAR($B$3),1,1),凭证计算!$A$86:$A$239,"&lt;="&amp;EOMONTH($B$3,0))</f>
        <v>0</v>
      </c>
      <c r="J80" s="46">
        <f>SUMIFS(凭证计算!$H$86:$H$239,凭证计算!$E$86:$E$239,$A80,凭证计算!$A$86:$A$239,"&gt;="&amp;DATE(YEAR($B$3),1,1),凭证计算!$A$86:$A$239,"&lt;="&amp;EOMONTH($B$3,0))</f>
        <v>0</v>
      </c>
      <c r="K80" s="46">
        <f t="shared" si="2"/>
        <v>0</v>
      </c>
      <c r="L80" s="46">
        <f t="shared" si="3"/>
        <v>0</v>
      </c>
      <c r="M80" t="s">
        <v>83</v>
      </c>
      <c r="O80" t="s">
        <v>377</v>
      </c>
      <c r="P80" t="s">
        <v>366</v>
      </c>
      <c r="Q80" t="s">
        <v>86</v>
      </c>
    </row>
    <row r="81" spans="1:17">
      <c r="A81" t="s">
        <v>378</v>
      </c>
      <c r="B81" t="s">
        <v>379</v>
      </c>
      <c r="C81" t="s">
        <v>365</v>
      </c>
      <c r="D81" t="s">
        <v>82</v>
      </c>
      <c r="E81" s="46">
        <f>SUMIFS(凭证计算!$G$4:$G$83,凭证计算!$E$4:$E$83,$A81)</f>
        <v>0</v>
      </c>
      <c r="F81" s="46">
        <f>SUMIFS(凭证计算!$H$4:$H$83,凭证计算!$E$4:$E$83,$A81)</f>
        <v>0</v>
      </c>
      <c r="G81" s="46">
        <f>SUMIFS(凭证计算!$G$86:$G$239,凭证计算!$E$86:$E$239,$A81,凭证计算!$A$86:$A$239,"&gt;="&amp;DATE(YEAR($B$3),MONTH($B$3),1),凭证计算!$A$86:$A$239,"&lt;="&amp;EOMONTH($B$3,0))</f>
        <v>0</v>
      </c>
      <c r="H81" s="46">
        <f>SUMIFS(凭证计算!$H$86:$H$239,凭证计算!$E$86:$E$239,$A81,凭证计算!$A$86:$A$239,"&gt;="&amp;DATE(YEAR($B$3),MONTH($B$3),1),凭证计算!$A$86:$A$239,"&lt;="&amp;EOMONTH($B$3,0))</f>
        <v>0</v>
      </c>
      <c r="I81" s="46">
        <f>SUMIFS(凭证计算!$G$86:$G$239,凭证计算!$E$86:$E$239,$A81,凭证计算!$A$86:$A$239,"&gt;="&amp;DATE(YEAR($B$3),1,1),凭证计算!$A$86:$A$239,"&lt;="&amp;EOMONTH($B$3,0))</f>
        <v>0</v>
      </c>
      <c r="J81" s="46">
        <f>SUMIFS(凭证计算!$H$86:$H$239,凭证计算!$E$86:$E$239,$A81,凭证计算!$A$86:$A$239,"&gt;="&amp;DATE(YEAR($B$3),1,1),凭证计算!$A$86:$A$239,"&lt;="&amp;EOMONTH($B$3,0))</f>
        <v>0</v>
      </c>
      <c r="K81" s="46">
        <f t="shared" si="2"/>
        <v>0</v>
      </c>
      <c r="L81" s="46">
        <f t="shared" si="3"/>
        <v>0</v>
      </c>
      <c r="M81" t="s">
        <v>83</v>
      </c>
      <c r="O81" t="s">
        <v>379</v>
      </c>
      <c r="P81" t="s">
        <v>85</v>
      </c>
      <c r="Q81" t="s">
        <v>86</v>
      </c>
    </row>
    <row r="82" spans="1:17">
      <c r="A82" t="s">
        <v>380</v>
      </c>
      <c r="B82" t="s">
        <v>381</v>
      </c>
      <c r="C82" t="s">
        <v>365</v>
      </c>
      <c r="D82" t="s">
        <v>82</v>
      </c>
      <c r="E82" s="46">
        <f>SUMIFS(凭证计算!$G$4:$G$83,凭证计算!$E$4:$E$83,$A82)</f>
        <v>0</v>
      </c>
      <c r="F82" s="46">
        <f>SUMIFS(凭证计算!$H$4:$H$83,凭证计算!$E$4:$E$83,$A82)</f>
        <v>0</v>
      </c>
      <c r="G82" s="46">
        <f>SUMIFS(凭证计算!$G$86:$G$239,凭证计算!$E$86:$E$239,$A82,凭证计算!$A$86:$A$239,"&gt;="&amp;DATE(YEAR($B$3),MONTH($B$3),1),凭证计算!$A$86:$A$239,"&lt;="&amp;EOMONTH($B$3,0))</f>
        <v>0</v>
      </c>
      <c r="H82" s="46">
        <f>SUMIFS(凭证计算!$H$86:$H$239,凭证计算!$E$86:$E$239,$A82,凭证计算!$A$86:$A$239,"&gt;="&amp;DATE(YEAR($B$3),MONTH($B$3),1),凭证计算!$A$86:$A$239,"&lt;="&amp;EOMONTH($B$3,0))</f>
        <v>0</v>
      </c>
      <c r="I82" s="46">
        <f>SUMIFS(凭证计算!$G$86:$G$239,凭证计算!$E$86:$E$239,$A82,凭证计算!$A$86:$A$239,"&gt;="&amp;DATE(YEAR($B$3),1,1),凭证计算!$A$86:$A$239,"&lt;="&amp;EOMONTH($B$3,0))</f>
        <v>0</v>
      </c>
      <c r="J82" s="46">
        <f>SUMIFS(凭证计算!$H$86:$H$239,凭证计算!$E$86:$E$239,$A82,凭证计算!$A$86:$A$239,"&gt;="&amp;DATE(YEAR($B$3),1,1),凭证计算!$A$86:$A$239,"&lt;="&amp;EOMONTH($B$3,0))</f>
        <v>0</v>
      </c>
      <c r="K82" s="46">
        <f t="shared" si="2"/>
        <v>0</v>
      </c>
      <c r="L82" s="46">
        <f t="shared" si="3"/>
        <v>0</v>
      </c>
      <c r="M82" t="s">
        <v>83</v>
      </c>
      <c r="O82" t="s">
        <v>381</v>
      </c>
      <c r="P82" t="s">
        <v>85</v>
      </c>
      <c r="Q82" t="s">
        <v>86</v>
      </c>
    </row>
    <row r="83" spans="1:17">
      <c r="A83" t="s">
        <v>382</v>
      </c>
      <c r="B83" t="s">
        <v>383</v>
      </c>
      <c r="C83" t="s">
        <v>365</v>
      </c>
      <c r="D83" t="s">
        <v>82</v>
      </c>
      <c r="E83" s="46">
        <f>SUMIFS(凭证计算!$G$4:$G$83,凭证计算!$E$4:$E$83,$A83)</f>
        <v>0</v>
      </c>
      <c r="F83" s="46">
        <f>SUMIFS(凭证计算!$H$4:$H$83,凭证计算!$E$4:$E$83,$A83)</f>
        <v>0</v>
      </c>
      <c r="G83" s="46">
        <f>SUMIFS(凭证计算!$G$86:$G$239,凭证计算!$E$86:$E$239,$A83,凭证计算!$A$86:$A$239,"&gt;="&amp;DATE(YEAR($B$3),MONTH($B$3),1),凭证计算!$A$86:$A$239,"&lt;="&amp;EOMONTH($B$3,0))</f>
        <v>0</v>
      </c>
      <c r="H83" s="46">
        <f>SUMIFS(凭证计算!$H$86:$H$239,凭证计算!$E$86:$E$239,$A83,凭证计算!$A$86:$A$239,"&gt;="&amp;DATE(YEAR($B$3),MONTH($B$3),1),凭证计算!$A$86:$A$239,"&lt;="&amp;EOMONTH($B$3,0))</f>
        <v>0</v>
      </c>
      <c r="I83" s="46">
        <f>SUMIFS(凭证计算!$G$86:$G$239,凭证计算!$E$86:$E$239,$A83,凭证计算!$A$86:$A$239,"&gt;="&amp;DATE(YEAR($B$3),1,1),凭证计算!$A$86:$A$239,"&lt;="&amp;EOMONTH($B$3,0))</f>
        <v>0</v>
      </c>
      <c r="J83" s="46">
        <f>SUMIFS(凭证计算!$H$86:$H$239,凭证计算!$E$86:$E$239,$A83,凭证计算!$A$86:$A$239,"&gt;="&amp;DATE(YEAR($B$3),1,1),凭证计算!$A$86:$A$239,"&lt;="&amp;EOMONTH($B$3,0))</f>
        <v>0</v>
      </c>
      <c r="K83" s="46">
        <f t="shared" si="2"/>
        <v>0</v>
      </c>
      <c r="L83" s="46">
        <f t="shared" si="3"/>
        <v>0</v>
      </c>
      <c r="M83" t="s">
        <v>83</v>
      </c>
      <c r="O83" t="s">
        <v>383</v>
      </c>
      <c r="P83" t="s">
        <v>366</v>
      </c>
      <c r="Q83" t="s">
        <v>86</v>
      </c>
    </row>
    <row r="84" spans="1:17">
      <c r="A84" t="s">
        <v>384</v>
      </c>
      <c r="B84" t="s">
        <v>385</v>
      </c>
      <c r="C84" t="s">
        <v>365</v>
      </c>
      <c r="D84" t="s">
        <v>82</v>
      </c>
      <c r="E84" s="46">
        <f>SUMIFS(凭证计算!$G$4:$G$83,凭证计算!$E$4:$E$83,$A84)</f>
        <v>0</v>
      </c>
      <c r="F84" s="46">
        <f>SUMIFS(凭证计算!$H$4:$H$83,凭证计算!$E$4:$E$83,$A84)</f>
        <v>0</v>
      </c>
      <c r="G84" s="46">
        <f>SUMIFS(凭证计算!$G$86:$G$239,凭证计算!$E$86:$E$239,$A84,凭证计算!$A$86:$A$239,"&gt;="&amp;DATE(YEAR($B$3),MONTH($B$3),1),凭证计算!$A$86:$A$239,"&lt;="&amp;EOMONTH($B$3,0))</f>
        <v>0</v>
      </c>
      <c r="H84" s="46">
        <f>SUMIFS(凭证计算!$H$86:$H$239,凭证计算!$E$86:$E$239,$A84,凭证计算!$A$86:$A$239,"&gt;="&amp;DATE(YEAR($B$3),MONTH($B$3),1),凭证计算!$A$86:$A$239,"&lt;="&amp;EOMONTH($B$3,0))</f>
        <v>0</v>
      </c>
      <c r="I84" s="46">
        <f>SUMIFS(凭证计算!$G$86:$G$239,凭证计算!$E$86:$E$239,$A84,凭证计算!$A$86:$A$239,"&gt;="&amp;DATE(YEAR($B$3),1,1),凭证计算!$A$86:$A$239,"&lt;="&amp;EOMONTH($B$3,0))</f>
        <v>0</v>
      </c>
      <c r="J84" s="46">
        <f>SUMIFS(凭证计算!$H$86:$H$239,凭证计算!$E$86:$E$239,$A84,凭证计算!$A$86:$A$239,"&gt;="&amp;DATE(YEAR($B$3),1,1),凭证计算!$A$86:$A$239,"&lt;="&amp;EOMONTH($B$3,0))</f>
        <v>0</v>
      </c>
      <c r="K84" s="46">
        <f t="shared" si="2"/>
        <v>0</v>
      </c>
      <c r="L84" s="46">
        <f t="shared" si="3"/>
        <v>0</v>
      </c>
      <c r="M84" t="s">
        <v>83</v>
      </c>
      <c r="O84" t="s">
        <v>385</v>
      </c>
      <c r="P84" t="s">
        <v>366</v>
      </c>
      <c r="Q84" t="s">
        <v>86</v>
      </c>
    </row>
  </sheetData>
  <mergeCells count="1">
    <mergeCell ref="A1:Q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A1" sqref="A1:D1"/>
    </sheetView>
  </sheetViews>
  <sheetFormatPr defaultColWidth="9" defaultRowHeight="14.25" outlineLevelCol="3"/>
  <cols>
    <col min="1" max="1" width="17.125" customWidth="1"/>
    <col min="2" max="2" width="8" customWidth="1"/>
    <col min="3" max="3" width="9.375" customWidth="1"/>
    <col min="4" max="4" width="8.625" customWidth="1"/>
  </cols>
  <sheetData>
    <row r="1" ht="20.25" spans="1:4">
      <c r="A1" s="45" t="s">
        <v>583</v>
      </c>
      <c r="B1" s="45"/>
      <c r="C1" s="45"/>
      <c r="D1" s="45"/>
    </row>
    <row r="2" spans="1:4">
      <c r="A2" t="s">
        <v>2</v>
      </c>
      <c r="B2" s="53">
        <f>首页!$B$4</f>
        <v>46174</v>
      </c>
    </row>
    <row r="4" spans="1:4">
      <c r="A4" s="43" t="s">
        <v>584</v>
      </c>
      <c r="B4" s="43" t="s">
        <v>585</v>
      </c>
      <c r="C4" s="43" t="s">
        <v>586</v>
      </c>
      <c r="D4" s="43" t="s">
        <v>587</v>
      </c>
    </row>
    <row r="5" spans="1:4">
      <c r="A5" t="s">
        <v>588</v>
      </c>
      <c r="B5">
        <v>1</v>
      </c>
      <c r="C5" s="17">
        <f>SUM(C6:C7)</f>
        <v>29280</v>
      </c>
      <c r="D5" s="17">
        <f>SUM(D6:D7)</f>
        <v>29280</v>
      </c>
    </row>
    <row r="6" spans="1:4">
      <c r="A6" t="s">
        <v>349</v>
      </c>
      <c r="B6">
        <v>2</v>
      </c>
      <c r="C6" s="17">
        <f>SUMIFS(科目余额表!$H$5:$H$84,科目余额表!$O$5:$O$84,"主营业务收入")-SUMIFS(科目余额表!$G$5:$G$84,科目余额表!$O$5:$O$84,"主营业务收入")</f>
        <v>26080</v>
      </c>
      <c r="D6" s="17">
        <f>SUMIFS(科目余额表!$J$5:$J$84,科目余额表!$O$5:$O$84,"主营业务收入")-SUMIFS(科目余额表!$I$5:$I$84,科目余额表!$O$5:$O$84,"主营业务收入")</f>
        <v>26080</v>
      </c>
    </row>
    <row r="7" spans="1:4">
      <c r="A7" t="s">
        <v>112</v>
      </c>
      <c r="B7">
        <v>3</v>
      </c>
      <c r="C7" s="17">
        <f>SUMIFS(科目余额表!$H$5:$H$84,科目余额表!$O$5:$O$84,"其他业务收入")-SUMIFS(科目余额表!$G$5:$G$84,科目余额表!$O$5:$O$84,"其他业务收入")</f>
        <v>3200</v>
      </c>
      <c r="D7" s="17">
        <f>SUMIFS(科目余额表!$J$5:$J$84,科目余额表!$O$5:$O$84,"其他业务收入")-SUMIFS(科目余额表!$I$5:$I$84,科目余额表!$O$5:$O$84,"其他业务收入")</f>
        <v>3200</v>
      </c>
    </row>
    <row r="8" spans="1:4">
      <c r="A8" t="s">
        <v>589</v>
      </c>
      <c r="B8">
        <v>4</v>
      </c>
      <c r="C8" s="17">
        <f>SUM(C9:C10)</f>
        <v>13040</v>
      </c>
      <c r="D8" s="17">
        <f>SUM(D9:D10)</f>
        <v>13040</v>
      </c>
    </row>
    <row r="9" spans="1:4">
      <c r="A9" t="s">
        <v>364</v>
      </c>
      <c r="B9">
        <v>5</v>
      </c>
      <c r="C9" s="17">
        <f>SUMIFS(科目余额表!$G$5:$G$84,科目余额表!$O$5:$O$84,"主营业务成本")-SUMIFS(科目余额表!$H$5:$H$84,科目余额表!$O$5:$O$84,"主营业务成本")</f>
        <v>13040</v>
      </c>
      <c r="D9" s="17">
        <f>SUMIFS(科目余额表!$I$5:$I$84,科目余额表!$O$5:$O$84,"主营业务成本")-SUMIFS(科目余额表!$J$5:$J$84,科目余额表!$O$5:$O$84,"主营业务成本")</f>
        <v>13040</v>
      </c>
    </row>
    <row r="10" spans="1:4">
      <c r="A10" t="s">
        <v>369</v>
      </c>
      <c r="B10">
        <v>6</v>
      </c>
      <c r="C10" s="17">
        <f>SUMIFS(科目余额表!$G$5:$G$84,科目余额表!$O$5:$O$84,"其他业务成本")-SUMIFS(科目余额表!$H$5:$H$84,科目余额表!$O$5:$O$84,"其他业务成本")</f>
        <v>0</v>
      </c>
      <c r="D10" s="17">
        <f>SUMIFS(科目余额表!$I$5:$I$84,科目余额表!$O$5:$O$84,"其他业务成本")-SUMIFS(科目余额表!$J$5:$J$84,科目余额表!$O$5:$O$84,"其他业务成本")</f>
        <v>0</v>
      </c>
    </row>
    <row r="11" spans="1:4">
      <c r="A11" t="s">
        <v>371</v>
      </c>
      <c r="B11">
        <v>7</v>
      </c>
      <c r="C11" s="17">
        <f>SUMIFS(科目余额表!$G$5:$G$84,科目余额表!$O$5:$O$84,"税金及附加")-SUMIFS(科目余额表!$H$5:$H$84,科目余额表!$O$5:$O$84,"税金及附加")</f>
        <v>0</v>
      </c>
      <c r="D11" s="17">
        <f>SUMIFS(科目余额表!$I$5:$I$84,科目余额表!$O$5:$O$84,"税金及附加")-SUMIFS(科目余额表!$J$5:$J$84,科目余额表!$O$5:$O$84,"税金及附加")</f>
        <v>0</v>
      </c>
    </row>
    <row r="12" spans="1:4">
      <c r="A12" t="s">
        <v>372</v>
      </c>
      <c r="B12">
        <v>8</v>
      </c>
      <c r="C12" s="17">
        <f>SUMIFS(科目余额表!$G$5:$G$84,科目余额表!$O$5:$O$84,"销售费用")-SUMIFS(科目余额表!$H$5:$H$84,科目余额表!$O$5:$O$84,"销售费用")</f>
        <v>2000</v>
      </c>
      <c r="D12" s="17">
        <f>SUMIFS(科目余额表!$I$5:$I$84,科目余额表!$O$5:$O$84,"销售费用")-SUMIFS(科目余额表!$J$5:$J$84,科目余额表!$O$5:$O$84,"销售费用")</f>
        <v>2000</v>
      </c>
    </row>
    <row r="13" spans="1:4">
      <c r="A13" t="s">
        <v>374</v>
      </c>
      <c r="B13">
        <v>9</v>
      </c>
      <c r="C13" s="17">
        <f>SUMIFS(科目余额表!$G$5:$G$84,科目余额表!$O$5:$O$84,"管理费用")-SUMIFS(科目余额表!$H$5:$H$84,科目余额表!$O$5:$O$84,"管理费用")</f>
        <v>22600</v>
      </c>
      <c r="D13" s="17">
        <f>SUMIFS(科目余额表!$I$5:$I$84,科目余额表!$O$5:$O$84,"管理费用")-SUMIFS(科目余额表!$J$5:$J$84,科目余额表!$O$5:$O$84,"管理费用")</f>
        <v>22600</v>
      </c>
    </row>
    <row r="14" spans="1:4">
      <c r="A14" t="s">
        <v>377</v>
      </c>
      <c r="B14">
        <v>10</v>
      </c>
      <c r="C14" s="17">
        <f>SUMIFS(科目余额表!$G$5:$G$84,科目余额表!$O$5:$O$84,"研发费用")-SUMIFS(科目余额表!$H$5:$H$84,科目余额表!$O$5:$O$84,"研发费用")</f>
        <v>0</v>
      </c>
      <c r="D14" s="17">
        <f>SUMIFS(科目余额表!$I$5:$I$84,科目余额表!$O$5:$O$84,"研发费用")-SUMIFS(科目余额表!$J$5:$J$84,科目余额表!$O$5:$O$84,"研发费用")</f>
        <v>0</v>
      </c>
    </row>
    <row r="15" spans="1:4">
      <c r="A15" t="s">
        <v>375</v>
      </c>
      <c r="B15">
        <v>11</v>
      </c>
      <c r="C15" s="17">
        <f>SUMIFS(科目余额表!$G$5:$G$84,科目余额表!$O$5:$O$84,"财务费用")-SUMIFS(科目余额表!$H$5:$H$84,科目余额表!$O$5:$O$84,"财务费用")</f>
        <v>0</v>
      </c>
      <c r="D15" s="17">
        <f>SUMIFS(科目余额表!$I$5:$I$84,科目余额表!$O$5:$O$84,"财务费用")-SUMIFS(科目余额表!$J$5:$J$84,科目余额表!$O$5:$O$84,"财务费用")</f>
        <v>0</v>
      </c>
    </row>
    <row r="16" spans="1:4">
      <c r="A16" t="s">
        <v>360</v>
      </c>
      <c r="B16">
        <v>12</v>
      </c>
      <c r="C16" s="17">
        <f>SUMIFS(科目余额表!$H$5:$H$84,科目余额表!$O$5:$O$84,"其他收益")-SUMIFS(科目余额表!$G$5:$G$84,科目余额表!$O$5:$O$84,"其他收益")</f>
        <v>0</v>
      </c>
      <c r="D16" s="17">
        <f>SUMIFS(科目余额表!$J$5:$J$84,科目余额表!$O$5:$O$84,"其他收益")-SUMIFS(科目余额表!$I$5:$I$84,科目余额表!$O$5:$O$84,"其他收益")</f>
        <v>0</v>
      </c>
    </row>
    <row r="17" spans="1:4">
      <c r="A17" t="s">
        <v>356</v>
      </c>
      <c r="B17">
        <v>13</v>
      </c>
      <c r="C17" s="17">
        <f>SUMIFS(科目余额表!$H$5:$H$84,科目余额表!$O$5:$O$84,"投资收益")-SUMIFS(科目余额表!$G$5:$G$84,科目余额表!$O$5:$O$84,"投资收益")</f>
        <v>0</v>
      </c>
      <c r="D17" s="17">
        <f>SUMIFS(科目余额表!$J$5:$J$84,科目余额表!$O$5:$O$84,"投资收益")-SUMIFS(科目余额表!$I$5:$I$84,科目余额表!$O$5:$O$84,"投资收益")</f>
        <v>0</v>
      </c>
    </row>
    <row r="18" spans="1:4">
      <c r="A18" t="s">
        <v>354</v>
      </c>
      <c r="B18">
        <v>14</v>
      </c>
      <c r="C18" s="17">
        <f>SUMIFS(科目余额表!$H$5:$H$84,科目余额表!$O$5:$O$84,"公允价值变动收益")-SUMIFS(科目余额表!$G$5:$G$84,科目余额表!$O$5:$O$84,"公允价值变动收益")</f>
        <v>0</v>
      </c>
      <c r="D18" s="17">
        <f>SUMIFS(科目余额表!$J$5:$J$84,科目余额表!$O$5:$O$84,"公允价值变动收益")-SUMIFS(科目余额表!$I$5:$I$84,科目余额表!$O$5:$O$84,"公允价值变动收益")</f>
        <v>0</v>
      </c>
    </row>
    <row r="19" spans="1:4">
      <c r="A19" t="s">
        <v>358</v>
      </c>
      <c r="B19">
        <v>15</v>
      </c>
      <c r="C19" s="17">
        <f>SUMIFS(科目余额表!$H$5:$H$84,科目余额表!$O$5:$O$84,"资产处置收益")-SUMIFS(科目余额表!$G$5:$G$84,科目余额表!$O$5:$O$84,"资产处置收益")</f>
        <v>0</v>
      </c>
      <c r="D19" s="17">
        <f>SUMIFS(科目余额表!$J$5:$J$84,科目余额表!$O$5:$O$84,"资产处置收益")-SUMIFS(科目余额表!$I$5:$I$84,科目余额表!$O$5:$O$84,"资产处置收益")</f>
        <v>0</v>
      </c>
    </row>
    <row r="20" spans="1:4">
      <c r="A20" t="s">
        <v>379</v>
      </c>
      <c r="B20">
        <v>16</v>
      </c>
      <c r="C20" s="17">
        <f>SUMIFS(科目余额表!$G$5:$G$84,科目余额表!$O$5:$O$84,"资产减值损失")-SUMIFS(科目余额表!$H$5:$H$84,科目余额表!$O$5:$O$84,"资产减值损失")</f>
        <v>0</v>
      </c>
      <c r="D20" s="17">
        <f>SUMIFS(科目余额表!$I$5:$I$84,科目余额表!$O$5:$O$84,"资产减值损失")-SUMIFS(科目余额表!$J$5:$J$84,科目余额表!$O$5:$O$84,"资产减值损失")</f>
        <v>0</v>
      </c>
    </row>
    <row r="21" spans="1:4">
      <c r="A21" t="s">
        <v>381</v>
      </c>
      <c r="B21">
        <v>17</v>
      </c>
      <c r="C21" s="17">
        <f>SUMIFS(科目余额表!$G$5:$G$84,科目余额表!$O$5:$O$84,"信用减值损失")-SUMIFS(科目余额表!$H$5:$H$84,科目余额表!$O$5:$O$84,"信用减值损失")</f>
        <v>0</v>
      </c>
      <c r="D21" s="17">
        <f>SUMIFS(科目余额表!$I$5:$I$84,科目余额表!$O$5:$O$84,"信用减值损失")-SUMIFS(科目余额表!$J$5:$J$84,科目余额表!$O$5:$O$84,"信用减值损失")</f>
        <v>0</v>
      </c>
    </row>
    <row r="22" spans="1:4">
      <c r="A22" t="s">
        <v>590</v>
      </c>
      <c r="B22">
        <v>18</v>
      </c>
      <c r="C22" s="17">
        <f>C5-C8-C11-C12-C13-C14-C15+C16+C17+C18+C19-C20-C21</f>
        <v>-8360</v>
      </c>
      <c r="D22" s="17">
        <f>D5-D8-D11-D12-D13-D14-D15+D16+D17+D18+D19-D20-D21</f>
        <v>-8360</v>
      </c>
    </row>
    <row r="23" spans="1:4">
      <c r="A23" t="s">
        <v>362</v>
      </c>
      <c r="B23">
        <v>19</v>
      </c>
      <c r="C23" s="17">
        <f>SUMIFS(科目余额表!$H$5:$H$84,科目余额表!$O$5:$O$84,"营业外收入")-SUMIFS(科目余额表!$G$5:$G$84,科目余额表!$O$5:$O$84,"营业外收入")</f>
        <v>0</v>
      </c>
      <c r="D23" s="17">
        <f>SUMIFS(科目余额表!$J$5:$J$84,科目余额表!$O$5:$O$84,"营业外收入")-SUMIFS(科目余额表!$I$5:$I$84,科目余额表!$O$5:$O$84,"营业外收入")</f>
        <v>0</v>
      </c>
    </row>
    <row r="24" spans="1:4">
      <c r="A24" t="s">
        <v>383</v>
      </c>
      <c r="B24">
        <v>20</v>
      </c>
      <c r="C24" s="17">
        <f>SUMIFS(科目余额表!$G$5:$G$84,科目余额表!$O$5:$O$84,"营业外支出")-SUMIFS(科目余额表!$H$5:$H$84,科目余额表!$O$5:$O$84,"营业外支出")</f>
        <v>0</v>
      </c>
      <c r="D24" s="17">
        <f>SUMIFS(科目余额表!$I$5:$I$84,科目余额表!$O$5:$O$84,"营业外支出")-SUMIFS(科目余额表!$J$5:$J$84,科目余额表!$O$5:$O$84,"营业外支出")</f>
        <v>0</v>
      </c>
    </row>
    <row r="25" spans="1:4">
      <c r="A25" t="s">
        <v>591</v>
      </c>
      <c r="B25">
        <v>21</v>
      </c>
      <c r="C25" s="17">
        <f>C22+C23-C24</f>
        <v>-8360</v>
      </c>
      <c r="D25" s="17">
        <f>D22+D23-D24</f>
        <v>-8360</v>
      </c>
    </row>
    <row r="26" spans="1:4">
      <c r="A26" t="s">
        <v>385</v>
      </c>
      <c r="B26">
        <v>22</v>
      </c>
      <c r="C26" s="17">
        <f>SUMIFS(科目余额表!$G$5:$G$84,科目余额表!$O$5:$O$84,"所得税费用")-SUMIFS(科目余额表!$H$5:$H$84,科目余额表!$O$5:$O$84,"所得税费用")</f>
        <v>0</v>
      </c>
      <c r="D26" s="17">
        <f>SUMIFS(科目余额表!$I$5:$I$84,科目余额表!$O$5:$O$84,"所得税费用")-SUMIFS(科目余额表!$J$5:$J$84,科目余额表!$O$5:$O$84,"所得税费用")</f>
        <v>0</v>
      </c>
    </row>
    <row r="27" spans="1:4">
      <c r="A27" t="s">
        <v>592</v>
      </c>
      <c r="B27">
        <v>23</v>
      </c>
      <c r="C27" s="17">
        <f>C25-C26</f>
        <v>-8360</v>
      </c>
      <c r="D27" s="17">
        <f>D25-D26</f>
        <v>-8360</v>
      </c>
    </row>
  </sheetData>
  <mergeCells count="1">
    <mergeCell ref="A1:D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A1" sqref="A1:H1"/>
    </sheetView>
  </sheetViews>
  <sheetFormatPr defaultColWidth="9" defaultRowHeight="14.25" outlineLevelCol="7"/>
  <cols>
    <col min="3" max="4" width="12.125" customWidth="1"/>
    <col min="5" max="5" width="23.375" customWidth="1"/>
    <col min="6" max="6" width="4.625" customWidth="1"/>
    <col min="7" max="8" width="12.125" customWidth="1"/>
  </cols>
  <sheetData>
    <row r="1" ht="20.25" spans="1:8">
      <c r="A1" s="45" t="s">
        <v>593</v>
      </c>
      <c r="B1" s="45"/>
      <c r="C1" s="45"/>
      <c r="D1" s="45"/>
      <c r="E1" s="45"/>
      <c r="F1" s="45"/>
      <c r="G1" s="45"/>
      <c r="H1" s="45"/>
    </row>
    <row r="2" spans="1:8">
      <c r="A2" t="s">
        <v>2</v>
      </c>
      <c r="B2" s="53">
        <f>首页!$B$4</f>
        <v>46174</v>
      </c>
    </row>
    <row r="4" spans="1:8">
      <c r="A4" s="43" t="s">
        <v>81</v>
      </c>
      <c r="B4" s="43" t="s">
        <v>585</v>
      </c>
      <c r="C4" s="43" t="s">
        <v>529</v>
      </c>
      <c r="D4" s="43" t="s">
        <v>594</v>
      </c>
      <c r="E4" s="43" t="s">
        <v>595</v>
      </c>
      <c r="F4" s="43" t="s">
        <v>585</v>
      </c>
      <c r="G4" s="43" t="s">
        <v>529</v>
      </c>
      <c r="H4" s="43" t="s">
        <v>594</v>
      </c>
    </row>
    <row r="5" spans="1:8">
      <c r="C5" s="17"/>
      <c r="D5" s="17"/>
      <c r="G5" s="17"/>
      <c r="H5" s="17"/>
    </row>
    <row r="6" spans="1:8">
      <c r="A6" t="s">
        <v>84</v>
      </c>
      <c r="B6">
        <v>1</v>
      </c>
      <c r="C6" s="17">
        <f>SUMIFS(科目余额表!$K$5:$K$84,科目余额表!$N$5:$N$84,A6)-SUMIFS(科目余额表!$L$5:$L$84,科目余额表!$N$5:$N$84,A6)</f>
        <v>848600</v>
      </c>
      <c r="D6" s="17">
        <f>SUMIFS(科目余额表!$E$5:$E$84,科目余额表!$N$5:$N$84,A6)-SUMIFS(科目余额表!$F$5:$F$84,科目余额表!$N$5:$N$84,A6)</f>
        <v>860000</v>
      </c>
      <c r="E6" t="s">
        <v>290</v>
      </c>
      <c r="F6">
        <v>1</v>
      </c>
      <c r="G6" s="17">
        <f>SUMIFS(科目余额表!$L$5:$L$84,科目余额表!$N$5:$N$84,E6)-SUMIFS(科目余额表!$K$5:$K$84,科目余额表!$N$5:$N$84,E6)</f>
        <v>300000</v>
      </c>
      <c r="H6" s="17">
        <f>SUMIFS(科目余额表!$F$5:$F$84,科目余额表!$N$5:$N$84,E6)-SUMIFS(科目余额表!$E$5:$E$84,科目余额表!$N$5:$N$84,E6)</f>
        <v>300000</v>
      </c>
    </row>
    <row r="7" spans="1:8">
      <c r="A7" t="s">
        <v>127</v>
      </c>
      <c r="B7">
        <v>2</v>
      </c>
      <c r="C7" s="17">
        <f>SUMIFS(科目余额表!$K$5:$K$84,科目余额表!$N$5:$N$84,A7)-SUMIFS(科目余额表!$L$5:$L$84,科目余额表!$N$5:$N$84,A7)</f>
        <v>0</v>
      </c>
      <c r="D7" s="17">
        <f>SUMIFS(科目余额表!$E$5:$E$84,科目余额表!$N$5:$N$84,A7)-SUMIFS(科目余额表!$F$5:$F$84,科目余额表!$N$5:$N$84,A7)</f>
        <v>0</v>
      </c>
      <c r="E7" t="s">
        <v>294</v>
      </c>
      <c r="F7">
        <v>2</v>
      </c>
      <c r="G7" s="17">
        <f>SUMIFS(科目余额表!$L$5:$L$84,科目余额表!$N$5:$N$84,E7)-SUMIFS(科目余额表!$K$5:$K$84,科目余额表!$N$5:$N$84,E7)</f>
        <v>0</v>
      </c>
      <c r="H7" s="17">
        <f>SUMIFS(科目余额表!$F$5:$F$84,科目余额表!$N$5:$N$84,E7)-SUMIFS(科目余额表!$E$5:$E$84,科目余额表!$N$5:$N$84,E7)</f>
        <v>0</v>
      </c>
    </row>
    <row r="8" spans="1:8">
      <c r="A8" t="s">
        <v>141</v>
      </c>
      <c r="B8">
        <v>3</v>
      </c>
      <c r="C8" s="17">
        <f>SUMIFS(科目余额表!$K$5:$K$84,科目余额表!$N$5:$N$84,A8)-SUMIFS(科目余额表!$L$5:$L$84,科目余额表!$N$5:$N$84,A8)</f>
        <v>0</v>
      </c>
      <c r="D8" s="17">
        <f>SUMIFS(科目余额表!$E$5:$E$84,科目余额表!$N$5:$N$84,A8)-SUMIFS(科目余额表!$F$5:$F$84,科目余额表!$N$5:$N$84,A8)</f>
        <v>0</v>
      </c>
      <c r="E8" t="s">
        <v>295</v>
      </c>
      <c r="F8">
        <v>3</v>
      </c>
      <c r="G8" s="17">
        <f>SUMIFS(科目余额表!$L$5:$L$84,科目余额表!$N$5:$N$84,E8)-SUMIFS(科目余额表!$K$5:$K$84,科目余额表!$N$5:$N$84,E8)</f>
        <v>220300</v>
      </c>
      <c r="H8" s="17">
        <f>SUMIFS(科目余额表!$F$5:$F$84,科目余额表!$N$5:$N$84,E8)-SUMIFS(科目余额表!$E$5:$E$84,科目余额表!$N$5:$N$84,E8)</f>
        <v>210000</v>
      </c>
    </row>
    <row r="9" spans="1:8">
      <c r="A9" t="s">
        <v>155</v>
      </c>
      <c r="B9">
        <v>4</v>
      </c>
      <c r="C9" s="17">
        <f>SUMIFS(科目余额表!$K$5:$K$84,科目余额表!$N$5:$N$84,A9)-SUMIFS(科目余额表!$L$5:$L$84,科目余额表!$N$5:$N$84,A9)</f>
        <v>164080</v>
      </c>
      <c r="D9" s="17">
        <f>SUMIFS(科目余额表!$E$5:$E$84,科目余额表!$N$5:$N$84,A9)-SUMIFS(科目余额表!$F$5:$F$84,科目余额表!$N$5:$N$84,A9)</f>
        <v>158000</v>
      </c>
      <c r="E9" t="s">
        <v>298</v>
      </c>
      <c r="F9">
        <v>4</v>
      </c>
      <c r="G9" s="17">
        <f>SUMIFS(科目余额表!$L$5:$L$84,科目余额表!$N$5:$N$84,E9)-SUMIFS(科目余额表!$K$5:$K$84,科目余额表!$N$5:$N$84,E9)</f>
        <v>0</v>
      </c>
      <c r="H9" s="17">
        <f>SUMIFS(科目余额表!$F$5:$F$84,科目余额表!$N$5:$N$84,E9)-SUMIFS(科目余额表!$E$5:$E$84,科目余额表!$N$5:$N$84,E9)</f>
        <v>0</v>
      </c>
    </row>
    <row r="10" spans="1:8">
      <c r="A10" t="s">
        <v>171</v>
      </c>
      <c r="B10">
        <v>5</v>
      </c>
      <c r="C10" s="17">
        <f>SUMIFS(科目余额表!$K$5:$K$84,科目余额表!$N$5:$N$84,A10)-SUMIFS(科目余额表!$L$5:$L$84,科目余额表!$N$5:$N$84,A10)</f>
        <v>0</v>
      </c>
      <c r="D10" s="17">
        <f>SUMIFS(科目余额表!$E$5:$E$84,科目余额表!$N$5:$N$84,A10)-SUMIFS(科目余额表!$F$5:$F$84,科目余额表!$N$5:$N$84,A10)</f>
        <v>0</v>
      </c>
      <c r="E10" t="s">
        <v>300</v>
      </c>
      <c r="F10">
        <v>5</v>
      </c>
      <c r="G10" s="17">
        <f>SUMIFS(科目余额表!$L$5:$L$84,科目余额表!$N$5:$N$84,E10)-SUMIFS(科目余额表!$K$5:$K$84,科目余额表!$N$5:$N$84,E10)</f>
        <v>0</v>
      </c>
      <c r="H10" s="17">
        <f>SUMIFS(科目余额表!$F$5:$F$84,科目余额表!$N$5:$N$84,E10)-SUMIFS(科目余额表!$E$5:$E$84,科目余额表!$N$5:$N$84,E10)</f>
        <v>0</v>
      </c>
    </row>
    <row r="11" spans="1:8">
      <c r="A11" t="s">
        <v>186</v>
      </c>
      <c r="B11">
        <v>6</v>
      </c>
      <c r="C11" s="17">
        <f>SUMIFS(科目余额表!$K$5:$K$84,科目余额表!$N$5:$N$84,A11)-SUMIFS(科目余额表!$L$5:$L$84,科目余额表!$N$5:$N$84,A11)</f>
        <v>0</v>
      </c>
      <c r="D11" s="17">
        <f>SUMIFS(科目余额表!$E$5:$E$84,科目余额表!$N$5:$N$84,A11)-SUMIFS(科目余额表!$F$5:$F$84,科目余额表!$N$5:$N$84,A11)</f>
        <v>0</v>
      </c>
      <c r="E11" t="s">
        <v>302</v>
      </c>
      <c r="F11">
        <v>6</v>
      </c>
      <c r="G11" s="17">
        <f>SUMIFS(科目余额表!$L$5:$L$84,科目余额表!$N$5:$N$84,E11)-SUMIFS(科目余额表!$K$5:$K$84,科目余额表!$N$5:$N$84,E11)</f>
        <v>30000</v>
      </c>
      <c r="H11" s="17">
        <f>SUMIFS(科目余额表!$F$5:$F$84,科目余额表!$N$5:$N$84,E11)-SUMIFS(科目余额表!$E$5:$E$84,科目余额表!$N$5:$N$84,E11)</f>
        <v>30000</v>
      </c>
    </row>
    <row r="12" spans="1:8">
      <c r="A12" t="s">
        <v>200</v>
      </c>
      <c r="B12">
        <v>7</v>
      </c>
      <c r="C12" s="17">
        <f>SUMIFS(科目余额表!$K$5:$K$84,科目余额表!$N$5:$N$84,A12)-SUMIFS(科目余额表!$L$5:$L$84,科目余额表!$N$5:$N$84,A12)</f>
        <v>0</v>
      </c>
      <c r="D12" s="17">
        <f>SUMIFS(科目余额表!$E$5:$E$84,科目余额表!$N$5:$N$84,A12)-SUMIFS(科目余额表!$F$5:$F$84,科目余额表!$N$5:$N$84,A12)</f>
        <v>0</v>
      </c>
      <c r="E12" t="s">
        <v>304</v>
      </c>
      <c r="F12">
        <v>7</v>
      </c>
      <c r="G12" s="17">
        <f>SUMIFS(科目余额表!$L$5:$L$84,科目余额表!$N$5:$N$84,E12)-SUMIFS(科目余额表!$K$5:$K$84,科目余额表!$N$5:$N$84,E12)</f>
        <v>0</v>
      </c>
      <c r="H12" s="17">
        <f>SUMIFS(科目余额表!$F$5:$F$84,科目余额表!$N$5:$N$84,E12)-SUMIFS(科目余额表!$E$5:$E$84,科目余额表!$N$5:$N$84,E12)</f>
        <v>0</v>
      </c>
    </row>
    <row r="13" spans="1:8">
      <c r="A13" t="s">
        <v>214</v>
      </c>
      <c r="B13">
        <v>8</v>
      </c>
      <c r="C13" s="17">
        <f>SUMIFS(科目余额表!$K$5:$K$84,科目余额表!$N$5:$N$84,A13)-SUMIFS(科目余额表!$L$5:$L$84,科目余额表!$N$5:$N$84,A13)</f>
        <v>0</v>
      </c>
      <c r="D13" s="17">
        <f>SUMIFS(科目余额表!$E$5:$E$84,科目余额表!$N$5:$N$84,A13)-SUMIFS(科目余额表!$F$5:$F$84,科目余额表!$N$5:$N$84,A13)</f>
        <v>0</v>
      </c>
      <c r="E13" t="s">
        <v>306</v>
      </c>
      <c r="F13">
        <v>8</v>
      </c>
      <c r="G13" s="17">
        <f>SUMIFS(科目余额表!$L$5:$L$84,科目余额表!$N$5:$N$84,E13)-SUMIFS(科目余额表!$K$5:$K$84,科目余额表!$N$5:$N$84,E13)</f>
        <v>0</v>
      </c>
      <c r="H13" s="17">
        <f>SUMIFS(科目余额表!$F$5:$F$84,科目余额表!$N$5:$N$84,E13)-SUMIFS(科目余额表!$E$5:$E$84,科目余额表!$N$5:$N$84,E13)</f>
        <v>0</v>
      </c>
    </row>
    <row r="14" spans="1:8">
      <c r="A14" t="s">
        <v>226</v>
      </c>
      <c r="B14">
        <v>9</v>
      </c>
      <c r="C14" s="17">
        <f>SUMIFS(科目余额表!$K$5:$K$84,科目余额表!$N$5:$N$84,A14)-SUMIFS(科目余额表!$L$5:$L$84,科目余额表!$N$5:$N$84,A14)</f>
        <v>107260</v>
      </c>
      <c r="D14" s="17">
        <f>SUMIFS(科目余额表!$E$5:$E$84,科目余额表!$N$5:$N$84,A14)-SUMIFS(科目余额表!$F$5:$F$84,科目余额表!$N$5:$N$84,A14)</f>
        <v>100000</v>
      </c>
      <c r="E14" t="s">
        <v>308</v>
      </c>
      <c r="F14">
        <v>9</v>
      </c>
      <c r="G14" s="17">
        <f>SUMIFS(科目余额表!$L$5:$L$84,科目余额表!$N$5:$N$84,E14)-SUMIFS(科目余额表!$K$5:$K$84,科目余额表!$N$5:$N$84,E14)</f>
        <v>0</v>
      </c>
      <c r="H14" s="17">
        <f>SUMIFS(科目余额表!$F$5:$F$84,科目余额表!$N$5:$N$84,E14)-SUMIFS(科目余额表!$E$5:$E$84,科目余额表!$N$5:$N$84,E14)</f>
        <v>0</v>
      </c>
    </row>
    <row r="15" spans="1:8">
      <c r="A15" t="s">
        <v>285</v>
      </c>
      <c r="B15">
        <v>10</v>
      </c>
      <c r="C15" s="17">
        <f>SUMIFS(科目余额表!$K$5:$K$84,科目余额表!$N$5:$N$84,A15)-SUMIFS(科目余额表!$L$5:$L$84,科目余额表!$N$5:$N$84,A15)</f>
        <v>0</v>
      </c>
      <c r="D15" s="17">
        <f>SUMIFS(科目余额表!$E$5:$E$84,科目余额表!$N$5:$N$84,A15)-SUMIFS(科目余额表!$F$5:$F$84,科目余额表!$N$5:$N$84,A15)</f>
        <v>0</v>
      </c>
      <c r="E15" t="s">
        <v>310</v>
      </c>
      <c r="F15">
        <v>10</v>
      </c>
      <c r="G15" s="17">
        <f>SUMIFS(科目余额表!$L$5:$L$84,科目余额表!$N$5:$N$84,E15)-SUMIFS(科目余额表!$K$5:$K$84,科目余额表!$N$5:$N$84,E15)</f>
        <v>0</v>
      </c>
      <c r="H15" s="17">
        <f>SUMIFS(科目余额表!$F$5:$F$84,科目余额表!$N$5:$N$84,E15)-SUMIFS(科目余额表!$E$5:$E$84,科目余额表!$N$5:$N$84,E15)</f>
        <v>0</v>
      </c>
    </row>
    <row r="16" spans="1:8">
      <c r="A16" t="s">
        <v>596</v>
      </c>
      <c r="B16">
        <v>11</v>
      </c>
      <c r="C16" s="17">
        <f>SUM(C6:C15)</f>
        <v>1119940</v>
      </c>
      <c r="D16" s="17">
        <f>SUM(D6:D15)</f>
        <v>1118000</v>
      </c>
      <c r="E16" t="s">
        <v>313</v>
      </c>
      <c r="F16">
        <v>11</v>
      </c>
      <c r="G16" s="17">
        <f>SUMIFS(科目余额表!$L$5:$L$84,科目余额表!$N$5:$N$84,E16)-SUMIFS(科目余额表!$K$5:$K$84,科目余额表!$N$5:$N$84,E16)</f>
        <v>0</v>
      </c>
      <c r="H16" s="17">
        <f>SUMIFS(科目余额表!$F$5:$F$84,科目余额表!$N$5:$N$84,E16)-SUMIFS(科目余额表!$E$5:$E$84,科目余额表!$N$5:$N$84,E16)</f>
        <v>0</v>
      </c>
    </row>
    <row r="17" spans="1:8">
      <c r="C17" s="17"/>
      <c r="D17" s="17"/>
      <c r="E17" t="s">
        <v>317</v>
      </c>
      <c r="F17">
        <v>12</v>
      </c>
      <c r="G17" s="17">
        <f>SUMIFS(科目余额表!$L$5:$L$84,科目余额表!$N$5:$N$84,E17)-SUMIFS(科目余额表!$K$5:$K$84,科目余额表!$N$5:$N$84,E17)</f>
        <v>0</v>
      </c>
      <c r="H17" s="17">
        <f>SUMIFS(科目余额表!$F$5:$F$84,科目余额表!$N$5:$N$84,E17)-SUMIFS(科目余额表!$E$5:$E$84,科目余额表!$N$5:$N$84,E17)</f>
        <v>0</v>
      </c>
    </row>
    <row r="18" spans="1:8">
      <c r="A18" t="s">
        <v>259</v>
      </c>
      <c r="B18">
        <v>13</v>
      </c>
      <c r="C18" s="17">
        <f>SUMIFS(科目余额表!$K$5:$K$84,科目余额表!$N$5:$N$84,A18)-SUMIFS(科目余额表!$L$5:$L$84,科目余额表!$N$5:$N$84,A18)</f>
        <v>0</v>
      </c>
      <c r="D18" s="17">
        <f>SUMIFS(科目余额表!$E$5:$E$84,科目余额表!$N$5:$N$84,A18)-SUMIFS(科目余额表!$F$5:$F$84,科目余额表!$N$5:$N$84,A18)</f>
        <v>0</v>
      </c>
      <c r="E18" t="s">
        <v>597</v>
      </c>
      <c r="F18">
        <v>13</v>
      </c>
      <c r="G18" s="17">
        <f>SUM(G6:G17)</f>
        <v>550300</v>
      </c>
      <c r="H18" s="17">
        <f>SUM(H6:H17)</f>
        <v>540000</v>
      </c>
    </row>
    <row r="19" spans="1:8">
      <c r="A19" t="s">
        <v>262</v>
      </c>
      <c r="B19">
        <v>14</v>
      </c>
      <c r="C19" s="17">
        <f>SUMIFS(科目余额表!$K$5:$K$84,科目余额表!$N$5:$N$84,A19)-SUMIFS(科目余额表!$L$5:$L$84,科目余额表!$N$5:$N$84,A19)</f>
        <v>0</v>
      </c>
      <c r="D19" s="17">
        <f>SUMIFS(科目余额表!$E$5:$E$84,科目余额表!$N$5:$N$84,A19)-SUMIFS(科目余额表!$F$5:$F$84,科目余额表!$N$5:$N$84,A19)</f>
        <v>0</v>
      </c>
      <c r="G19" s="17"/>
      <c r="H19" s="17"/>
    </row>
    <row r="20" spans="1:8">
      <c r="A20" t="s">
        <v>264</v>
      </c>
      <c r="B20">
        <v>15</v>
      </c>
      <c r="C20" s="17">
        <f>SUMIFS(科目余额表!$K$5:$K$84,科目余额表!$N$5:$N$84,A20)-SUMIFS(科目余额表!$L$5:$L$84,科目余额表!$N$5:$N$84,A20)</f>
        <v>0</v>
      </c>
      <c r="D20" s="17">
        <f>SUMIFS(科目余额表!$E$5:$E$84,科目余额表!$N$5:$N$84,A20)-SUMIFS(科目余额表!$F$5:$F$84,科目余额表!$N$5:$N$84,A20)</f>
        <v>0</v>
      </c>
      <c r="E20" t="s">
        <v>319</v>
      </c>
      <c r="F20">
        <v>15</v>
      </c>
      <c r="G20" s="17">
        <f>SUMIFS(科目余额表!$L$5:$L$84,科目余额表!$N$5:$N$84,E20)-SUMIFS(科目余额表!$K$5:$K$84,科目余额表!$N$5:$N$84,E20)</f>
        <v>0</v>
      </c>
      <c r="H20" s="17">
        <f>SUMIFS(科目余额表!$F$5:$F$84,科目余额表!$N$5:$N$84,E20)-SUMIFS(科目余额表!$E$5:$E$84,科目余额表!$N$5:$N$84,E20)</f>
        <v>0</v>
      </c>
    </row>
    <row r="21" spans="1:8">
      <c r="A21" t="s">
        <v>266</v>
      </c>
      <c r="B21">
        <v>16</v>
      </c>
      <c r="C21" s="17">
        <f>SUMIFS(科目余额表!$K$5:$K$84,科目余额表!$N$5:$N$84,A21)-SUMIFS(科目余额表!$L$5:$L$84,科目余额表!$N$5:$N$84,A21)</f>
        <v>600000</v>
      </c>
      <c r="D21" s="17">
        <f>SUMIFS(科目余额表!$E$5:$E$84,科目余额表!$N$5:$N$84,A21)-SUMIFS(科目余额表!$F$5:$F$84,科目余额表!$N$5:$N$84,A21)</f>
        <v>600000</v>
      </c>
      <c r="E21" t="s">
        <v>321</v>
      </c>
      <c r="F21">
        <v>16</v>
      </c>
      <c r="G21" s="17">
        <f>SUMIFS(科目余额表!$L$5:$L$84,科目余额表!$N$5:$N$84,E21)-SUMIFS(科目余额表!$K$5:$K$84,科目余额表!$N$5:$N$84,E21)</f>
        <v>0</v>
      </c>
      <c r="H21" s="17">
        <f>SUMIFS(科目余额表!$F$5:$F$84,科目余额表!$N$5:$N$84,E21)-SUMIFS(科目余额表!$E$5:$E$84,科目余额表!$N$5:$N$84,E21)</f>
        <v>0</v>
      </c>
    </row>
    <row r="22" spans="1:8">
      <c r="A22" t="s">
        <v>270</v>
      </c>
      <c r="B22">
        <v>17</v>
      </c>
      <c r="C22" s="17">
        <f>SUMIFS(科目余额表!$K$5:$K$84,科目余额表!$N$5:$N$84,A22)-SUMIFS(科目余额表!$L$5:$L$84,科目余额表!$N$5:$N$84,A22)</f>
        <v>0</v>
      </c>
      <c r="D22" s="17">
        <f>SUMIFS(科目余额表!$E$5:$E$84,科目余额表!$N$5:$N$84,A22)-SUMIFS(科目余额表!$F$5:$F$84,科目余额表!$N$5:$N$84,A22)</f>
        <v>0</v>
      </c>
      <c r="E22" t="s">
        <v>315</v>
      </c>
      <c r="F22">
        <v>17</v>
      </c>
      <c r="G22" s="17">
        <f>SUMIFS(科目余额表!$L$5:$L$84,科目余额表!$N$5:$N$84,E22)-SUMIFS(科目余额表!$K$5:$K$84,科目余额表!$N$5:$N$84,E22)</f>
        <v>0</v>
      </c>
      <c r="H22" s="17">
        <f>SUMIFS(科目余额表!$F$5:$F$84,科目余额表!$N$5:$N$84,E22)-SUMIFS(科目余额表!$E$5:$E$84,科目余额表!$N$5:$N$84,E22)</f>
        <v>0</v>
      </c>
    </row>
    <row r="23" spans="1:8">
      <c r="A23" t="s">
        <v>276</v>
      </c>
      <c r="B23">
        <v>18</v>
      </c>
      <c r="C23" s="17">
        <f>SUMIFS(科目余额表!$K$5:$K$84,科目余额表!$N$5:$N$84,A23)-SUMIFS(科目余额表!$L$5:$L$84,科目余额表!$N$5:$N$84,A23)</f>
        <v>0</v>
      </c>
      <c r="D23" s="17">
        <f>SUMIFS(科目余额表!$E$5:$E$84,科目余额表!$N$5:$N$84,A23)-SUMIFS(科目余额表!$F$5:$F$84,科目余额表!$N$5:$N$84,A23)</f>
        <v>0</v>
      </c>
      <c r="E23" t="s">
        <v>323</v>
      </c>
      <c r="F23">
        <v>18</v>
      </c>
      <c r="G23" s="17">
        <f>SUMIFS(科目余额表!$L$5:$L$84,科目余额表!$N$5:$N$84,E23)-SUMIFS(科目余额表!$K$5:$K$84,科目余额表!$N$5:$N$84,E23)</f>
        <v>0</v>
      </c>
      <c r="H23" s="17">
        <f>SUMIFS(科目余额表!$F$5:$F$84,科目余额表!$N$5:$N$84,E23)-SUMIFS(科目余额表!$E$5:$E$84,科目余额表!$N$5:$N$84,E23)</f>
        <v>0</v>
      </c>
    </row>
    <row r="24" spans="1:8">
      <c r="A24" t="s">
        <v>347</v>
      </c>
      <c r="B24">
        <v>19</v>
      </c>
      <c r="C24" s="17">
        <f>SUMIFS(科目余额表!$K$5:$K$84,科目余额表!$N$5:$N$84,A24)-SUMIFS(科目余额表!$L$5:$L$84,科目余额表!$N$5:$N$84,A24)</f>
        <v>0</v>
      </c>
      <c r="D24" s="17">
        <f>SUMIFS(科目余额表!$E$5:$E$84,科目余额表!$N$5:$N$84,A24)-SUMIFS(科目余额表!$F$5:$F$84,科目余额表!$N$5:$N$84,A24)</f>
        <v>0</v>
      </c>
      <c r="E24" t="s">
        <v>325</v>
      </c>
      <c r="F24">
        <v>19</v>
      </c>
      <c r="G24" s="17">
        <f>SUMIFS(科目余额表!$L$5:$L$84,科目余额表!$N$5:$N$84,E24)-SUMIFS(科目余额表!$K$5:$K$84,科目余额表!$N$5:$N$84,E24)</f>
        <v>0</v>
      </c>
      <c r="H24" s="17">
        <f>SUMIFS(科目余额表!$F$5:$F$84,科目余额表!$N$5:$N$84,E24)-SUMIFS(科目余额表!$E$5:$E$84,科目余额表!$N$5:$N$84,E24)</f>
        <v>0</v>
      </c>
    </row>
    <row r="25" spans="1:8">
      <c r="A25" t="s">
        <v>280</v>
      </c>
      <c r="B25">
        <v>20</v>
      </c>
      <c r="C25" s="17">
        <f>SUMIFS(科目余额表!$K$5:$K$84,科目余额表!$N$5:$N$84,A25)-SUMIFS(科目余额表!$L$5:$L$84,科目余额表!$N$5:$N$84,A25)</f>
        <v>0</v>
      </c>
      <c r="D25" s="17">
        <f>SUMIFS(科目余额表!$E$5:$E$84,科目余额表!$N$5:$N$84,A25)-SUMIFS(科目余额表!$F$5:$F$84,科目余额表!$N$5:$N$84,A25)</f>
        <v>0</v>
      </c>
      <c r="E25" t="s">
        <v>598</v>
      </c>
      <c r="F25">
        <v>20</v>
      </c>
      <c r="G25" s="17">
        <f>SUM(G20:G24)</f>
        <v>0</v>
      </c>
      <c r="H25" s="17">
        <f>SUM(H20:H24)</f>
        <v>0</v>
      </c>
    </row>
    <row r="26" spans="1:8">
      <c r="A26" t="s">
        <v>282</v>
      </c>
      <c r="B26">
        <v>21</v>
      </c>
      <c r="C26" s="17">
        <f>SUMIFS(科目余额表!$K$5:$K$84,科目余额表!$N$5:$N$84,A26)-SUMIFS(科目余额表!$L$5:$L$84,科目余额表!$N$5:$N$84,A26)</f>
        <v>0</v>
      </c>
      <c r="D26" s="17">
        <f>SUMIFS(科目余额表!$E$5:$E$84,科目余额表!$N$5:$N$84,A26)-SUMIFS(科目余额表!$F$5:$F$84,科目余额表!$N$5:$N$84,A26)</f>
        <v>0</v>
      </c>
      <c r="E26" t="s">
        <v>599</v>
      </c>
      <c r="F26">
        <v>21</v>
      </c>
      <c r="G26" s="17">
        <f>G18+G25</f>
        <v>550300</v>
      </c>
      <c r="H26" s="17">
        <f>H18+H25</f>
        <v>540000</v>
      </c>
    </row>
    <row r="27" spans="1:8">
      <c r="A27" t="s">
        <v>288</v>
      </c>
      <c r="B27">
        <v>22</v>
      </c>
      <c r="C27" s="17">
        <f>SUMIFS(科目余额表!$K$5:$K$84,科目余额表!$N$5:$N$84,A27)-SUMIFS(科目余额表!$L$5:$L$84,科目余额表!$N$5:$N$84,A27)</f>
        <v>0</v>
      </c>
      <c r="D27" s="17">
        <f>SUMIFS(科目余额表!$E$5:$E$84,科目余额表!$N$5:$N$84,A27)-SUMIFS(科目余额表!$F$5:$F$84,科目余额表!$N$5:$N$84,A27)</f>
        <v>0</v>
      </c>
      <c r="G27" s="17"/>
      <c r="H27" s="17"/>
    </row>
    <row r="28" spans="1:8">
      <c r="A28" t="s">
        <v>600</v>
      </c>
      <c r="B28">
        <v>23</v>
      </c>
      <c r="C28" s="17">
        <f>SUM(C18:C27)</f>
        <v>600000</v>
      </c>
      <c r="D28" s="17">
        <f>SUM(D18:D27)</f>
        <v>600000</v>
      </c>
      <c r="E28" t="s">
        <v>327</v>
      </c>
      <c r="F28">
        <v>23</v>
      </c>
      <c r="G28" s="17">
        <f>SUMIFS(科目余额表!$L$5:$L$84,科目余额表!$N$5:$N$84,E28)-SUMIFS(科目余额表!$K$5:$K$84,科目余额表!$N$5:$N$84,E28)</f>
        <v>1000000</v>
      </c>
      <c r="H28" s="17">
        <f>SUMIFS(科目余额表!$F$5:$F$84,科目余额表!$N$5:$N$84,E28)-SUMIFS(科目余额表!$E$5:$E$84,科目余额表!$N$5:$N$84,E28)</f>
        <v>1000000</v>
      </c>
    </row>
    <row r="29" spans="1:8">
      <c r="A29" t="s">
        <v>601</v>
      </c>
      <c r="B29">
        <v>24</v>
      </c>
      <c r="C29" s="17">
        <f>C16+C28</f>
        <v>1719940</v>
      </c>
      <c r="D29" s="17">
        <f>D16+D28</f>
        <v>1718000</v>
      </c>
      <c r="E29" t="s">
        <v>330</v>
      </c>
      <c r="F29">
        <v>24</v>
      </c>
      <c r="G29" s="17">
        <f>SUMIFS(科目余额表!$L$5:$L$84,科目余额表!$N$5:$N$84,E29)-SUMIFS(科目余额表!$K$5:$K$84,科目余额表!$N$5:$N$84,E29)</f>
        <v>0</v>
      </c>
      <c r="H29" s="17">
        <f>SUMIFS(科目余额表!$F$5:$F$84,科目余额表!$N$5:$N$84,E29)-SUMIFS(科目余额表!$E$5:$E$84,科目余额表!$N$5:$N$84,E29)</f>
        <v>0</v>
      </c>
    </row>
    <row r="30" spans="1:8">
      <c r="C30" s="17"/>
      <c r="D30" s="17"/>
      <c r="E30" t="s">
        <v>332</v>
      </c>
      <c r="F30">
        <v>25</v>
      </c>
      <c r="G30" s="17">
        <f>SUMIFS(科目余额表!$L$5:$L$84,科目余额表!$N$5:$N$84,E30)-SUMIFS(科目余额表!$K$5:$K$84,科目余额表!$N$5:$N$84,E30)</f>
        <v>0</v>
      </c>
      <c r="H30" s="17">
        <f>SUMIFS(科目余额表!$F$5:$F$84,科目余额表!$N$5:$N$84,E30)-SUMIFS(科目余额表!$E$5:$E$84,科目余额表!$N$5:$N$84,E30)</f>
        <v>0</v>
      </c>
    </row>
    <row r="31" spans="1:8">
      <c r="C31" s="17"/>
      <c r="D31" s="17"/>
      <c r="E31" t="s">
        <v>337</v>
      </c>
      <c r="F31">
        <v>27</v>
      </c>
      <c r="G31" s="17">
        <f>SUMIFS(科目余额表!$L$5:$L$84,科目余额表!$N$5:$N$84,"未分配利润")-SUMIFS(科目余额表!$K$5:$K$84,科目余额表!$N$5:$N$84,"未分配利润")+利润表!D27</f>
        <v>169640</v>
      </c>
      <c r="H31" s="17">
        <f>SUMIFS(科目余额表!$F$5:$F$84,科目余额表!$N$5:$N$84,"未分配利润")-SUMIFS(科目余额表!$E$5:$E$84,科目余额表!$N$5:$N$84,"未分配利润")</f>
        <v>178000</v>
      </c>
    </row>
    <row r="32" spans="1:8">
      <c r="C32" s="17"/>
      <c r="D32" s="17"/>
      <c r="E32" t="s">
        <v>602</v>
      </c>
      <c r="F32">
        <v>28</v>
      </c>
      <c r="G32" s="17">
        <f>SUM(G28:G31)</f>
        <v>1169640</v>
      </c>
      <c r="H32" s="17">
        <f>SUM(H28:H31)</f>
        <v>1178000</v>
      </c>
    </row>
    <row r="33" spans="3:8">
      <c r="C33" s="17"/>
      <c r="D33" s="17"/>
      <c r="E33" t="s">
        <v>603</v>
      </c>
      <c r="F33">
        <v>29</v>
      </c>
      <c r="G33" s="17">
        <f>G26+G32</f>
        <v>1719940</v>
      </c>
      <c r="H33" s="17">
        <f>H26+H32</f>
        <v>1718000</v>
      </c>
    </row>
  </sheetData>
  <mergeCells count="1">
    <mergeCell ref="A1:H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8"/>
  <sheetViews>
    <sheetView workbookViewId="0">
      <selection activeCell="A1" sqref="A1:N1"/>
    </sheetView>
  </sheetViews>
  <sheetFormatPr defaultColWidth="9" defaultRowHeight="14.25"/>
  <cols>
    <col min="1" max="1" width="10.75" customWidth="1"/>
  </cols>
  <sheetData>
    <row r="1" ht="20.25" spans="1:52">
      <c r="A1" s="45" t="s">
        <v>604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</row>
    <row r="2" spans="1:52">
      <c r="A2" t="s">
        <v>605</v>
      </c>
    </row>
    <row r="4" ht="54" spans="1:52">
      <c r="A4" s="43" t="s">
        <v>410</v>
      </c>
      <c r="B4" s="44" t="s">
        <v>606</v>
      </c>
      <c r="C4" s="44" t="s">
        <v>435</v>
      </c>
      <c r="D4" s="44" t="s">
        <v>607</v>
      </c>
      <c r="E4" s="51" t="s">
        <v>456</v>
      </c>
      <c r="F4" s="44" t="s">
        <v>112</v>
      </c>
      <c r="G4" s="44" t="s">
        <v>372</v>
      </c>
      <c r="H4" s="44" t="s">
        <v>374</v>
      </c>
      <c r="I4" s="44" t="s">
        <v>375</v>
      </c>
      <c r="J4" s="44" t="s">
        <v>377</v>
      </c>
      <c r="K4" s="44" t="s">
        <v>371</v>
      </c>
      <c r="L4" s="44" t="s">
        <v>590</v>
      </c>
      <c r="M4" s="44" t="s">
        <v>592</v>
      </c>
      <c r="N4" s="44" t="s">
        <v>608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52">
      <c r="A5" s="5">
        <f>DATE(YEAR(首页!$B$4),1,1)</f>
        <v>46023</v>
      </c>
      <c r="B5" s="17">
        <f>SUMIFS(销售录入!$I$4:$I$203,销售录入!$B$4:$B$203,TEXT(A5,"yyyy-mm"))</f>
        <v>0</v>
      </c>
      <c r="C5" s="17">
        <f>SUMIFS(销售录入!$K$4:$K$203,销售录入!$B$4:$B$203,TEXT(A5,"yyyy-mm"))</f>
        <v>0</v>
      </c>
      <c r="D5" s="17">
        <f t="shared" ref="D5:D16" si="0">B5-C5</f>
        <v>0</v>
      </c>
      <c r="E5" s="52">
        <f t="shared" ref="E5:E16" si="1">IFERROR(D5/B5,0)</f>
        <v>0</v>
      </c>
      <c r="F5" s="17">
        <f>SUMIFS(凭证计算!$H$86:$H$239,凭证计算!$E$86:$E$239,"6051",凭证计算!$B$86:$B$239,TEXT(A5,"yyyy-mm"))-SUMIFS(凭证计算!$G$86:$G$239,凭证计算!$E$86:$E$239,"6051",凭证计算!$B$86:$B$239,TEXT(A5,"yyyy-mm"))</f>
        <v>0</v>
      </c>
      <c r="G5" s="17">
        <f>SUMIFS(凭证计算!$G$86:$G$239,凭证计算!$E$86:$E$239,"6601",凭证计算!$B$86:$B$239,TEXT(A5,"yyyy-mm"))-SUMIFS(凭证计算!$H$86:$H$239,凭证计算!$E$86:$E$239,"6601",凭证计算!$B$86:$B$239,TEXT(A5,"yyyy-mm"))</f>
        <v>0</v>
      </c>
      <c r="H5" s="17">
        <f>SUMIFS(凭证计算!$G$86:$G$239,凭证计算!$E$86:$E$239,"6602",凭证计算!$B$86:$B$239,TEXT(A5,"yyyy-mm"))-SUMIFS(凭证计算!$H$86:$H$239,凭证计算!$E$86:$E$239,"6602",凭证计算!$B$86:$B$239,TEXT(A5,"yyyy-mm"))</f>
        <v>0</v>
      </c>
      <c r="I5" s="17">
        <f>SUMIFS(凭证计算!$G$86:$G$239,凭证计算!$E$86:$E$239,"6603",凭证计算!$B$86:$B$239,TEXT(A5,"yyyy-mm"))-SUMIFS(凭证计算!$H$86:$H$239,凭证计算!$E$86:$E$239,"6603",凭证计算!$B$86:$B$239,TEXT(A5,"yyyy-mm"))</f>
        <v>0</v>
      </c>
      <c r="J5" s="17">
        <f>SUMIFS(凭证计算!$G$86:$G$239,凭证计算!$E$86:$E$239,"6604",凭证计算!$B$86:$B$239,TEXT(A5,"yyyy-mm"))-SUMIFS(凭证计算!$H$86:$H$239,凭证计算!$E$86:$E$239,"6604",凭证计算!$B$86:$B$239,TEXT(A5,"yyyy-mm"))</f>
        <v>0</v>
      </c>
      <c r="K5" s="17">
        <f>SUMIFS(凭证计算!$G$86:$G$239,凭证计算!$E$86:$E$239,"6403",凭证计算!$B$86:$B$239,TEXT(A5,"yyyy-mm"))-SUMIFS(凭证计算!$H$86:$H$239,凭证计算!$E$86:$E$239,"6403",凭证计算!$B$86:$B$239,TEXT(A5,"yyyy-mm"))</f>
        <v>0</v>
      </c>
      <c r="L5" s="17">
        <f>D5+F5-SUM(G5:K5)+(SUMIFS(凭证计算!$H$86:$H$239,凭证计算!$E$86:$E$239,"6101",凭证计算!$B$86:$B$239,TEXT(A5,"yyyy-mm"))-SUMIFS(凭证计算!$G$86:$G$239,凭证计算!$E$86:$E$239,"6101",凭证计算!$B$86:$B$239,TEXT(A5,"yyyy-mm"))+SUMIFS(凭证计算!$H$86:$H$239,凭证计算!$E$86:$E$239,"6111",凭证计算!$B$86:$B$239,TEXT(A5,"yyyy-mm"))-SUMIFS(凭证计算!$G$86:$G$239,凭证计算!$E$86:$E$239,"6111",凭证计算!$B$86:$B$239,TEXT(A5,"yyyy-mm"))+SUMIFS(凭证计算!$H$86:$H$239,凭证计算!$E$86:$E$239,"6115",凭证计算!$B$86:$B$239,TEXT(A5,"yyyy-mm"))-SUMIFS(凭证计算!$G$86:$G$239,凭证计算!$E$86:$E$239,"6115",凭证计算!$B$86:$B$239,TEXT(A5,"yyyy-mm"))+SUMIFS(凭证计算!$H$86:$H$239,凭证计算!$E$86:$E$239,"6117",凭证计算!$B$86:$B$239,TEXT(A5,"yyyy-mm"))-SUMIFS(凭证计算!$G$86:$G$239,凭证计算!$E$86:$E$239,"6117",凭证计算!$B$86:$B$239,TEXT(A5,"yyyy-mm")))-(SUMIFS(凭证计算!$G$86:$G$239,凭证计算!$E$86:$E$239,"6402",凭证计算!$B$86:$B$239,TEXT(A5,"yyyy-mm"))-SUMIFS(凭证计算!$H$86:$H$239,凭证计算!$E$86:$E$239,"6402",凭证计算!$B$86:$B$239,TEXT(A5,"yyyy-mm"))+SUMIFS(凭证计算!$G$86:$G$239,凭证计算!$E$86:$E$239,"6701",凭证计算!$B$86:$B$239,TEXT(A5,"yyyy-mm"))-SUMIFS(凭证计算!$H$86:$H$239,凭证计算!$E$86:$E$239,"6701",凭证计算!$B$86:$B$239,TEXT(A5,"yyyy-mm"))+SUMIFS(凭证计算!$G$86:$G$239,凭证计算!$E$86:$E$239,"6702",凭证计算!$B$86:$B$239,TEXT(A5,"yyyy-mm"))-SUMIFS(凭证计算!$H$86:$H$239,凭证计算!$E$86:$E$239,"6702",凭证计算!$B$86:$B$239,TEXT(A5,"yyyy-mm")))</f>
        <v>0</v>
      </c>
      <c r="M5" s="17">
        <f>L5+SUMIFS(凭证计算!$H$86:$H$239,凭证计算!$E$86:$E$239,"6301",凭证计算!$B$86:$B$239,TEXT(A5,"yyyy-mm"))-SUMIFS(凭证计算!$G$86:$G$239,凭证计算!$E$86:$E$239,"6301",凭证计算!$B$86:$B$239,TEXT(A5,"yyyy-mm"))-(SUMIFS(凭证计算!$G$86:$G$239,凭证计算!$E$86:$E$239,"6711",凭证计算!$B$86:$B$239,TEXT(A5,"yyyy-mm"))-SUMIFS(凭证计算!$H$86:$H$239,凭证计算!$E$86:$E$239,"6711",凭证计算!$B$86:$B$239,TEXT(A5,"yyyy-mm")))-(SUMIFS(凭证计算!$G$86:$G$239,凭证计算!$E$86:$E$239,"6801",凭证计算!$B$86:$B$239,TEXT(A5,"yyyy-mm"))-SUMIFS(凭证计算!$H$86:$H$239,凭证计算!$E$86:$E$239,"6801",凭证计算!$B$86:$B$239,TEXT(A5,"yyyy-mm")))</f>
        <v>0</v>
      </c>
      <c r="N5" s="17">
        <f>SUMIFS(资金流水!$J$4:$J$203,资金流水!$B$4:$B$203,TEXT(A5,"yyyy-mm"))-SUMIFS(资金流水!$K$4:$K$203,资金流水!$B$4:$B$203,TEXT(A5,"yyyy-mm"),资金流水!$D$4:$D$203,"&lt;&gt;账户转账")</f>
        <v>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52">
      <c r="A6" s="5">
        <f>DATE(YEAR(首页!$B$4),2,1)</f>
        <v>46054</v>
      </c>
      <c r="B6" s="17">
        <f>SUMIFS(销售录入!$I$4:$I$203,销售录入!$B$4:$B$203,TEXT(A6,"yyyy-mm"))</f>
        <v>0</v>
      </c>
      <c r="C6" s="17">
        <f>SUMIFS(销售录入!$K$4:$K$203,销售录入!$B$4:$B$203,TEXT(A6,"yyyy-mm"))</f>
        <v>0</v>
      </c>
      <c r="D6" s="17">
        <f t="shared" si="0"/>
        <v>0</v>
      </c>
      <c r="E6" s="52">
        <f t="shared" si="1"/>
        <v>0</v>
      </c>
      <c r="F6" s="17">
        <f>SUMIFS(凭证计算!$H$86:$H$239,凭证计算!$E$86:$E$239,"6051",凭证计算!$B$86:$B$239,TEXT(A6,"yyyy-mm"))-SUMIFS(凭证计算!$G$86:$G$239,凭证计算!$E$86:$E$239,"6051",凭证计算!$B$86:$B$239,TEXT(A6,"yyyy-mm"))</f>
        <v>0</v>
      </c>
      <c r="G6" s="17">
        <f>SUMIFS(凭证计算!$G$86:$G$239,凭证计算!$E$86:$E$239,"6601",凭证计算!$B$86:$B$239,TEXT(A6,"yyyy-mm"))-SUMIFS(凭证计算!$H$86:$H$239,凭证计算!$E$86:$E$239,"6601",凭证计算!$B$86:$B$239,TEXT(A6,"yyyy-mm"))</f>
        <v>0</v>
      </c>
      <c r="H6" s="17">
        <f>SUMIFS(凭证计算!$G$86:$G$239,凭证计算!$E$86:$E$239,"6602",凭证计算!$B$86:$B$239,TEXT(A6,"yyyy-mm"))-SUMIFS(凭证计算!$H$86:$H$239,凭证计算!$E$86:$E$239,"6602",凭证计算!$B$86:$B$239,TEXT(A6,"yyyy-mm"))</f>
        <v>0</v>
      </c>
      <c r="I6" s="17">
        <f>SUMIFS(凭证计算!$G$86:$G$239,凭证计算!$E$86:$E$239,"6603",凭证计算!$B$86:$B$239,TEXT(A6,"yyyy-mm"))-SUMIFS(凭证计算!$H$86:$H$239,凭证计算!$E$86:$E$239,"6603",凭证计算!$B$86:$B$239,TEXT(A6,"yyyy-mm"))</f>
        <v>0</v>
      </c>
      <c r="J6" s="17">
        <f>SUMIFS(凭证计算!$G$86:$G$239,凭证计算!$E$86:$E$239,"6604",凭证计算!$B$86:$B$239,TEXT(A6,"yyyy-mm"))-SUMIFS(凭证计算!$H$86:$H$239,凭证计算!$E$86:$E$239,"6604",凭证计算!$B$86:$B$239,TEXT(A6,"yyyy-mm"))</f>
        <v>0</v>
      </c>
      <c r="K6" s="17">
        <f>SUMIFS(凭证计算!$G$86:$G$239,凭证计算!$E$86:$E$239,"6403",凭证计算!$B$86:$B$239,TEXT(A6,"yyyy-mm"))-SUMIFS(凭证计算!$H$86:$H$239,凭证计算!$E$86:$E$239,"6403",凭证计算!$B$86:$B$239,TEXT(A6,"yyyy-mm"))</f>
        <v>0</v>
      </c>
      <c r="L6" s="17">
        <f>D6+F6-SUM(G6:K6)+(SUMIFS(凭证计算!$H$86:$H$239,凭证计算!$E$86:$E$239,"6101",凭证计算!$B$86:$B$239,TEXT(A6,"yyyy-mm"))-SUMIFS(凭证计算!$G$86:$G$239,凭证计算!$E$86:$E$239,"6101",凭证计算!$B$86:$B$239,TEXT(A6,"yyyy-mm"))+SUMIFS(凭证计算!$H$86:$H$239,凭证计算!$E$86:$E$239,"6111",凭证计算!$B$86:$B$239,TEXT(A6,"yyyy-mm"))-SUMIFS(凭证计算!$G$86:$G$239,凭证计算!$E$86:$E$239,"6111",凭证计算!$B$86:$B$239,TEXT(A6,"yyyy-mm"))+SUMIFS(凭证计算!$H$86:$H$239,凭证计算!$E$86:$E$239,"6115",凭证计算!$B$86:$B$239,TEXT(A6,"yyyy-mm"))-SUMIFS(凭证计算!$G$86:$G$239,凭证计算!$E$86:$E$239,"6115",凭证计算!$B$86:$B$239,TEXT(A6,"yyyy-mm"))+SUMIFS(凭证计算!$H$86:$H$239,凭证计算!$E$86:$E$239,"6117",凭证计算!$B$86:$B$239,TEXT(A6,"yyyy-mm"))-SUMIFS(凭证计算!$G$86:$G$239,凭证计算!$E$86:$E$239,"6117",凭证计算!$B$86:$B$239,TEXT(A6,"yyyy-mm")))-(SUMIFS(凭证计算!$G$86:$G$239,凭证计算!$E$86:$E$239,"6402",凭证计算!$B$86:$B$239,TEXT(A6,"yyyy-mm"))-SUMIFS(凭证计算!$H$86:$H$239,凭证计算!$E$86:$E$239,"6402",凭证计算!$B$86:$B$239,TEXT(A6,"yyyy-mm"))+SUMIFS(凭证计算!$G$86:$G$239,凭证计算!$E$86:$E$239,"6701",凭证计算!$B$86:$B$239,TEXT(A6,"yyyy-mm"))-SUMIFS(凭证计算!$H$86:$H$239,凭证计算!$E$86:$E$239,"6701",凭证计算!$B$86:$B$239,TEXT(A6,"yyyy-mm"))+SUMIFS(凭证计算!$G$86:$G$239,凭证计算!$E$86:$E$239,"6702",凭证计算!$B$86:$B$239,TEXT(A6,"yyyy-mm"))-SUMIFS(凭证计算!$H$86:$H$239,凭证计算!$E$86:$E$239,"6702",凭证计算!$B$86:$B$239,TEXT(A6,"yyyy-mm")))</f>
        <v>0</v>
      </c>
      <c r="M6" s="17">
        <f>L6+SUMIFS(凭证计算!$H$86:$H$239,凭证计算!$E$86:$E$239,"6301",凭证计算!$B$86:$B$239,TEXT(A6,"yyyy-mm"))-SUMIFS(凭证计算!$G$86:$G$239,凭证计算!$E$86:$E$239,"6301",凭证计算!$B$86:$B$239,TEXT(A6,"yyyy-mm"))-(SUMIFS(凭证计算!$G$86:$G$239,凭证计算!$E$86:$E$239,"6711",凭证计算!$B$86:$B$239,TEXT(A6,"yyyy-mm"))-SUMIFS(凭证计算!$H$86:$H$239,凭证计算!$E$86:$E$239,"6711",凭证计算!$B$86:$B$239,TEXT(A6,"yyyy-mm")))-(SUMIFS(凭证计算!$G$86:$G$239,凭证计算!$E$86:$E$239,"6801",凭证计算!$B$86:$B$239,TEXT(A6,"yyyy-mm"))-SUMIFS(凭证计算!$H$86:$H$239,凭证计算!$E$86:$E$239,"6801",凭证计算!$B$86:$B$239,TEXT(A6,"yyyy-mm")))</f>
        <v>0</v>
      </c>
      <c r="N6" s="17">
        <f>SUMIFS(资金流水!$J$4:$J$203,资金流水!$B$4:$B$203,TEXT(A6,"yyyy-mm"))-SUMIFS(资金流水!$K$4:$K$203,资金流水!$B$4:$B$203,TEXT(A6,"yyyy-mm"),资金流水!$D$4:$D$203,"&lt;&gt;账户转账")</f>
        <v>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52">
      <c r="A7" s="5">
        <f>DATE(YEAR(首页!$B$4),3,1)</f>
        <v>46082</v>
      </c>
      <c r="B7" s="17">
        <f>SUMIFS(销售录入!$I$4:$I$203,销售录入!$B$4:$B$203,TEXT(A7,"yyyy-mm"))</f>
        <v>0</v>
      </c>
      <c r="C7" s="17">
        <f>SUMIFS(销售录入!$K$4:$K$203,销售录入!$B$4:$B$203,TEXT(A7,"yyyy-mm"))</f>
        <v>0</v>
      </c>
      <c r="D7" s="17">
        <f t="shared" si="0"/>
        <v>0</v>
      </c>
      <c r="E7" s="52">
        <f t="shared" si="1"/>
        <v>0</v>
      </c>
      <c r="F7" s="17">
        <f>SUMIFS(凭证计算!$H$86:$H$239,凭证计算!$E$86:$E$239,"6051",凭证计算!$B$86:$B$239,TEXT(A7,"yyyy-mm"))-SUMIFS(凭证计算!$G$86:$G$239,凭证计算!$E$86:$E$239,"6051",凭证计算!$B$86:$B$239,TEXT(A7,"yyyy-mm"))</f>
        <v>0</v>
      </c>
      <c r="G7" s="17">
        <f>SUMIFS(凭证计算!$G$86:$G$239,凭证计算!$E$86:$E$239,"6601",凭证计算!$B$86:$B$239,TEXT(A7,"yyyy-mm"))-SUMIFS(凭证计算!$H$86:$H$239,凭证计算!$E$86:$E$239,"6601",凭证计算!$B$86:$B$239,TEXT(A7,"yyyy-mm"))</f>
        <v>0</v>
      </c>
      <c r="H7" s="17">
        <f>SUMIFS(凭证计算!$G$86:$G$239,凭证计算!$E$86:$E$239,"6602",凭证计算!$B$86:$B$239,TEXT(A7,"yyyy-mm"))-SUMIFS(凭证计算!$H$86:$H$239,凭证计算!$E$86:$E$239,"6602",凭证计算!$B$86:$B$239,TEXT(A7,"yyyy-mm"))</f>
        <v>0</v>
      </c>
      <c r="I7" s="17">
        <f>SUMIFS(凭证计算!$G$86:$G$239,凭证计算!$E$86:$E$239,"6603",凭证计算!$B$86:$B$239,TEXT(A7,"yyyy-mm"))-SUMIFS(凭证计算!$H$86:$H$239,凭证计算!$E$86:$E$239,"6603",凭证计算!$B$86:$B$239,TEXT(A7,"yyyy-mm"))</f>
        <v>0</v>
      </c>
      <c r="J7" s="17">
        <f>SUMIFS(凭证计算!$G$86:$G$239,凭证计算!$E$86:$E$239,"6604",凭证计算!$B$86:$B$239,TEXT(A7,"yyyy-mm"))-SUMIFS(凭证计算!$H$86:$H$239,凭证计算!$E$86:$E$239,"6604",凭证计算!$B$86:$B$239,TEXT(A7,"yyyy-mm"))</f>
        <v>0</v>
      </c>
      <c r="K7" s="17">
        <f>SUMIFS(凭证计算!$G$86:$G$239,凭证计算!$E$86:$E$239,"6403",凭证计算!$B$86:$B$239,TEXT(A7,"yyyy-mm"))-SUMIFS(凭证计算!$H$86:$H$239,凭证计算!$E$86:$E$239,"6403",凭证计算!$B$86:$B$239,TEXT(A7,"yyyy-mm"))</f>
        <v>0</v>
      </c>
      <c r="L7" s="17">
        <f>D7+F7-SUM(G7:K7)+(SUMIFS(凭证计算!$H$86:$H$239,凭证计算!$E$86:$E$239,"6101",凭证计算!$B$86:$B$239,TEXT(A7,"yyyy-mm"))-SUMIFS(凭证计算!$G$86:$G$239,凭证计算!$E$86:$E$239,"6101",凭证计算!$B$86:$B$239,TEXT(A7,"yyyy-mm"))+SUMIFS(凭证计算!$H$86:$H$239,凭证计算!$E$86:$E$239,"6111",凭证计算!$B$86:$B$239,TEXT(A7,"yyyy-mm"))-SUMIFS(凭证计算!$G$86:$G$239,凭证计算!$E$86:$E$239,"6111",凭证计算!$B$86:$B$239,TEXT(A7,"yyyy-mm"))+SUMIFS(凭证计算!$H$86:$H$239,凭证计算!$E$86:$E$239,"6115",凭证计算!$B$86:$B$239,TEXT(A7,"yyyy-mm"))-SUMIFS(凭证计算!$G$86:$G$239,凭证计算!$E$86:$E$239,"6115",凭证计算!$B$86:$B$239,TEXT(A7,"yyyy-mm"))+SUMIFS(凭证计算!$H$86:$H$239,凭证计算!$E$86:$E$239,"6117",凭证计算!$B$86:$B$239,TEXT(A7,"yyyy-mm"))-SUMIFS(凭证计算!$G$86:$G$239,凭证计算!$E$86:$E$239,"6117",凭证计算!$B$86:$B$239,TEXT(A7,"yyyy-mm")))-(SUMIFS(凭证计算!$G$86:$G$239,凭证计算!$E$86:$E$239,"6402",凭证计算!$B$86:$B$239,TEXT(A7,"yyyy-mm"))-SUMIFS(凭证计算!$H$86:$H$239,凭证计算!$E$86:$E$239,"6402",凭证计算!$B$86:$B$239,TEXT(A7,"yyyy-mm"))+SUMIFS(凭证计算!$G$86:$G$239,凭证计算!$E$86:$E$239,"6701",凭证计算!$B$86:$B$239,TEXT(A7,"yyyy-mm"))-SUMIFS(凭证计算!$H$86:$H$239,凭证计算!$E$86:$E$239,"6701",凭证计算!$B$86:$B$239,TEXT(A7,"yyyy-mm"))+SUMIFS(凭证计算!$G$86:$G$239,凭证计算!$E$86:$E$239,"6702",凭证计算!$B$86:$B$239,TEXT(A7,"yyyy-mm"))-SUMIFS(凭证计算!$H$86:$H$239,凭证计算!$E$86:$E$239,"6702",凭证计算!$B$86:$B$239,TEXT(A7,"yyyy-mm")))</f>
        <v>0</v>
      </c>
      <c r="M7" s="17">
        <f>L7+SUMIFS(凭证计算!$H$86:$H$239,凭证计算!$E$86:$E$239,"6301",凭证计算!$B$86:$B$239,TEXT(A7,"yyyy-mm"))-SUMIFS(凭证计算!$G$86:$G$239,凭证计算!$E$86:$E$239,"6301",凭证计算!$B$86:$B$239,TEXT(A7,"yyyy-mm"))-(SUMIFS(凭证计算!$G$86:$G$239,凭证计算!$E$86:$E$239,"6711",凭证计算!$B$86:$B$239,TEXT(A7,"yyyy-mm"))-SUMIFS(凭证计算!$H$86:$H$239,凭证计算!$E$86:$E$239,"6711",凭证计算!$B$86:$B$239,TEXT(A7,"yyyy-mm")))-(SUMIFS(凭证计算!$G$86:$G$239,凭证计算!$E$86:$E$239,"6801",凭证计算!$B$86:$B$239,TEXT(A7,"yyyy-mm"))-SUMIFS(凭证计算!$H$86:$H$239,凭证计算!$E$86:$E$239,"6801",凭证计算!$B$86:$B$239,TEXT(A7,"yyyy-mm")))</f>
        <v>0</v>
      </c>
      <c r="N7" s="17">
        <f>SUMIFS(资金流水!$J$4:$J$203,资金流水!$B$4:$B$203,TEXT(A7,"yyyy-mm"))-SUMIFS(资金流水!$K$4:$K$203,资金流水!$B$4:$B$203,TEXT(A7,"yyyy-mm"),资金流水!$D$4:$D$203,"&lt;&gt;账户转账")</f>
        <v>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52">
      <c r="A8" s="5">
        <f>DATE(YEAR(首页!$B$4),4,1)</f>
        <v>46113</v>
      </c>
      <c r="B8" s="17">
        <f>SUMIFS(销售录入!$I$4:$I$203,销售录入!$B$4:$B$203,TEXT(A8,"yyyy-mm"))</f>
        <v>0</v>
      </c>
      <c r="C8" s="17">
        <f>SUMIFS(销售录入!$K$4:$K$203,销售录入!$B$4:$B$203,TEXT(A8,"yyyy-mm"))</f>
        <v>0</v>
      </c>
      <c r="D8" s="17">
        <f t="shared" si="0"/>
        <v>0</v>
      </c>
      <c r="E8" s="52">
        <f t="shared" si="1"/>
        <v>0</v>
      </c>
      <c r="F8" s="17">
        <f>SUMIFS(凭证计算!$H$86:$H$239,凭证计算!$E$86:$E$239,"6051",凭证计算!$B$86:$B$239,TEXT(A8,"yyyy-mm"))-SUMIFS(凭证计算!$G$86:$G$239,凭证计算!$E$86:$E$239,"6051",凭证计算!$B$86:$B$239,TEXT(A8,"yyyy-mm"))</f>
        <v>0</v>
      </c>
      <c r="G8" s="17">
        <f>SUMIFS(凭证计算!$G$86:$G$239,凭证计算!$E$86:$E$239,"6601",凭证计算!$B$86:$B$239,TEXT(A8,"yyyy-mm"))-SUMIFS(凭证计算!$H$86:$H$239,凭证计算!$E$86:$E$239,"6601",凭证计算!$B$86:$B$239,TEXT(A8,"yyyy-mm"))</f>
        <v>0</v>
      </c>
      <c r="H8" s="17">
        <f>SUMIFS(凭证计算!$G$86:$G$239,凭证计算!$E$86:$E$239,"6602",凭证计算!$B$86:$B$239,TEXT(A8,"yyyy-mm"))-SUMIFS(凭证计算!$H$86:$H$239,凭证计算!$E$86:$E$239,"6602",凭证计算!$B$86:$B$239,TEXT(A8,"yyyy-mm"))</f>
        <v>0</v>
      </c>
      <c r="I8" s="17">
        <f>SUMIFS(凭证计算!$G$86:$G$239,凭证计算!$E$86:$E$239,"6603",凭证计算!$B$86:$B$239,TEXT(A8,"yyyy-mm"))-SUMIFS(凭证计算!$H$86:$H$239,凭证计算!$E$86:$E$239,"6603",凭证计算!$B$86:$B$239,TEXT(A8,"yyyy-mm"))</f>
        <v>0</v>
      </c>
      <c r="J8" s="17">
        <f>SUMIFS(凭证计算!$G$86:$G$239,凭证计算!$E$86:$E$239,"6604",凭证计算!$B$86:$B$239,TEXT(A8,"yyyy-mm"))-SUMIFS(凭证计算!$H$86:$H$239,凭证计算!$E$86:$E$239,"6604",凭证计算!$B$86:$B$239,TEXT(A8,"yyyy-mm"))</f>
        <v>0</v>
      </c>
      <c r="K8" s="17">
        <f>SUMIFS(凭证计算!$G$86:$G$239,凭证计算!$E$86:$E$239,"6403",凭证计算!$B$86:$B$239,TEXT(A8,"yyyy-mm"))-SUMIFS(凭证计算!$H$86:$H$239,凭证计算!$E$86:$E$239,"6403",凭证计算!$B$86:$B$239,TEXT(A8,"yyyy-mm"))</f>
        <v>0</v>
      </c>
      <c r="L8" s="17">
        <f>D8+F8-SUM(G8:K8)+(SUMIFS(凭证计算!$H$86:$H$239,凭证计算!$E$86:$E$239,"6101",凭证计算!$B$86:$B$239,TEXT(A8,"yyyy-mm"))-SUMIFS(凭证计算!$G$86:$G$239,凭证计算!$E$86:$E$239,"6101",凭证计算!$B$86:$B$239,TEXT(A8,"yyyy-mm"))+SUMIFS(凭证计算!$H$86:$H$239,凭证计算!$E$86:$E$239,"6111",凭证计算!$B$86:$B$239,TEXT(A8,"yyyy-mm"))-SUMIFS(凭证计算!$G$86:$G$239,凭证计算!$E$86:$E$239,"6111",凭证计算!$B$86:$B$239,TEXT(A8,"yyyy-mm"))+SUMIFS(凭证计算!$H$86:$H$239,凭证计算!$E$86:$E$239,"6115",凭证计算!$B$86:$B$239,TEXT(A8,"yyyy-mm"))-SUMIFS(凭证计算!$G$86:$G$239,凭证计算!$E$86:$E$239,"6115",凭证计算!$B$86:$B$239,TEXT(A8,"yyyy-mm"))+SUMIFS(凭证计算!$H$86:$H$239,凭证计算!$E$86:$E$239,"6117",凭证计算!$B$86:$B$239,TEXT(A8,"yyyy-mm"))-SUMIFS(凭证计算!$G$86:$G$239,凭证计算!$E$86:$E$239,"6117",凭证计算!$B$86:$B$239,TEXT(A8,"yyyy-mm")))-(SUMIFS(凭证计算!$G$86:$G$239,凭证计算!$E$86:$E$239,"6402",凭证计算!$B$86:$B$239,TEXT(A8,"yyyy-mm"))-SUMIFS(凭证计算!$H$86:$H$239,凭证计算!$E$86:$E$239,"6402",凭证计算!$B$86:$B$239,TEXT(A8,"yyyy-mm"))+SUMIFS(凭证计算!$G$86:$G$239,凭证计算!$E$86:$E$239,"6701",凭证计算!$B$86:$B$239,TEXT(A8,"yyyy-mm"))-SUMIFS(凭证计算!$H$86:$H$239,凭证计算!$E$86:$E$239,"6701",凭证计算!$B$86:$B$239,TEXT(A8,"yyyy-mm"))+SUMIFS(凭证计算!$G$86:$G$239,凭证计算!$E$86:$E$239,"6702",凭证计算!$B$86:$B$239,TEXT(A8,"yyyy-mm"))-SUMIFS(凭证计算!$H$86:$H$239,凭证计算!$E$86:$E$239,"6702",凭证计算!$B$86:$B$239,TEXT(A8,"yyyy-mm")))</f>
        <v>0</v>
      </c>
      <c r="M8" s="17">
        <f>L8+SUMIFS(凭证计算!$H$86:$H$239,凭证计算!$E$86:$E$239,"6301",凭证计算!$B$86:$B$239,TEXT(A8,"yyyy-mm"))-SUMIFS(凭证计算!$G$86:$G$239,凭证计算!$E$86:$E$239,"6301",凭证计算!$B$86:$B$239,TEXT(A8,"yyyy-mm"))-(SUMIFS(凭证计算!$G$86:$G$239,凭证计算!$E$86:$E$239,"6711",凭证计算!$B$86:$B$239,TEXT(A8,"yyyy-mm"))-SUMIFS(凭证计算!$H$86:$H$239,凭证计算!$E$86:$E$239,"6711",凭证计算!$B$86:$B$239,TEXT(A8,"yyyy-mm")))-(SUMIFS(凭证计算!$G$86:$G$239,凭证计算!$E$86:$E$239,"6801",凭证计算!$B$86:$B$239,TEXT(A8,"yyyy-mm"))-SUMIFS(凭证计算!$H$86:$H$239,凭证计算!$E$86:$E$239,"6801",凭证计算!$B$86:$B$239,TEXT(A8,"yyyy-mm")))</f>
        <v>0</v>
      </c>
      <c r="N8" s="17">
        <f>SUMIFS(资金流水!$J$4:$J$203,资金流水!$B$4:$B$203,TEXT(A8,"yyyy-mm"))-SUMIFS(资金流水!$K$4:$K$203,资金流水!$B$4:$B$203,TEXT(A8,"yyyy-mm"),资金流水!$D$4:$D$203,"&lt;&gt;账户转账")</f>
        <v>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52">
      <c r="A9" s="5">
        <f>DATE(YEAR(首页!$B$4),5,1)</f>
        <v>46143</v>
      </c>
      <c r="B9" s="17">
        <f>SUMIFS(销售录入!$I$4:$I$203,销售录入!$B$4:$B$203,TEXT(A9,"yyyy-mm"))</f>
        <v>0</v>
      </c>
      <c r="C9" s="17">
        <f>SUMIFS(销售录入!$K$4:$K$203,销售录入!$B$4:$B$203,TEXT(A9,"yyyy-mm"))</f>
        <v>0</v>
      </c>
      <c r="D9" s="17">
        <f t="shared" si="0"/>
        <v>0</v>
      </c>
      <c r="E9" s="52">
        <f t="shared" si="1"/>
        <v>0</v>
      </c>
      <c r="F9" s="17">
        <f>SUMIFS(凭证计算!$H$86:$H$239,凭证计算!$E$86:$E$239,"6051",凭证计算!$B$86:$B$239,TEXT(A9,"yyyy-mm"))-SUMIFS(凭证计算!$G$86:$G$239,凭证计算!$E$86:$E$239,"6051",凭证计算!$B$86:$B$239,TEXT(A9,"yyyy-mm"))</f>
        <v>0</v>
      </c>
      <c r="G9" s="17">
        <f>SUMIFS(凭证计算!$G$86:$G$239,凭证计算!$E$86:$E$239,"6601",凭证计算!$B$86:$B$239,TEXT(A9,"yyyy-mm"))-SUMIFS(凭证计算!$H$86:$H$239,凭证计算!$E$86:$E$239,"6601",凭证计算!$B$86:$B$239,TEXT(A9,"yyyy-mm"))</f>
        <v>0</v>
      </c>
      <c r="H9" s="17">
        <f>SUMIFS(凭证计算!$G$86:$G$239,凭证计算!$E$86:$E$239,"6602",凭证计算!$B$86:$B$239,TEXT(A9,"yyyy-mm"))-SUMIFS(凭证计算!$H$86:$H$239,凭证计算!$E$86:$E$239,"6602",凭证计算!$B$86:$B$239,TEXT(A9,"yyyy-mm"))</f>
        <v>0</v>
      </c>
      <c r="I9" s="17">
        <f>SUMIFS(凭证计算!$G$86:$G$239,凭证计算!$E$86:$E$239,"6603",凭证计算!$B$86:$B$239,TEXT(A9,"yyyy-mm"))-SUMIFS(凭证计算!$H$86:$H$239,凭证计算!$E$86:$E$239,"6603",凭证计算!$B$86:$B$239,TEXT(A9,"yyyy-mm"))</f>
        <v>0</v>
      </c>
      <c r="J9" s="17">
        <f>SUMIFS(凭证计算!$G$86:$G$239,凭证计算!$E$86:$E$239,"6604",凭证计算!$B$86:$B$239,TEXT(A9,"yyyy-mm"))-SUMIFS(凭证计算!$H$86:$H$239,凭证计算!$E$86:$E$239,"6604",凭证计算!$B$86:$B$239,TEXT(A9,"yyyy-mm"))</f>
        <v>0</v>
      </c>
      <c r="K9" s="17">
        <f>SUMIFS(凭证计算!$G$86:$G$239,凭证计算!$E$86:$E$239,"6403",凭证计算!$B$86:$B$239,TEXT(A9,"yyyy-mm"))-SUMIFS(凭证计算!$H$86:$H$239,凭证计算!$E$86:$E$239,"6403",凭证计算!$B$86:$B$239,TEXT(A9,"yyyy-mm"))</f>
        <v>0</v>
      </c>
      <c r="L9" s="17">
        <f>D9+F9-SUM(G9:K9)+(SUMIFS(凭证计算!$H$86:$H$239,凭证计算!$E$86:$E$239,"6101",凭证计算!$B$86:$B$239,TEXT(A9,"yyyy-mm"))-SUMIFS(凭证计算!$G$86:$G$239,凭证计算!$E$86:$E$239,"6101",凭证计算!$B$86:$B$239,TEXT(A9,"yyyy-mm"))+SUMIFS(凭证计算!$H$86:$H$239,凭证计算!$E$86:$E$239,"6111",凭证计算!$B$86:$B$239,TEXT(A9,"yyyy-mm"))-SUMIFS(凭证计算!$G$86:$G$239,凭证计算!$E$86:$E$239,"6111",凭证计算!$B$86:$B$239,TEXT(A9,"yyyy-mm"))+SUMIFS(凭证计算!$H$86:$H$239,凭证计算!$E$86:$E$239,"6115",凭证计算!$B$86:$B$239,TEXT(A9,"yyyy-mm"))-SUMIFS(凭证计算!$G$86:$G$239,凭证计算!$E$86:$E$239,"6115",凭证计算!$B$86:$B$239,TEXT(A9,"yyyy-mm"))+SUMIFS(凭证计算!$H$86:$H$239,凭证计算!$E$86:$E$239,"6117",凭证计算!$B$86:$B$239,TEXT(A9,"yyyy-mm"))-SUMIFS(凭证计算!$G$86:$G$239,凭证计算!$E$86:$E$239,"6117",凭证计算!$B$86:$B$239,TEXT(A9,"yyyy-mm")))-(SUMIFS(凭证计算!$G$86:$G$239,凭证计算!$E$86:$E$239,"6402",凭证计算!$B$86:$B$239,TEXT(A9,"yyyy-mm"))-SUMIFS(凭证计算!$H$86:$H$239,凭证计算!$E$86:$E$239,"6402",凭证计算!$B$86:$B$239,TEXT(A9,"yyyy-mm"))+SUMIFS(凭证计算!$G$86:$G$239,凭证计算!$E$86:$E$239,"6701",凭证计算!$B$86:$B$239,TEXT(A9,"yyyy-mm"))-SUMIFS(凭证计算!$H$86:$H$239,凭证计算!$E$86:$E$239,"6701",凭证计算!$B$86:$B$239,TEXT(A9,"yyyy-mm"))+SUMIFS(凭证计算!$G$86:$G$239,凭证计算!$E$86:$E$239,"6702",凭证计算!$B$86:$B$239,TEXT(A9,"yyyy-mm"))-SUMIFS(凭证计算!$H$86:$H$239,凭证计算!$E$86:$E$239,"6702",凭证计算!$B$86:$B$239,TEXT(A9,"yyyy-mm")))</f>
        <v>0</v>
      </c>
      <c r="M9" s="17">
        <f>L9+SUMIFS(凭证计算!$H$86:$H$239,凭证计算!$E$86:$E$239,"6301",凭证计算!$B$86:$B$239,TEXT(A9,"yyyy-mm"))-SUMIFS(凭证计算!$G$86:$G$239,凭证计算!$E$86:$E$239,"6301",凭证计算!$B$86:$B$239,TEXT(A9,"yyyy-mm"))-(SUMIFS(凭证计算!$G$86:$G$239,凭证计算!$E$86:$E$239,"6711",凭证计算!$B$86:$B$239,TEXT(A9,"yyyy-mm"))-SUMIFS(凭证计算!$H$86:$H$239,凭证计算!$E$86:$E$239,"6711",凭证计算!$B$86:$B$239,TEXT(A9,"yyyy-mm")))-(SUMIFS(凭证计算!$G$86:$G$239,凭证计算!$E$86:$E$239,"6801",凭证计算!$B$86:$B$239,TEXT(A9,"yyyy-mm"))-SUMIFS(凭证计算!$H$86:$H$239,凭证计算!$E$86:$E$239,"6801",凭证计算!$B$86:$B$239,TEXT(A9,"yyyy-mm")))</f>
        <v>0</v>
      </c>
      <c r="N9" s="17">
        <f>SUMIFS(资金流水!$J$4:$J$203,资金流水!$B$4:$B$203,TEXT(A9,"yyyy-mm"))-SUMIFS(资金流水!$K$4:$K$203,资金流水!$B$4:$B$203,TEXT(A9,"yyyy-mm"),资金流水!$D$4:$D$203,"&lt;&gt;账户转账")</f>
        <v>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52">
      <c r="A10" s="5">
        <f>DATE(YEAR(首页!$B$4),6,1)</f>
        <v>46174</v>
      </c>
      <c r="B10" s="17">
        <f>SUMIFS(销售录入!$I$4:$I$203,销售录入!$B$4:$B$203,TEXT(A10,"yyyy-mm"))</f>
        <v>26080</v>
      </c>
      <c r="C10" s="17">
        <f>SUMIFS(销售录入!$K$4:$K$203,销售录入!$B$4:$B$203,TEXT(A10,"yyyy-mm"))</f>
        <v>13040</v>
      </c>
      <c r="D10" s="17">
        <f t="shared" si="0"/>
        <v>13040</v>
      </c>
      <c r="E10" s="52">
        <f t="shared" si="1"/>
        <v>0.5</v>
      </c>
      <c r="F10" s="17">
        <f>SUMIFS(凭证计算!$H$86:$H$239,凭证计算!$E$86:$E$239,"6051",凭证计算!$B$86:$B$239,TEXT(A10,"yyyy-mm"))-SUMIFS(凭证计算!$G$86:$G$239,凭证计算!$E$86:$E$239,"6051",凭证计算!$B$86:$B$239,TEXT(A10,"yyyy-mm"))</f>
        <v>3200</v>
      </c>
      <c r="G10" s="17">
        <f>SUMIFS(凭证计算!$G$86:$G$239,凭证计算!$E$86:$E$239,"6601",凭证计算!$B$86:$B$239,TEXT(A10,"yyyy-mm"))-SUMIFS(凭证计算!$H$86:$H$239,凭证计算!$E$86:$E$239,"6601",凭证计算!$B$86:$B$239,TEXT(A10,"yyyy-mm"))</f>
        <v>2000</v>
      </c>
      <c r="H10" s="17">
        <f>SUMIFS(凭证计算!$G$86:$G$239,凭证计算!$E$86:$E$239,"6602",凭证计算!$B$86:$B$239,TEXT(A10,"yyyy-mm"))-SUMIFS(凭证计算!$H$86:$H$239,凭证计算!$E$86:$E$239,"6602",凭证计算!$B$86:$B$239,TEXT(A10,"yyyy-mm"))</f>
        <v>22600</v>
      </c>
      <c r="I10" s="17">
        <f>SUMIFS(凭证计算!$G$86:$G$239,凭证计算!$E$86:$E$239,"6603",凭证计算!$B$86:$B$239,TEXT(A10,"yyyy-mm"))-SUMIFS(凭证计算!$H$86:$H$239,凭证计算!$E$86:$E$239,"6603",凭证计算!$B$86:$B$239,TEXT(A10,"yyyy-mm"))</f>
        <v>0</v>
      </c>
      <c r="J10" s="17">
        <f>SUMIFS(凭证计算!$G$86:$G$239,凭证计算!$E$86:$E$239,"6604",凭证计算!$B$86:$B$239,TEXT(A10,"yyyy-mm"))-SUMIFS(凭证计算!$H$86:$H$239,凭证计算!$E$86:$E$239,"6604",凭证计算!$B$86:$B$239,TEXT(A10,"yyyy-mm"))</f>
        <v>0</v>
      </c>
      <c r="K10" s="17">
        <f>SUMIFS(凭证计算!$G$86:$G$239,凭证计算!$E$86:$E$239,"6403",凭证计算!$B$86:$B$239,TEXT(A10,"yyyy-mm"))-SUMIFS(凭证计算!$H$86:$H$239,凭证计算!$E$86:$E$239,"6403",凭证计算!$B$86:$B$239,TEXT(A10,"yyyy-mm"))</f>
        <v>0</v>
      </c>
      <c r="L10" s="17">
        <f>D10+F10-SUM(G10:K10)+(SUMIFS(凭证计算!$H$86:$H$239,凭证计算!$E$86:$E$239,"6101",凭证计算!$B$86:$B$239,TEXT(A10,"yyyy-mm"))-SUMIFS(凭证计算!$G$86:$G$239,凭证计算!$E$86:$E$239,"6101",凭证计算!$B$86:$B$239,TEXT(A10,"yyyy-mm"))+SUMIFS(凭证计算!$H$86:$H$239,凭证计算!$E$86:$E$239,"6111",凭证计算!$B$86:$B$239,TEXT(A10,"yyyy-mm"))-SUMIFS(凭证计算!$G$86:$G$239,凭证计算!$E$86:$E$239,"6111",凭证计算!$B$86:$B$239,TEXT(A10,"yyyy-mm"))+SUMIFS(凭证计算!$H$86:$H$239,凭证计算!$E$86:$E$239,"6115",凭证计算!$B$86:$B$239,TEXT(A10,"yyyy-mm"))-SUMIFS(凭证计算!$G$86:$G$239,凭证计算!$E$86:$E$239,"6115",凭证计算!$B$86:$B$239,TEXT(A10,"yyyy-mm"))+SUMIFS(凭证计算!$H$86:$H$239,凭证计算!$E$86:$E$239,"6117",凭证计算!$B$86:$B$239,TEXT(A10,"yyyy-mm"))-SUMIFS(凭证计算!$G$86:$G$239,凭证计算!$E$86:$E$239,"6117",凭证计算!$B$86:$B$239,TEXT(A10,"yyyy-mm")))-(SUMIFS(凭证计算!$G$86:$G$239,凭证计算!$E$86:$E$239,"6402",凭证计算!$B$86:$B$239,TEXT(A10,"yyyy-mm"))-SUMIFS(凭证计算!$H$86:$H$239,凭证计算!$E$86:$E$239,"6402",凭证计算!$B$86:$B$239,TEXT(A10,"yyyy-mm"))+SUMIFS(凭证计算!$G$86:$G$239,凭证计算!$E$86:$E$239,"6701",凭证计算!$B$86:$B$239,TEXT(A10,"yyyy-mm"))-SUMIFS(凭证计算!$H$86:$H$239,凭证计算!$E$86:$E$239,"6701",凭证计算!$B$86:$B$239,TEXT(A10,"yyyy-mm"))+SUMIFS(凭证计算!$G$86:$G$239,凭证计算!$E$86:$E$239,"6702",凭证计算!$B$86:$B$239,TEXT(A10,"yyyy-mm"))-SUMIFS(凭证计算!$H$86:$H$239,凭证计算!$E$86:$E$239,"6702",凭证计算!$B$86:$B$239,TEXT(A10,"yyyy-mm")))</f>
        <v>-8360</v>
      </c>
      <c r="M10" s="17">
        <f>L10+SUMIFS(凭证计算!$H$86:$H$239,凭证计算!$E$86:$E$239,"6301",凭证计算!$B$86:$B$239,TEXT(A10,"yyyy-mm"))-SUMIFS(凭证计算!$G$86:$G$239,凭证计算!$E$86:$E$239,"6301",凭证计算!$B$86:$B$239,TEXT(A10,"yyyy-mm"))-(SUMIFS(凭证计算!$G$86:$G$239,凭证计算!$E$86:$E$239,"6711",凭证计算!$B$86:$B$239,TEXT(A10,"yyyy-mm"))-SUMIFS(凭证计算!$H$86:$H$239,凭证计算!$E$86:$E$239,"6711",凭证计算!$B$86:$B$239,TEXT(A10,"yyyy-mm")))-(SUMIFS(凭证计算!$G$86:$G$239,凭证计算!$E$86:$E$239,"6801",凭证计算!$B$86:$B$239,TEXT(A10,"yyyy-mm"))-SUMIFS(凭证计算!$H$86:$H$239,凭证计算!$E$86:$E$239,"6801",凭证计算!$B$86:$B$239,TEXT(A10,"yyyy-mm")))</f>
        <v>-8360</v>
      </c>
      <c r="N10" s="17">
        <f>SUMIFS(资金流水!$J$4:$J$203,资金流水!$B$4:$B$203,TEXT(A10,"yyyy-mm"))-SUMIFS(资金流水!$K$4:$K$203,资金流水!$B$4:$B$203,TEXT(A10,"yyyy-mm"),资金流水!$D$4:$D$203,"&lt;&gt;账户转账")</f>
        <v>-11400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52">
      <c r="A11" s="5">
        <f>DATE(YEAR(首页!$B$4),7,1)</f>
        <v>46204</v>
      </c>
      <c r="B11" s="17">
        <f>SUMIFS(销售录入!$I$4:$I$203,销售录入!$B$4:$B$203,TEXT(A11,"yyyy-mm"))</f>
        <v>0</v>
      </c>
      <c r="C11" s="17">
        <f>SUMIFS(销售录入!$K$4:$K$203,销售录入!$B$4:$B$203,TEXT(A11,"yyyy-mm"))</f>
        <v>0</v>
      </c>
      <c r="D11" s="17">
        <f t="shared" si="0"/>
        <v>0</v>
      </c>
      <c r="E11" s="52">
        <f t="shared" si="1"/>
        <v>0</v>
      </c>
      <c r="F11" s="17">
        <f>SUMIFS(凭证计算!$H$86:$H$239,凭证计算!$E$86:$E$239,"6051",凭证计算!$B$86:$B$239,TEXT(A11,"yyyy-mm"))-SUMIFS(凭证计算!$G$86:$G$239,凭证计算!$E$86:$E$239,"6051",凭证计算!$B$86:$B$239,TEXT(A11,"yyyy-mm"))</f>
        <v>0</v>
      </c>
      <c r="G11" s="17">
        <f>SUMIFS(凭证计算!$G$86:$G$239,凭证计算!$E$86:$E$239,"6601",凭证计算!$B$86:$B$239,TEXT(A11,"yyyy-mm"))-SUMIFS(凭证计算!$H$86:$H$239,凭证计算!$E$86:$E$239,"6601",凭证计算!$B$86:$B$239,TEXT(A11,"yyyy-mm"))</f>
        <v>0</v>
      </c>
      <c r="H11" s="17">
        <f>SUMIFS(凭证计算!$G$86:$G$239,凭证计算!$E$86:$E$239,"6602",凭证计算!$B$86:$B$239,TEXT(A11,"yyyy-mm"))-SUMIFS(凭证计算!$H$86:$H$239,凭证计算!$E$86:$E$239,"6602",凭证计算!$B$86:$B$239,TEXT(A11,"yyyy-mm"))</f>
        <v>0</v>
      </c>
      <c r="I11" s="17">
        <f>SUMIFS(凭证计算!$G$86:$G$239,凭证计算!$E$86:$E$239,"6603",凭证计算!$B$86:$B$239,TEXT(A11,"yyyy-mm"))-SUMIFS(凭证计算!$H$86:$H$239,凭证计算!$E$86:$E$239,"6603",凭证计算!$B$86:$B$239,TEXT(A11,"yyyy-mm"))</f>
        <v>0</v>
      </c>
      <c r="J11" s="17">
        <f>SUMIFS(凭证计算!$G$86:$G$239,凭证计算!$E$86:$E$239,"6604",凭证计算!$B$86:$B$239,TEXT(A11,"yyyy-mm"))-SUMIFS(凭证计算!$H$86:$H$239,凭证计算!$E$86:$E$239,"6604",凭证计算!$B$86:$B$239,TEXT(A11,"yyyy-mm"))</f>
        <v>0</v>
      </c>
      <c r="K11" s="17">
        <f>SUMIFS(凭证计算!$G$86:$G$239,凭证计算!$E$86:$E$239,"6403",凭证计算!$B$86:$B$239,TEXT(A11,"yyyy-mm"))-SUMIFS(凭证计算!$H$86:$H$239,凭证计算!$E$86:$E$239,"6403",凭证计算!$B$86:$B$239,TEXT(A11,"yyyy-mm"))</f>
        <v>0</v>
      </c>
      <c r="L11" s="17">
        <f>D11+F11-SUM(G11:K11)+(SUMIFS(凭证计算!$H$86:$H$239,凭证计算!$E$86:$E$239,"6101",凭证计算!$B$86:$B$239,TEXT(A11,"yyyy-mm"))-SUMIFS(凭证计算!$G$86:$G$239,凭证计算!$E$86:$E$239,"6101",凭证计算!$B$86:$B$239,TEXT(A11,"yyyy-mm"))+SUMIFS(凭证计算!$H$86:$H$239,凭证计算!$E$86:$E$239,"6111",凭证计算!$B$86:$B$239,TEXT(A11,"yyyy-mm"))-SUMIFS(凭证计算!$G$86:$G$239,凭证计算!$E$86:$E$239,"6111",凭证计算!$B$86:$B$239,TEXT(A11,"yyyy-mm"))+SUMIFS(凭证计算!$H$86:$H$239,凭证计算!$E$86:$E$239,"6115",凭证计算!$B$86:$B$239,TEXT(A11,"yyyy-mm"))-SUMIFS(凭证计算!$G$86:$G$239,凭证计算!$E$86:$E$239,"6115",凭证计算!$B$86:$B$239,TEXT(A11,"yyyy-mm"))+SUMIFS(凭证计算!$H$86:$H$239,凭证计算!$E$86:$E$239,"6117",凭证计算!$B$86:$B$239,TEXT(A11,"yyyy-mm"))-SUMIFS(凭证计算!$G$86:$G$239,凭证计算!$E$86:$E$239,"6117",凭证计算!$B$86:$B$239,TEXT(A11,"yyyy-mm")))-(SUMIFS(凭证计算!$G$86:$G$239,凭证计算!$E$86:$E$239,"6402",凭证计算!$B$86:$B$239,TEXT(A11,"yyyy-mm"))-SUMIFS(凭证计算!$H$86:$H$239,凭证计算!$E$86:$E$239,"6402",凭证计算!$B$86:$B$239,TEXT(A11,"yyyy-mm"))+SUMIFS(凭证计算!$G$86:$G$239,凭证计算!$E$86:$E$239,"6701",凭证计算!$B$86:$B$239,TEXT(A11,"yyyy-mm"))-SUMIFS(凭证计算!$H$86:$H$239,凭证计算!$E$86:$E$239,"6701",凭证计算!$B$86:$B$239,TEXT(A11,"yyyy-mm"))+SUMIFS(凭证计算!$G$86:$G$239,凭证计算!$E$86:$E$239,"6702",凭证计算!$B$86:$B$239,TEXT(A11,"yyyy-mm"))-SUMIFS(凭证计算!$H$86:$H$239,凭证计算!$E$86:$E$239,"6702",凭证计算!$B$86:$B$239,TEXT(A11,"yyyy-mm")))</f>
        <v>0</v>
      </c>
      <c r="M11" s="17">
        <f>L11+SUMIFS(凭证计算!$H$86:$H$239,凭证计算!$E$86:$E$239,"6301",凭证计算!$B$86:$B$239,TEXT(A11,"yyyy-mm"))-SUMIFS(凭证计算!$G$86:$G$239,凭证计算!$E$86:$E$239,"6301",凭证计算!$B$86:$B$239,TEXT(A11,"yyyy-mm"))-(SUMIFS(凭证计算!$G$86:$G$239,凭证计算!$E$86:$E$239,"6711",凭证计算!$B$86:$B$239,TEXT(A11,"yyyy-mm"))-SUMIFS(凭证计算!$H$86:$H$239,凭证计算!$E$86:$E$239,"6711",凭证计算!$B$86:$B$239,TEXT(A11,"yyyy-mm")))-(SUMIFS(凭证计算!$G$86:$G$239,凭证计算!$E$86:$E$239,"6801",凭证计算!$B$86:$B$239,TEXT(A11,"yyyy-mm"))-SUMIFS(凭证计算!$H$86:$H$239,凭证计算!$E$86:$E$239,"6801",凭证计算!$B$86:$B$239,TEXT(A11,"yyyy-mm")))</f>
        <v>0</v>
      </c>
      <c r="N11" s="17">
        <f>SUMIFS(资金流水!$J$4:$J$203,资金流水!$B$4:$B$203,TEXT(A11,"yyyy-mm"))-SUMIFS(资金流水!$K$4:$K$203,资金流水!$B$4:$B$203,TEXT(A11,"yyyy-mm"),资金流水!$D$4:$D$203,"&lt;&gt;账户转账")</f>
        <v>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52">
      <c r="A12" s="5">
        <f>DATE(YEAR(首页!$B$4),8,1)</f>
        <v>46235</v>
      </c>
      <c r="B12" s="17">
        <f>SUMIFS(销售录入!$I$4:$I$203,销售录入!$B$4:$B$203,TEXT(A12,"yyyy-mm"))</f>
        <v>0</v>
      </c>
      <c r="C12" s="17">
        <f>SUMIFS(销售录入!$K$4:$K$203,销售录入!$B$4:$B$203,TEXT(A12,"yyyy-mm"))</f>
        <v>0</v>
      </c>
      <c r="D12" s="17">
        <f t="shared" si="0"/>
        <v>0</v>
      </c>
      <c r="E12" s="52">
        <f t="shared" si="1"/>
        <v>0</v>
      </c>
      <c r="F12" s="17">
        <f>SUMIFS(凭证计算!$H$86:$H$239,凭证计算!$E$86:$E$239,"6051",凭证计算!$B$86:$B$239,TEXT(A12,"yyyy-mm"))-SUMIFS(凭证计算!$G$86:$G$239,凭证计算!$E$86:$E$239,"6051",凭证计算!$B$86:$B$239,TEXT(A12,"yyyy-mm"))</f>
        <v>0</v>
      </c>
      <c r="G12" s="17">
        <f>SUMIFS(凭证计算!$G$86:$G$239,凭证计算!$E$86:$E$239,"6601",凭证计算!$B$86:$B$239,TEXT(A12,"yyyy-mm"))-SUMIFS(凭证计算!$H$86:$H$239,凭证计算!$E$86:$E$239,"6601",凭证计算!$B$86:$B$239,TEXT(A12,"yyyy-mm"))</f>
        <v>0</v>
      </c>
      <c r="H12" s="17">
        <f>SUMIFS(凭证计算!$G$86:$G$239,凭证计算!$E$86:$E$239,"6602",凭证计算!$B$86:$B$239,TEXT(A12,"yyyy-mm"))-SUMIFS(凭证计算!$H$86:$H$239,凭证计算!$E$86:$E$239,"6602",凭证计算!$B$86:$B$239,TEXT(A12,"yyyy-mm"))</f>
        <v>0</v>
      </c>
      <c r="I12" s="17">
        <f>SUMIFS(凭证计算!$G$86:$G$239,凭证计算!$E$86:$E$239,"6603",凭证计算!$B$86:$B$239,TEXT(A12,"yyyy-mm"))-SUMIFS(凭证计算!$H$86:$H$239,凭证计算!$E$86:$E$239,"6603",凭证计算!$B$86:$B$239,TEXT(A12,"yyyy-mm"))</f>
        <v>0</v>
      </c>
      <c r="J12" s="17">
        <f>SUMIFS(凭证计算!$G$86:$G$239,凭证计算!$E$86:$E$239,"6604",凭证计算!$B$86:$B$239,TEXT(A12,"yyyy-mm"))-SUMIFS(凭证计算!$H$86:$H$239,凭证计算!$E$86:$E$239,"6604",凭证计算!$B$86:$B$239,TEXT(A12,"yyyy-mm"))</f>
        <v>0</v>
      </c>
      <c r="K12" s="17">
        <f>SUMIFS(凭证计算!$G$86:$G$239,凭证计算!$E$86:$E$239,"6403",凭证计算!$B$86:$B$239,TEXT(A12,"yyyy-mm"))-SUMIFS(凭证计算!$H$86:$H$239,凭证计算!$E$86:$E$239,"6403",凭证计算!$B$86:$B$239,TEXT(A12,"yyyy-mm"))</f>
        <v>0</v>
      </c>
      <c r="L12" s="17">
        <f>D12+F12-SUM(G12:K12)+(SUMIFS(凭证计算!$H$86:$H$239,凭证计算!$E$86:$E$239,"6101",凭证计算!$B$86:$B$239,TEXT(A12,"yyyy-mm"))-SUMIFS(凭证计算!$G$86:$G$239,凭证计算!$E$86:$E$239,"6101",凭证计算!$B$86:$B$239,TEXT(A12,"yyyy-mm"))+SUMIFS(凭证计算!$H$86:$H$239,凭证计算!$E$86:$E$239,"6111",凭证计算!$B$86:$B$239,TEXT(A12,"yyyy-mm"))-SUMIFS(凭证计算!$G$86:$G$239,凭证计算!$E$86:$E$239,"6111",凭证计算!$B$86:$B$239,TEXT(A12,"yyyy-mm"))+SUMIFS(凭证计算!$H$86:$H$239,凭证计算!$E$86:$E$239,"6115",凭证计算!$B$86:$B$239,TEXT(A12,"yyyy-mm"))-SUMIFS(凭证计算!$G$86:$G$239,凭证计算!$E$86:$E$239,"6115",凭证计算!$B$86:$B$239,TEXT(A12,"yyyy-mm"))+SUMIFS(凭证计算!$H$86:$H$239,凭证计算!$E$86:$E$239,"6117",凭证计算!$B$86:$B$239,TEXT(A12,"yyyy-mm"))-SUMIFS(凭证计算!$G$86:$G$239,凭证计算!$E$86:$E$239,"6117",凭证计算!$B$86:$B$239,TEXT(A12,"yyyy-mm")))-(SUMIFS(凭证计算!$G$86:$G$239,凭证计算!$E$86:$E$239,"6402",凭证计算!$B$86:$B$239,TEXT(A12,"yyyy-mm"))-SUMIFS(凭证计算!$H$86:$H$239,凭证计算!$E$86:$E$239,"6402",凭证计算!$B$86:$B$239,TEXT(A12,"yyyy-mm"))+SUMIFS(凭证计算!$G$86:$G$239,凭证计算!$E$86:$E$239,"6701",凭证计算!$B$86:$B$239,TEXT(A12,"yyyy-mm"))-SUMIFS(凭证计算!$H$86:$H$239,凭证计算!$E$86:$E$239,"6701",凭证计算!$B$86:$B$239,TEXT(A12,"yyyy-mm"))+SUMIFS(凭证计算!$G$86:$G$239,凭证计算!$E$86:$E$239,"6702",凭证计算!$B$86:$B$239,TEXT(A12,"yyyy-mm"))-SUMIFS(凭证计算!$H$86:$H$239,凭证计算!$E$86:$E$239,"6702",凭证计算!$B$86:$B$239,TEXT(A12,"yyyy-mm")))</f>
        <v>0</v>
      </c>
      <c r="M12" s="17">
        <f>L12+SUMIFS(凭证计算!$H$86:$H$239,凭证计算!$E$86:$E$239,"6301",凭证计算!$B$86:$B$239,TEXT(A12,"yyyy-mm"))-SUMIFS(凭证计算!$G$86:$G$239,凭证计算!$E$86:$E$239,"6301",凭证计算!$B$86:$B$239,TEXT(A12,"yyyy-mm"))-(SUMIFS(凭证计算!$G$86:$G$239,凭证计算!$E$86:$E$239,"6711",凭证计算!$B$86:$B$239,TEXT(A12,"yyyy-mm"))-SUMIFS(凭证计算!$H$86:$H$239,凭证计算!$E$86:$E$239,"6711",凭证计算!$B$86:$B$239,TEXT(A12,"yyyy-mm")))-(SUMIFS(凭证计算!$G$86:$G$239,凭证计算!$E$86:$E$239,"6801",凭证计算!$B$86:$B$239,TEXT(A12,"yyyy-mm"))-SUMIFS(凭证计算!$H$86:$H$239,凭证计算!$E$86:$E$239,"6801",凭证计算!$B$86:$B$239,TEXT(A12,"yyyy-mm")))</f>
        <v>0</v>
      </c>
      <c r="N12" s="17">
        <f>SUMIFS(资金流水!$J$4:$J$203,资金流水!$B$4:$B$203,TEXT(A12,"yyyy-mm"))-SUMIFS(资金流水!$K$4:$K$203,资金流水!$B$4:$B$203,TEXT(A12,"yyyy-mm"),资金流水!$D$4:$D$203,"&lt;&gt;账户转账")</f>
        <v>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52">
      <c r="A13" s="5">
        <f>DATE(YEAR(首页!$B$4),9,1)</f>
        <v>46266</v>
      </c>
      <c r="B13" s="17">
        <f>SUMIFS(销售录入!$I$4:$I$203,销售录入!$B$4:$B$203,TEXT(A13,"yyyy-mm"))</f>
        <v>0</v>
      </c>
      <c r="C13" s="17">
        <f>SUMIFS(销售录入!$K$4:$K$203,销售录入!$B$4:$B$203,TEXT(A13,"yyyy-mm"))</f>
        <v>0</v>
      </c>
      <c r="D13" s="17">
        <f t="shared" si="0"/>
        <v>0</v>
      </c>
      <c r="E13" s="52">
        <f t="shared" si="1"/>
        <v>0</v>
      </c>
      <c r="F13" s="17">
        <f>SUMIFS(凭证计算!$H$86:$H$239,凭证计算!$E$86:$E$239,"6051",凭证计算!$B$86:$B$239,TEXT(A13,"yyyy-mm"))-SUMIFS(凭证计算!$G$86:$G$239,凭证计算!$E$86:$E$239,"6051",凭证计算!$B$86:$B$239,TEXT(A13,"yyyy-mm"))</f>
        <v>0</v>
      </c>
      <c r="G13" s="17">
        <f>SUMIFS(凭证计算!$G$86:$G$239,凭证计算!$E$86:$E$239,"6601",凭证计算!$B$86:$B$239,TEXT(A13,"yyyy-mm"))-SUMIFS(凭证计算!$H$86:$H$239,凭证计算!$E$86:$E$239,"6601",凭证计算!$B$86:$B$239,TEXT(A13,"yyyy-mm"))</f>
        <v>0</v>
      </c>
      <c r="H13" s="17">
        <f>SUMIFS(凭证计算!$G$86:$G$239,凭证计算!$E$86:$E$239,"6602",凭证计算!$B$86:$B$239,TEXT(A13,"yyyy-mm"))-SUMIFS(凭证计算!$H$86:$H$239,凭证计算!$E$86:$E$239,"6602",凭证计算!$B$86:$B$239,TEXT(A13,"yyyy-mm"))</f>
        <v>0</v>
      </c>
      <c r="I13" s="17">
        <f>SUMIFS(凭证计算!$G$86:$G$239,凭证计算!$E$86:$E$239,"6603",凭证计算!$B$86:$B$239,TEXT(A13,"yyyy-mm"))-SUMIFS(凭证计算!$H$86:$H$239,凭证计算!$E$86:$E$239,"6603",凭证计算!$B$86:$B$239,TEXT(A13,"yyyy-mm"))</f>
        <v>0</v>
      </c>
      <c r="J13" s="17">
        <f>SUMIFS(凭证计算!$G$86:$G$239,凭证计算!$E$86:$E$239,"6604",凭证计算!$B$86:$B$239,TEXT(A13,"yyyy-mm"))-SUMIFS(凭证计算!$H$86:$H$239,凭证计算!$E$86:$E$239,"6604",凭证计算!$B$86:$B$239,TEXT(A13,"yyyy-mm"))</f>
        <v>0</v>
      </c>
      <c r="K13" s="17">
        <f>SUMIFS(凭证计算!$G$86:$G$239,凭证计算!$E$86:$E$239,"6403",凭证计算!$B$86:$B$239,TEXT(A13,"yyyy-mm"))-SUMIFS(凭证计算!$H$86:$H$239,凭证计算!$E$86:$E$239,"6403",凭证计算!$B$86:$B$239,TEXT(A13,"yyyy-mm"))</f>
        <v>0</v>
      </c>
      <c r="L13" s="17">
        <f>D13+F13-SUM(G13:K13)+(SUMIFS(凭证计算!$H$86:$H$239,凭证计算!$E$86:$E$239,"6101",凭证计算!$B$86:$B$239,TEXT(A13,"yyyy-mm"))-SUMIFS(凭证计算!$G$86:$G$239,凭证计算!$E$86:$E$239,"6101",凭证计算!$B$86:$B$239,TEXT(A13,"yyyy-mm"))+SUMIFS(凭证计算!$H$86:$H$239,凭证计算!$E$86:$E$239,"6111",凭证计算!$B$86:$B$239,TEXT(A13,"yyyy-mm"))-SUMIFS(凭证计算!$G$86:$G$239,凭证计算!$E$86:$E$239,"6111",凭证计算!$B$86:$B$239,TEXT(A13,"yyyy-mm"))+SUMIFS(凭证计算!$H$86:$H$239,凭证计算!$E$86:$E$239,"6115",凭证计算!$B$86:$B$239,TEXT(A13,"yyyy-mm"))-SUMIFS(凭证计算!$G$86:$G$239,凭证计算!$E$86:$E$239,"6115",凭证计算!$B$86:$B$239,TEXT(A13,"yyyy-mm"))+SUMIFS(凭证计算!$H$86:$H$239,凭证计算!$E$86:$E$239,"6117",凭证计算!$B$86:$B$239,TEXT(A13,"yyyy-mm"))-SUMIFS(凭证计算!$G$86:$G$239,凭证计算!$E$86:$E$239,"6117",凭证计算!$B$86:$B$239,TEXT(A13,"yyyy-mm")))-(SUMIFS(凭证计算!$G$86:$G$239,凭证计算!$E$86:$E$239,"6402",凭证计算!$B$86:$B$239,TEXT(A13,"yyyy-mm"))-SUMIFS(凭证计算!$H$86:$H$239,凭证计算!$E$86:$E$239,"6402",凭证计算!$B$86:$B$239,TEXT(A13,"yyyy-mm"))+SUMIFS(凭证计算!$G$86:$G$239,凭证计算!$E$86:$E$239,"6701",凭证计算!$B$86:$B$239,TEXT(A13,"yyyy-mm"))-SUMIFS(凭证计算!$H$86:$H$239,凭证计算!$E$86:$E$239,"6701",凭证计算!$B$86:$B$239,TEXT(A13,"yyyy-mm"))+SUMIFS(凭证计算!$G$86:$G$239,凭证计算!$E$86:$E$239,"6702",凭证计算!$B$86:$B$239,TEXT(A13,"yyyy-mm"))-SUMIFS(凭证计算!$H$86:$H$239,凭证计算!$E$86:$E$239,"6702",凭证计算!$B$86:$B$239,TEXT(A13,"yyyy-mm")))</f>
        <v>0</v>
      </c>
      <c r="M13" s="17">
        <f>L13+SUMIFS(凭证计算!$H$86:$H$239,凭证计算!$E$86:$E$239,"6301",凭证计算!$B$86:$B$239,TEXT(A13,"yyyy-mm"))-SUMIFS(凭证计算!$G$86:$G$239,凭证计算!$E$86:$E$239,"6301",凭证计算!$B$86:$B$239,TEXT(A13,"yyyy-mm"))-(SUMIFS(凭证计算!$G$86:$G$239,凭证计算!$E$86:$E$239,"6711",凭证计算!$B$86:$B$239,TEXT(A13,"yyyy-mm"))-SUMIFS(凭证计算!$H$86:$H$239,凭证计算!$E$86:$E$239,"6711",凭证计算!$B$86:$B$239,TEXT(A13,"yyyy-mm")))-(SUMIFS(凭证计算!$G$86:$G$239,凭证计算!$E$86:$E$239,"6801",凭证计算!$B$86:$B$239,TEXT(A13,"yyyy-mm"))-SUMIFS(凭证计算!$H$86:$H$239,凭证计算!$E$86:$E$239,"6801",凭证计算!$B$86:$B$239,TEXT(A13,"yyyy-mm")))</f>
        <v>0</v>
      </c>
      <c r="N13" s="17">
        <f>SUMIFS(资金流水!$J$4:$J$203,资金流水!$B$4:$B$203,TEXT(A13,"yyyy-mm"))-SUMIFS(资金流水!$K$4:$K$203,资金流水!$B$4:$B$203,TEXT(A13,"yyyy-mm"),资金流水!$D$4:$D$203,"&lt;&gt;账户转账")</f>
        <v>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52">
      <c r="A14" s="5">
        <f>DATE(YEAR(首页!$B$4),10,1)</f>
        <v>46296</v>
      </c>
      <c r="B14" s="17">
        <f>SUMIFS(销售录入!$I$4:$I$203,销售录入!$B$4:$B$203,TEXT(A14,"yyyy-mm"))</f>
        <v>0</v>
      </c>
      <c r="C14" s="17">
        <f>SUMIFS(销售录入!$K$4:$K$203,销售录入!$B$4:$B$203,TEXT(A14,"yyyy-mm"))</f>
        <v>0</v>
      </c>
      <c r="D14" s="17">
        <f t="shared" si="0"/>
        <v>0</v>
      </c>
      <c r="E14" s="52">
        <f t="shared" si="1"/>
        <v>0</v>
      </c>
      <c r="F14" s="17">
        <f>SUMIFS(凭证计算!$H$86:$H$239,凭证计算!$E$86:$E$239,"6051",凭证计算!$B$86:$B$239,TEXT(A14,"yyyy-mm"))-SUMIFS(凭证计算!$G$86:$G$239,凭证计算!$E$86:$E$239,"6051",凭证计算!$B$86:$B$239,TEXT(A14,"yyyy-mm"))</f>
        <v>0</v>
      </c>
      <c r="G14" s="17">
        <f>SUMIFS(凭证计算!$G$86:$G$239,凭证计算!$E$86:$E$239,"6601",凭证计算!$B$86:$B$239,TEXT(A14,"yyyy-mm"))-SUMIFS(凭证计算!$H$86:$H$239,凭证计算!$E$86:$E$239,"6601",凭证计算!$B$86:$B$239,TEXT(A14,"yyyy-mm"))</f>
        <v>0</v>
      </c>
      <c r="H14" s="17">
        <f>SUMIFS(凭证计算!$G$86:$G$239,凭证计算!$E$86:$E$239,"6602",凭证计算!$B$86:$B$239,TEXT(A14,"yyyy-mm"))-SUMIFS(凭证计算!$H$86:$H$239,凭证计算!$E$86:$E$239,"6602",凭证计算!$B$86:$B$239,TEXT(A14,"yyyy-mm"))</f>
        <v>0</v>
      </c>
      <c r="I14" s="17">
        <f>SUMIFS(凭证计算!$G$86:$G$239,凭证计算!$E$86:$E$239,"6603",凭证计算!$B$86:$B$239,TEXT(A14,"yyyy-mm"))-SUMIFS(凭证计算!$H$86:$H$239,凭证计算!$E$86:$E$239,"6603",凭证计算!$B$86:$B$239,TEXT(A14,"yyyy-mm"))</f>
        <v>0</v>
      </c>
      <c r="J14" s="17">
        <f>SUMIFS(凭证计算!$G$86:$G$239,凭证计算!$E$86:$E$239,"6604",凭证计算!$B$86:$B$239,TEXT(A14,"yyyy-mm"))-SUMIFS(凭证计算!$H$86:$H$239,凭证计算!$E$86:$E$239,"6604",凭证计算!$B$86:$B$239,TEXT(A14,"yyyy-mm"))</f>
        <v>0</v>
      </c>
      <c r="K14" s="17">
        <f>SUMIFS(凭证计算!$G$86:$G$239,凭证计算!$E$86:$E$239,"6403",凭证计算!$B$86:$B$239,TEXT(A14,"yyyy-mm"))-SUMIFS(凭证计算!$H$86:$H$239,凭证计算!$E$86:$E$239,"6403",凭证计算!$B$86:$B$239,TEXT(A14,"yyyy-mm"))</f>
        <v>0</v>
      </c>
      <c r="L14" s="17">
        <f>D14+F14-SUM(G14:K14)+(SUMIFS(凭证计算!$H$86:$H$239,凭证计算!$E$86:$E$239,"6101",凭证计算!$B$86:$B$239,TEXT(A14,"yyyy-mm"))-SUMIFS(凭证计算!$G$86:$G$239,凭证计算!$E$86:$E$239,"6101",凭证计算!$B$86:$B$239,TEXT(A14,"yyyy-mm"))+SUMIFS(凭证计算!$H$86:$H$239,凭证计算!$E$86:$E$239,"6111",凭证计算!$B$86:$B$239,TEXT(A14,"yyyy-mm"))-SUMIFS(凭证计算!$G$86:$G$239,凭证计算!$E$86:$E$239,"6111",凭证计算!$B$86:$B$239,TEXT(A14,"yyyy-mm"))+SUMIFS(凭证计算!$H$86:$H$239,凭证计算!$E$86:$E$239,"6115",凭证计算!$B$86:$B$239,TEXT(A14,"yyyy-mm"))-SUMIFS(凭证计算!$G$86:$G$239,凭证计算!$E$86:$E$239,"6115",凭证计算!$B$86:$B$239,TEXT(A14,"yyyy-mm"))+SUMIFS(凭证计算!$H$86:$H$239,凭证计算!$E$86:$E$239,"6117",凭证计算!$B$86:$B$239,TEXT(A14,"yyyy-mm"))-SUMIFS(凭证计算!$G$86:$G$239,凭证计算!$E$86:$E$239,"6117",凭证计算!$B$86:$B$239,TEXT(A14,"yyyy-mm")))-(SUMIFS(凭证计算!$G$86:$G$239,凭证计算!$E$86:$E$239,"6402",凭证计算!$B$86:$B$239,TEXT(A14,"yyyy-mm"))-SUMIFS(凭证计算!$H$86:$H$239,凭证计算!$E$86:$E$239,"6402",凭证计算!$B$86:$B$239,TEXT(A14,"yyyy-mm"))+SUMIFS(凭证计算!$G$86:$G$239,凭证计算!$E$86:$E$239,"6701",凭证计算!$B$86:$B$239,TEXT(A14,"yyyy-mm"))-SUMIFS(凭证计算!$H$86:$H$239,凭证计算!$E$86:$E$239,"6701",凭证计算!$B$86:$B$239,TEXT(A14,"yyyy-mm"))+SUMIFS(凭证计算!$G$86:$G$239,凭证计算!$E$86:$E$239,"6702",凭证计算!$B$86:$B$239,TEXT(A14,"yyyy-mm"))-SUMIFS(凭证计算!$H$86:$H$239,凭证计算!$E$86:$E$239,"6702",凭证计算!$B$86:$B$239,TEXT(A14,"yyyy-mm")))</f>
        <v>0</v>
      </c>
      <c r="M14" s="17">
        <f>L14+SUMIFS(凭证计算!$H$86:$H$239,凭证计算!$E$86:$E$239,"6301",凭证计算!$B$86:$B$239,TEXT(A14,"yyyy-mm"))-SUMIFS(凭证计算!$G$86:$G$239,凭证计算!$E$86:$E$239,"6301",凭证计算!$B$86:$B$239,TEXT(A14,"yyyy-mm"))-(SUMIFS(凭证计算!$G$86:$G$239,凭证计算!$E$86:$E$239,"6711",凭证计算!$B$86:$B$239,TEXT(A14,"yyyy-mm"))-SUMIFS(凭证计算!$H$86:$H$239,凭证计算!$E$86:$E$239,"6711",凭证计算!$B$86:$B$239,TEXT(A14,"yyyy-mm")))-(SUMIFS(凭证计算!$G$86:$G$239,凭证计算!$E$86:$E$239,"6801",凭证计算!$B$86:$B$239,TEXT(A14,"yyyy-mm"))-SUMIFS(凭证计算!$H$86:$H$239,凭证计算!$E$86:$E$239,"6801",凭证计算!$B$86:$B$239,TEXT(A14,"yyyy-mm")))</f>
        <v>0</v>
      </c>
      <c r="N14" s="17">
        <f>SUMIFS(资金流水!$J$4:$J$203,资金流水!$B$4:$B$203,TEXT(A14,"yyyy-mm"))-SUMIFS(资金流水!$K$4:$K$203,资金流水!$B$4:$B$203,TEXT(A14,"yyyy-mm"),资金流水!$D$4:$D$203,"&lt;&gt;账户转账")</f>
        <v>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52">
      <c r="A15" s="5">
        <f>DATE(YEAR(首页!$B$4),11,1)</f>
        <v>46327</v>
      </c>
      <c r="B15" s="17">
        <f>SUMIFS(销售录入!$I$4:$I$203,销售录入!$B$4:$B$203,TEXT(A15,"yyyy-mm"))</f>
        <v>0</v>
      </c>
      <c r="C15" s="17">
        <f>SUMIFS(销售录入!$K$4:$K$203,销售录入!$B$4:$B$203,TEXT(A15,"yyyy-mm"))</f>
        <v>0</v>
      </c>
      <c r="D15" s="17">
        <f t="shared" si="0"/>
        <v>0</v>
      </c>
      <c r="E15" s="52">
        <f t="shared" si="1"/>
        <v>0</v>
      </c>
      <c r="F15" s="17">
        <f>SUMIFS(凭证计算!$H$86:$H$239,凭证计算!$E$86:$E$239,"6051",凭证计算!$B$86:$B$239,TEXT(A15,"yyyy-mm"))-SUMIFS(凭证计算!$G$86:$G$239,凭证计算!$E$86:$E$239,"6051",凭证计算!$B$86:$B$239,TEXT(A15,"yyyy-mm"))</f>
        <v>0</v>
      </c>
      <c r="G15" s="17">
        <f>SUMIFS(凭证计算!$G$86:$G$239,凭证计算!$E$86:$E$239,"6601",凭证计算!$B$86:$B$239,TEXT(A15,"yyyy-mm"))-SUMIFS(凭证计算!$H$86:$H$239,凭证计算!$E$86:$E$239,"6601",凭证计算!$B$86:$B$239,TEXT(A15,"yyyy-mm"))</f>
        <v>0</v>
      </c>
      <c r="H15" s="17">
        <f>SUMIFS(凭证计算!$G$86:$G$239,凭证计算!$E$86:$E$239,"6602",凭证计算!$B$86:$B$239,TEXT(A15,"yyyy-mm"))-SUMIFS(凭证计算!$H$86:$H$239,凭证计算!$E$86:$E$239,"6602",凭证计算!$B$86:$B$239,TEXT(A15,"yyyy-mm"))</f>
        <v>0</v>
      </c>
      <c r="I15" s="17">
        <f>SUMIFS(凭证计算!$G$86:$G$239,凭证计算!$E$86:$E$239,"6603",凭证计算!$B$86:$B$239,TEXT(A15,"yyyy-mm"))-SUMIFS(凭证计算!$H$86:$H$239,凭证计算!$E$86:$E$239,"6603",凭证计算!$B$86:$B$239,TEXT(A15,"yyyy-mm"))</f>
        <v>0</v>
      </c>
      <c r="J15" s="17">
        <f>SUMIFS(凭证计算!$G$86:$G$239,凭证计算!$E$86:$E$239,"6604",凭证计算!$B$86:$B$239,TEXT(A15,"yyyy-mm"))-SUMIFS(凭证计算!$H$86:$H$239,凭证计算!$E$86:$E$239,"6604",凭证计算!$B$86:$B$239,TEXT(A15,"yyyy-mm"))</f>
        <v>0</v>
      </c>
      <c r="K15" s="17">
        <f>SUMIFS(凭证计算!$G$86:$G$239,凭证计算!$E$86:$E$239,"6403",凭证计算!$B$86:$B$239,TEXT(A15,"yyyy-mm"))-SUMIFS(凭证计算!$H$86:$H$239,凭证计算!$E$86:$E$239,"6403",凭证计算!$B$86:$B$239,TEXT(A15,"yyyy-mm"))</f>
        <v>0</v>
      </c>
      <c r="L15" s="17">
        <f>D15+F15-SUM(G15:K15)+(SUMIFS(凭证计算!$H$86:$H$239,凭证计算!$E$86:$E$239,"6101",凭证计算!$B$86:$B$239,TEXT(A15,"yyyy-mm"))-SUMIFS(凭证计算!$G$86:$G$239,凭证计算!$E$86:$E$239,"6101",凭证计算!$B$86:$B$239,TEXT(A15,"yyyy-mm"))+SUMIFS(凭证计算!$H$86:$H$239,凭证计算!$E$86:$E$239,"6111",凭证计算!$B$86:$B$239,TEXT(A15,"yyyy-mm"))-SUMIFS(凭证计算!$G$86:$G$239,凭证计算!$E$86:$E$239,"6111",凭证计算!$B$86:$B$239,TEXT(A15,"yyyy-mm"))+SUMIFS(凭证计算!$H$86:$H$239,凭证计算!$E$86:$E$239,"6115",凭证计算!$B$86:$B$239,TEXT(A15,"yyyy-mm"))-SUMIFS(凭证计算!$G$86:$G$239,凭证计算!$E$86:$E$239,"6115",凭证计算!$B$86:$B$239,TEXT(A15,"yyyy-mm"))+SUMIFS(凭证计算!$H$86:$H$239,凭证计算!$E$86:$E$239,"6117",凭证计算!$B$86:$B$239,TEXT(A15,"yyyy-mm"))-SUMIFS(凭证计算!$G$86:$G$239,凭证计算!$E$86:$E$239,"6117",凭证计算!$B$86:$B$239,TEXT(A15,"yyyy-mm")))-(SUMIFS(凭证计算!$G$86:$G$239,凭证计算!$E$86:$E$239,"6402",凭证计算!$B$86:$B$239,TEXT(A15,"yyyy-mm"))-SUMIFS(凭证计算!$H$86:$H$239,凭证计算!$E$86:$E$239,"6402",凭证计算!$B$86:$B$239,TEXT(A15,"yyyy-mm"))+SUMIFS(凭证计算!$G$86:$G$239,凭证计算!$E$86:$E$239,"6701",凭证计算!$B$86:$B$239,TEXT(A15,"yyyy-mm"))-SUMIFS(凭证计算!$H$86:$H$239,凭证计算!$E$86:$E$239,"6701",凭证计算!$B$86:$B$239,TEXT(A15,"yyyy-mm"))+SUMIFS(凭证计算!$G$86:$G$239,凭证计算!$E$86:$E$239,"6702",凭证计算!$B$86:$B$239,TEXT(A15,"yyyy-mm"))-SUMIFS(凭证计算!$H$86:$H$239,凭证计算!$E$86:$E$239,"6702",凭证计算!$B$86:$B$239,TEXT(A15,"yyyy-mm")))</f>
        <v>0</v>
      </c>
      <c r="M15" s="17">
        <f>L15+SUMIFS(凭证计算!$H$86:$H$239,凭证计算!$E$86:$E$239,"6301",凭证计算!$B$86:$B$239,TEXT(A15,"yyyy-mm"))-SUMIFS(凭证计算!$G$86:$G$239,凭证计算!$E$86:$E$239,"6301",凭证计算!$B$86:$B$239,TEXT(A15,"yyyy-mm"))-(SUMIFS(凭证计算!$G$86:$G$239,凭证计算!$E$86:$E$239,"6711",凭证计算!$B$86:$B$239,TEXT(A15,"yyyy-mm"))-SUMIFS(凭证计算!$H$86:$H$239,凭证计算!$E$86:$E$239,"6711",凭证计算!$B$86:$B$239,TEXT(A15,"yyyy-mm")))-(SUMIFS(凭证计算!$G$86:$G$239,凭证计算!$E$86:$E$239,"6801",凭证计算!$B$86:$B$239,TEXT(A15,"yyyy-mm"))-SUMIFS(凭证计算!$H$86:$H$239,凭证计算!$E$86:$E$239,"6801",凭证计算!$B$86:$B$239,TEXT(A15,"yyyy-mm")))</f>
        <v>0</v>
      </c>
      <c r="N15" s="17">
        <f>SUMIFS(资金流水!$J$4:$J$203,资金流水!$B$4:$B$203,TEXT(A15,"yyyy-mm"))-SUMIFS(资金流水!$K$4:$K$203,资金流水!$B$4:$B$203,TEXT(A15,"yyyy-mm"),资金流水!$D$4:$D$203,"&lt;&gt;账户转账")</f>
        <v>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52">
      <c r="A16" s="5">
        <f>DATE(YEAR(首页!$B$4),12,1)</f>
        <v>46357</v>
      </c>
      <c r="B16" s="17">
        <f>SUMIFS(销售录入!$I$4:$I$103,销售录入!$B$4:$B$103,TEXT(A16,"yyyy-mm"))</f>
        <v>0</v>
      </c>
      <c r="C16" s="17">
        <f>SUMIFS(销售录入!$K$4:$K$103,销售录入!$B$4:$B$103,TEXT(A16,"yyyy-mm"))</f>
        <v>0</v>
      </c>
      <c r="D16" s="17">
        <f t="shared" si="0"/>
        <v>0</v>
      </c>
      <c r="E16" s="52">
        <f t="shared" si="1"/>
        <v>0</v>
      </c>
      <c r="F16" s="17">
        <f>SUMIFS(凭证计算!$H$86:$H$239,凭证计算!$E$86:$E$239,"6051",凭证计算!$B$86:$B$239,TEXT(A16,"yyyy-mm"))-SUMIFS(凭证计算!$G$86:$G$239,凭证计算!$E$86:$E$239,"6051",凭证计算!$B$86:$B$239,TEXT(A16,"yyyy-mm"))</f>
        <v>0</v>
      </c>
      <c r="G16" s="17">
        <f>SUMIFS(凭证计算!$G$86:$G$239,凭证计算!$E$86:$E$239,"6601",凭证计算!$B$86:$B$239,TEXT(A16,"yyyy-mm"))-SUMIFS(凭证计算!$H$86:$H$239,凭证计算!$E$86:$E$239,"6601",凭证计算!$B$86:$B$239,TEXT(A16,"yyyy-mm"))</f>
        <v>0</v>
      </c>
      <c r="H16" s="17">
        <f>SUMIFS(凭证计算!$G$86:$G$239,凭证计算!$E$86:$E$239,"6602",凭证计算!$B$86:$B$239,TEXT(A16,"yyyy-mm"))-SUMIFS(凭证计算!$H$86:$H$239,凭证计算!$E$86:$E$239,"6602",凭证计算!$B$86:$B$239,TEXT(A16,"yyyy-mm"))</f>
        <v>0</v>
      </c>
      <c r="I16" s="17">
        <f>SUMIFS(凭证计算!$G$86:$G$239,凭证计算!$E$86:$E$239,"6603",凭证计算!$B$86:$B$239,TEXT(A16,"yyyy-mm"))-SUMIFS(凭证计算!$H$86:$H$239,凭证计算!$E$86:$E$239,"6603",凭证计算!$B$86:$B$239,TEXT(A16,"yyyy-mm"))</f>
        <v>0</v>
      </c>
      <c r="J16" s="17">
        <f>SUMIFS(凭证计算!$G$86:$G$239,凭证计算!$E$86:$E$239,"6604",凭证计算!$B$86:$B$239,TEXT(A16,"yyyy-mm"))-SUMIFS(凭证计算!$H$86:$H$239,凭证计算!$E$86:$E$239,"6604",凭证计算!$B$86:$B$239,TEXT(A16,"yyyy-mm"))</f>
        <v>0</v>
      </c>
      <c r="K16" s="17">
        <f>SUMIFS(凭证计算!$G$86:$G$239,凭证计算!$E$86:$E$239,"6403",凭证计算!$B$86:$B$239,TEXT(A16,"yyyy-mm"))-SUMIFS(凭证计算!$H$86:$H$239,凭证计算!$E$86:$E$239,"6403",凭证计算!$B$86:$B$239,TEXT(A16,"yyyy-mm"))</f>
        <v>0</v>
      </c>
      <c r="L16" s="17">
        <f>D16+F16-SUM(G16:K16)+(SUMIFS(凭证计算!$H$86:$H$239,凭证计算!$E$86:$E$239,"6101",凭证计算!$B$86:$B$239,TEXT(A16,"yyyy-mm"))-SUMIFS(凭证计算!$G$86:$G$239,凭证计算!$E$86:$E$239,"6101",凭证计算!$B$86:$B$239,TEXT(A16,"yyyy-mm"))+SUMIFS(凭证计算!$H$86:$H$239,凭证计算!$E$86:$E$239,"6111",凭证计算!$B$86:$B$239,TEXT(A16,"yyyy-mm"))-SUMIFS(凭证计算!$G$86:$G$239,凭证计算!$E$86:$E$239,"6111",凭证计算!$B$86:$B$239,TEXT(A16,"yyyy-mm"))+SUMIFS(凭证计算!$H$86:$H$239,凭证计算!$E$86:$E$239,"6115",凭证计算!$B$86:$B$239,TEXT(A16,"yyyy-mm"))-SUMIFS(凭证计算!$G$86:$G$239,凭证计算!$E$86:$E$239,"6115",凭证计算!$B$86:$B$239,TEXT(A16,"yyyy-mm"))+SUMIFS(凭证计算!$H$86:$H$239,凭证计算!$E$86:$E$239,"6117",凭证计算!$B$86:$B$239,TEXT(A16,"yyyy-mm"))-SUMIFS(凭证计算!$G$86:$G$239,凭证计算!$E$86:$E$239,"6117",凭证计算!$B$86:$B$239,TEXT(A16,"yyyy-mm")))-(SUMIFS(凭证计算!$G$86:$G$239,凭证计算!$E$86:$E$239,"6402",凭证计算!$B$86:$B$239,TEXT(A16,"yyyy-mm"))-SUMIFS(凭证计算!$H$86:$H$239,凭证计算!$E$86:$E$239,"6402",凭证计算!$B$86:$B$239,TEXT(A16,"yyyy-mm"))+SUMIFS(凭证计算!$G$86:$G$239,凭证计算!$E$86:$E$239,"6701",凭证计算!$B$86:$B$239,TEXT(A16,"yyyy-mm"))-SUMIFS(凭证计算!$H$86:$H$239,凭证计算!$E$86:$E$239,"6701",凭证计算!$B$86:$B$239,TEXT(A16,"yyyy-mm"))+SUMIFS(凭证计算!$G$86:$G$239,凭证计算!$E$86:$E$239,"6702",凭证计算!$B$86:$B$239,TEXT(A16,"yyyy-mm"))-SUMIFS(凭证计算!$H$86:$H$239,凭证计算!$E$86:$E$239,"6702",凭证计算!$B$86:$B$239,TEXT(A16,"yyyy-mm")))</f>
        <v>0</v>
      </c>
      <c r="M16" s="17">
        <f>L16+SUMIFS(凭证计算!$H$86:$H$239,凭证计算!$E$86:$E$239,"6301",凭证计算!$B$86:$B$239,TEXT(A16,"yyyy-mm"))-SUMIFS(凭证计算!$G$86:$G$239,凭证计算!$E$86:$E$239,"6301",凭证计算!$B$86:$B$239,TEXT(A16,"yyyy-mm"))-(SUMIFS(凭证计算!$G$86:$G$239,凭证计算!$E$86:$E$239,"6711",凭证计算!$B$86:$B$239,TEXT(A16,"yyyy-mm"))-SUMIFS(凭证计算!$H$86:$H$239,凭证计算!$E$86:$E$239,"6711",凭证计算!$B$86:$B$239,TEXT(A16,"yyyy-mm")))-(SUMIFS(凭证计算!$G$86:$G$239,凭证计算!$E$86:$E$239,"6801",凭证计算!$B$86:$B$239,TEXT(A16,"yyyy-mm"))-SUMIFS(凭证计算!$H$86:$H$239,凭证计算!$E$86:$E$239,"6801",凭证计算!$B$86:$B$239,TEXT(A16,"yyyy-mm")))</f>
        <v>0</v>
      </c>
      <c r="N16" s="17">
        <f>SUMIFS(资金流水!$J$4:$J$103,资金流水!$B$4:$B$103,TEXT(A16,"yyyy-mm"))-SUMIFS(资金流水!$K$4:$K$103,资金流水!$B$4:$B$103,TEXT(A16,"yyyy-mm"),资金流水!$D$4:$D$103,"&lt;&gt;账户转账")</f>
        <v>0</v>
      </c>
    </row>
    <row r="17" spans="1:14">
      <c r="B17" s="17"/>
      <c r="C17" s="17"/>
      <c r="D17" s="17"/>
      <c r="E17" s="52"/>
      <c r="F17" s="17"/>
      <c r="G17" s="17"/>
      <c r="H17" s="17"/>
      <c r="I17" s="17"/>
      <c r="J17" s="17"/>
      <c r="K17" s="17"/>
      <c r="L17" s="17"/>
      <c r="M17" s="17"/>
      <c r="N17" s="17"/>
    </row>
    <row r="18" spans="1:14">
      <c r="A18" t="s">
        <v>587</v>
      </c>
      <c r="B18" s="17">
        <f>SUM(B5:B16)</f>
        <v>26080</v>
      </c>
      <c r="C18" s="17">
        <f>SUM(C5:C16)</f>
        <v>13040</v>
      </c>
      <c r="D18" s="17">
        <f>SUM(D5:D16)</f>
        <v>13040</v>
      </c>
      <c r="E18" s="52">
        <f>IFERROR(D18/B18,0)</f>
        <v>0.5</v>
      </c>
      <c r="F18" s="17">
        <f t="shared" ref="F18:N18" si="2">SUM(F5:F16)</f>
        <v>3200</v>
      </c>
      <c r="G18" s="17">
        <f t="shared" si="2"/>
        <v>2000</v>
      </c>
      <c r="H18" s="17">
        <f t="shared" si="2"/>
        <v>22600</v>
      </c>
      <c r="I18" s="17">
        <f t="shared" si="2"/>
        <v>0</v>
      </c>
      <c r="J18" s="17">
        <f t="shared" si="2"/>
        <v>0</v>
      </c>
      <c r="K18" s="17">
        <f t="shared" si="2"/>
        <v>0</v>
      </c>
      <c r="L18" s="17">
        <f t="shared" si="2"/>
        <v>-8360</v>
      </c>
      <c r="M18" s="17">
        <f t="shared" si="2"/>
        <v>-8360</v>
      </c>
      <c r="N18" s="17">
        <f t="shared" si="2"/>
        <v>-11400</v>
      </c>
    </row>
  </sheetData>
  <mergeCells count="2">
    <mergeCell ref="A1:N1"/>
    <mergeCell ref="A2:N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1" sqref="A1:AB1"/>
    </sheetView>
  </sheetViews>
  <sheetFormatPr defaultColWidth="9" defaultRowHeight="14.25"/>
  <sheetData>
    <row r="1" ht="20.25" spans="1:28">
      <c r="A1" s="45" t="s">
        <v>609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>
      <c r="A2" t="s">
        <v>2</v>
      </c>
      <c r="B2">
        <f>首页!$B$4</f>
        <v>46174</v>
      </c>
    </row>
    <row r="4" spans="1:28">
      <c r="A4" s="48" t="s">
        <v>156</v>
      </c>
      <c r="B4" s="48" t="s">
        <v>462</v>
      </c>
      <c r="C4" s="48" t="s">
        <v>463</v>
      </c>
      <c r="D4" s="48" t="s">
        <v>610</v>
      </c>
      <c r="E4" s="48" t="s">
        <v>9</v>
      </c>
      <c r="F4" s="48" t="s">
        <v>43</v>
      </c>
      <c r="H4" s="25" t="s">
        <v>172</v>
      </c>
      <c r="I4" s="25" t="s">
        <v>505</v>
      </c>
      <c r="J4" s="25" t="s">
        <v>506</v>
      </c>
      <c r="K4" s="25" t="s">
        <v>611</v>
      </c>
      <c r="L4" s="25" t="s">
        <v>612</v>
      </c>
      <c r="M4" s="25" t="s">
        <v>47</v>
      </c>
      <c r="O4" s="49" t="s">
        <v>19</v>
      </c>
      <c r="P4" s="49" t="s">
        <v>606</v>
      </c>
      <c r="Q4" s="49" t="s">
        <v>613</v>
      </c>
      <c r="R4" s="49" t="s">
        <v>614</v>
      </c>
      <c r="S4" s="49" t="s">
        <v>435</v>
      </c>
      <c r="T4" s="49" t="s">
        <v>607</v>
      </c>
      <c r="U4" s="49" t="s">
        <v>615</v>
      </c>
      <c r="W4" s="50" t="s">
        <v>20</v>
      </c>
      <c r="X4" s="50" t="s">
        <v>19</v>
      </c>
      <c r="Y4" s="50" t="s">
        <v>616</v>
      </c>
      <c r="Z4" s="50" t="s">
        <v>617</v>
      </c>
      <c r="AA4" s="50" t="s">
        <v>606</v>
      </c>
      <c r="AB4" s="50" t="s">
        <v>618</v>
      </c>
    </row>
    <row r="5" spans="1:28">
      <c r="A5" t="str">
        <f>IF(基础资料!Y5="","",基础资料!Y5)</f>
        <v>客户A</v>
      </c>
      <c r="B5" s="17">
        <f>IF(A5="","",SUMIFS(销售录入!$I$4:$I$203,销售录入!$C$4:$C$203,A5,销售录入!$B$4:$B$203,TEXT($B$2,"yyyy-mm")))</f>
        <v>4000</v>
      </c>
      <c r="C5" s="17">
        <f>IF(A5="","",SUMIFS(资金流水!$J$4:$J$203,资金流水!$F$4:$F$203,A5,资金流水!$D$4:$D$203,"客户回款",资金流水!$B$4:$B$203,TEXT($B$2,"yyyy-mm")))</f>
        <v>12000</v>
      </c>
      <c r="D5" s="17">
        <f>IF(A5="","",SUMIFS(应收明细账龄!$L$4:$L$213,应收明细账龄!$C$4:$C$213,A5))</f>
        <v>7000</v>
      </c>
      <c r="E5" s="17">
        <f>IF(A5="","",SUMIFS(应收明细账龄!$L$4:$L$213,应收明细账龄!$C$4:$C$213,A5,应收明细账龄!$M$4:$M$213,"&gt;0"))</f>
        <v>3000</v>
      </c>
      <c r="F5" t="str">
        <f>IF(A5="","",基础资料!Z5)</f>
        <v>张伟</v>
      </c>
      <c r="H5" t="str">
        <f>IF(基础资料!AE5="","",基础资料!AE5)</f>
        <v>供应商A</v>
      </c>
      <c r="I5" s="17">
        <f>IF(H5="","",SUMIFS(采购录入!$I$4:$I$203,采购录入!$C$4:$C$203,H5,采购录入!$B$4:$B$203,TEXT($B$2,"yyyy-mm")))</f>
        <v>3000</v>
      </c>
      <c r="J5" s="17">
        <f>IF(H5="","",SUMIFS(资金流水!$K$4:$K$203,资金流水!$F$4:$F$203,H5,资金流水!$D$4:$D$203,"供应商付款",资金流水!$B$4:$B$203,TEXT($B$2,"yyyy-mm")))</f>
        <v>10000</v>
      </c>
      <c r="K5" s="17">
        <f>IF(H5="","",SUMIFS(应付明细账龄!$K$4:$K$213,应付明细账龄!$C$4:$C$213,H5))</f>
        <v>18000</v>
      </c>
      <c r="L5" s="17">
        <f>IF(H5="","",SUMIFS(应付明细账龄!$K$4:$K$213,应付明细账龄!$C$4:$C$213,H5,应付明细账龄!$L$4:$L$213,"&lt;=0"))</f>
        <v>15000</v>
      </c>
      <c r="M5" t="str">
        <f>IF(H5="","",基础资料!AF5)</f>
        <v>王强</v>
      </c>
      <c r="O5" t="str">
        <f>IF(基础资料!F5="","",基础资料!F5)</f>
        <v>销售部</v>
      </c>
      <c r="P5" s="17">
        <f>IF(O5="","",SUMIFS(销售录入!$I$4:$I$203,销售录入!$M$4:$M$203,O5,销售录入!$B$4:$B$203,TEXT($B$2,"yyyy-mm")))</f>
        <v>23580</v>
      </c>
      <c r="Q5" s="17">
        <f>IF(O5="","",SUMIFS(资金流水!$J$4:$J$203,资金流水!$G$4:$G$203,O5,资金流水!$B$4:$B$203,TEXT($B$2,"yyyy-mm")))</f>
        <v>20000</v>
      </c>
      <c r="R5" s="17">
        <f>IF(O5="","",SUMIFS(资金流水!$K$4:$K$203,资金流水!$G$4:$G$203,O5,资金流水!$C$4:$C$203,"支出",资金流水!$B$4:$B$203,TEXT($B$2,"yyyy-mm")))</f>
        <v>0</v>
      </c>
      <c r="S5" s="17">
        <f>IF(O5="","",SUMIFS(销售录入!$K$4:$K$203,销售录入!$M$4:$M$203,O5,销售录入!$B$4:$B$203,TEXT($B$2,"yyyy-mm")))</f>
        <v>11790</v>
      </c>
      <c r="T5" s="17">
        <f t="shared" ref="T5:T24" si="0">IF(O5="","",P5-S5)</f>
        <v>11790</v>
      </c>
      <c r="U5" s="17">
        <f t="shared" ref="U5:U24" si="1">IF(O5="","",Q5-R5)</f>
        <v>20000</v>
      </c>
      <c r="W5" t="str">
        <f>IF(基础资料!J5="","",基础资料!J5)</f>
        <v>张伟</v>
      </c>
      <c r="X5" t="str">
        <f>IF(W5="","",基础资料!K5)</f>
        <v>销售部</v>
      </c>
      <c r="Y5" s="17">
        <f>IF(W5="","",SUMIFS(资金流水!$J$4:$J$203,资金流水!$H$4:$H$203,W5,资金流水!$B$4:$B$203,TEXT($B$2,"yyyy-mm")))</f>
        <v>12000</v>
      </c>
      <c r="Z5" s="17">
        <f>IF(W5="","",SUMIFS(资金流水!$K$4:$K$203,资金流水!$H$4:$H$203,W5,资金流水!$B$4:$B$203,TEXT($B$2,"yyyy-mm")))</f>
        <v>0</v>
      </c>
      <c r="AA5" s="17">
        <f>IF(W5="","",SUMIFS(销售录入!$I$4:$I$203,销售录入!$N$4:$N$203,W5,销售录入!$B$4:$B$203,TEXT($B$2,"yyyy-mm")))</f>
        <v>10750</v>
      </c>
      <c r="AB5" s="17">
        <f>IF(W5="","",SUMIFS(采购录入!$I$4:$I$203,采购录入!$L$4:$L$203,W5,采购录入!$B$4:$B$203,TEXT($B$2,"yyyy-mm")))</f>
        <v>0</v>
      </c>
    </row>
    <row r="6" spans="1:28">
      <c r="A6" t="str">
        <f>IF(基础资料!Y6="","",基础资料!Y6)</f>
        <v>客户B</v>
      </c>
      <c r="B6" s="17">
        <f>IF(A6="","",SUMIFS(销售录入!$I$4:$I$203,销售录入!$C$4:$C$203,A6,销售录入!$B$4:$B$203,TEXT($B$2,"yyyy-mm")))</f>
        <v>3750</v>
      </c>
      <c r="C6" s="17">
        <f>IF(A6="","",SUMIFS(资金流水!$J$4:$J$203,资金流水!$F$4:$F$203,A6,资金流水!$D$4:$D$203,"客户回款",资金流水!$B$4:$B$203,TEXT($B$2,"yyyy-mm")))</f>
        <v>8000</v>
      </c>
      <c r="D6" s="17">
        <f>IF(A6="","",SUMIFS(应收明细账龄!$L$4:$L$213,应收明细账龄!$C$4:$C$213,A6))</f>
        <v>7750</v>
      </c>
      <c r="E6" s="17">
        <f>IF(A6="","",SUMIFS(应收明细账龄!$L$4:$L$213,应收明细账龄!$C$4:$C$213,A6,应收明细账龄!$M$4:$M$213,"&gt;0"))</f>
        <v>4000</v>
      </c>
      <c r="F6" t="str">
        <f>IF(A6="","",基础资料!Z6)</f>
        <v>李娜</v>
      </c>
      <c r="H6" t="str">
        <f>IF(基础资料!AE6="","",基础资料!AE6)</f>
        <v>供应商B</v>
      </c>
      <c r="I6" s="17">
        <f>IF(H6="","",SUMIFS(采购录入!$I$4:$I$203,采购录入!$C$4:$C$203,H6,采购录入!$B$4:$B$203,TEXT($B$2,"yyyy-mm")))</f>
        <v>2500</v>
      </c>
      <c r="J6" s="17">
        <f>IF(H6="","",SUMIFS(资金流水!$K$4:$K$203,资金流水!$F$4:$F$203,H6,资金流水!$D$4:$D$203,"供应商付款",资金流水!$B$4:$B$203,TEXT($B$2,"yyyy-mm")))</f>
        <v>0</v>
      </c>
      <c r="K6" s="17">
        <f>IF(H6="","",SUMIFS(应付明细账龄!$K$4:$K$213,应付明细账龄!$C$4:$C$213,H6))</f>
        <v>24500</v>
      </c>
      <c r="L6" s="17">
        <f>IF(H6="","",SUMIFS(应付明细账龄!$K$4:$K$213,应付明细账龄!$C$4:$C$213,H6,应付明细账龄!$L$4:$L$213,"&lt;=0"))</f>
        <v>22000</v>
      </c>
      <c r="M6" t="str">
        <f>IF(H6="","",基础资料!AF6)</f>
        <v>王强</v>
      </c>
      <c r="O6" t="str">
        <f>IF(基础资料!F6="","",基础资料!F6)</f>
        <v>财务部</v>
      </c>
      <c r="P6" s="17">
        <f>IF(O6="","",SUMIFS(销售录入!$I$4:$I$203,销售录入!$M$4:$M$203,O6,销售录入!$B$4:$B$203,TEXT($B$2,"yyyy-mm")))</f>
        <v>0</v>
      </c>
      <c r="Q6" s="17">
        <f>IF(O6="","",SUMIFS(资金流水!$J$4:$J$203,资金流水!$G$4:$G$203,O6,资金流水!$B$4:$B$203,TEXT($B$2,"yyyy-mm")))</f>
        <v>0</v>
      </c>
      <c r="R6" s="17">
        <f>IF(O6="","",SUMIFS(资金流水!$K$4:$K$203,资金流水!$G$4:$G$203,O6,资金流水!$C$4:$C$203,"支出",资金流水!$B$4:$B$203,TEXT($B$2,"yyyy-mm")))</f>
        <v>15000</v>
      </c>
      <c r="S6" s="17">
        <f>IF(O6="","",SUMIFS(销售录入!$K$4:$K$203,销售录入!$M$4:$M$203,O6,销售录入!$B$4:$B$203,TEXT($B$2,"yyyy-mm")))</f>
        <v>0</v>
      </c>
      <c r="T6" s="17">
        <f t="shared" si="0"/>
        <v>0</v>
      </c>
      <c r="U6" s="17">
        <f t="shared" si="1"/>
        <v>-15000</v>
      </c>
      <c r="W6" t="str">
        <f>IF(基础资料!J6="","",基础资料!J6)</f>
        <v>李娜</v>
      </c>
      <c r="X6" t="str">
        <f>IF(W6="","",基础资料!K6)</f>
        <v>销售部</v>
      </c>
      <c r="Y6" s="17">
        <f>IF(W6="","",SUMIFS(资金流水!$J$4:$J$203,资金流水!$H$4:$H$203,W6,资金流水!$B$4:$B$203,TEXT($B$2,"yyyy-mm")))</f>
        <v>8000</v>
      </c>
      <c r="Z6" s="17">
        <f>IF(W6="","",SUMIFS(资金流水!$K$4:$K$203,资金流水!$H$4:$H$203,W6,资金流水!$B$4:$B$203,TEXT($B$2,"yyyy-mm")))</f>
        <v>0</v>
      </c>
      <c r="AA6" s="17">
        <f>IF(W6="","",SUMIFS(销售录入!$I$4:$I$203,销售录入!$N$4:$N$203,W6,销售录入!$B$4:$B$203,TEXT($B$2,"yyyy-mm")))</f>
        <v>12830</v>
      </c>
      <c r="AB6" s="17">
        <f>IF(W6="","",SUMIFS(采购录入!$I$4:$I$203,采购录入!$L$4:$L$203,W6,采购录入!$B$4:$B$203,TEXT($B$2,"yyyy-mm")))</f>
        <v>0</v>
      </c>
    </row>
    <row r="7" spans="1:28">
      <c r="A7" t="str">
        <f>IF(基础资料!Y7="","",基础资料!Y7)</f>
        <v>客户C</v>
      </c>
      <c r="B7" s="17">
        <f>IF(A7="","",SUMIFS(销售录入!$I$4:$I$203,销售录入!$C$4:$C$203,A7,销售录入!$B$4:$B$203,TEXT($B$2,"yyyy-mm")))</f>
        <v>3000</v>
      </c>
      <c r="C7" s="17">
        <f>IF(A7="","",SUMIFS(资金流水!$J$4:$J$203,资金流水!$F$4:$F$203,A7,资金流水!$D$4:$D$203,"客户回款",资金流水!$B$4:$B$203,TEXT($B$2,"yyyy-mm")))</f>
        <v>0</v>
      </c>
      <c r="D7" s="17">
        <f>IF(A7="","",SUMIFS(应收明细账龄!$L$4:$L$213,应收明细账龄!$C$4:$C$213,A7))</f>
        <v>21000</v>
      </c>
      <c r="E7" s="17">
        <f>IF(A7="","",SUMIFS(应收明细账龄!$L$4:$L$213,应收明细账龄!$C$4:$C$213,A7,应收明细账龄!$M$4:$M$213,"&gt;0"))</f>
        <v>18000</v>
      </c>
      <c r="F7" t="str">
        <f>IF(A7="","",基础资料!Z7)</f>
        <v>张伟</v>
      </c>
      <c r="H7" t="str">
        <f>IF(基础资料!AE7="","",基础资料!AE7)</f>
        <v>供应商C</v>
      </c>
      <c r="I7" s="17">
        <f>IF(H7="","",SUMIFS(采购录入!$I$4:$I$203,采购录入!$C$4:$C$203,H7,采购录入!$B$4:$B$203,TEXT($B$2,"yyyy-mm")))</f>
        <v>2500</v>
      </c>
      <c r="J7" s="17">
        <f>IF(H7="","",SUMIFS(资金流水!$K$4:$K$203,资金流水!$F$4:$F$203,H7,资金流水!$D$4:$D$203,"供应商付款",资金流水!$B$4:$B$203,TEXT($B$2,"yyyy-mm")))</f>
        <v>0</v>
      </c>
      <c r="K7" s="17">
        <f>IF(H7="","",SUMIFS(应付明细账龄!$K$4:$K$213,应付明细账龄!$C$4:$C$213,H7))</f>
        <v>20500</v>
      </c>
      <c r="L7" s="17">
        <f>IF(H7="","",SUMIFS(应付明细账龄!$K$4:$K$213,应付明细账龄!$C$4:$C$213,H7,应付明细账龄!$L$4:$L$213,"&lt;=0"))</f>
        <v>18000</v>
      </c>
      <c r="M7" t="str">
        <f>IF(H7="","",基础资料!AF7)</f>
        <v>王强</v>
      </c>
      <c r="O7" t="str">
        <f>IF(基础资料!F7="","",基础资料!F7)</f>
        <v>行政部</v>
      </c>
      <c r="P7" s="17">
        <f>IF(O7="","",SUMIFS(销售录入!$I$4:$I$203,销售录入!$M$4:$M$203,O7,销售录入!$B$4:$B$203,TEXT($B$2,"yyyy-mm")))</f>
        <v>0</v>
      </c>
      <c r="Q7" s="17">
        <f>IF(O7="","",SUMIFS(资金流水!$J$4:$J$203,资金流水!$G$4:$G$203,O7,资金流水!$B$4:$B$203,TEXT($B$2,"yyyy-mm")))</f>
        <v>0</v>
      </c>
      <c r="R7" s="17">
        <f>IF(O7="","",SUMIFS(资金流水!$K$4:$K$203,资金流水!$G$4:$G$203,O7,资金流水!$C$4:$C$203,"支出",资金流水!$B$4:$B$203,TEXT($B$2,"yyyy-mm")))</f>
        <v>7600</v>
      </c>
      <c r="S7" s="17">
        <f>IF(O7="","",SUMIFS(销售录入!$K$4:$K$203,销售录入!$M$4:$M$203,O7,销售录入!$B$4:$B$203,TEXT($B$2,"yyyy-mm")))</f>
        <v>0</v>
      </c>
      <c r="T7" s="17">
        <f t="shared" si="0"/>
        <v>0</v>
      </c>
      <c r="U7" s="17">
        <f t="shared" si="1"/>
        <v>-7600</v>
      </c>
      <c r="W7" t="str">
        <f>IF(基础资料!J7="","",基础资料!J7)</f>
        <v>王强</v>
      </c>
      <c r="X7" t="str">
        <f>IF(W7="","",基础资料!K7)</f>
        <v>采购部</v>
      </c>
      <c r="Y7" s="17">
        <f>IF(W7="","",SUMIFS(资金流水!$J$4:$J$203,资金流水!$H$4:$H$203,W7,资金流水!$B$4:$B$203,TEXT($B$2,"yyyy-mm")))</f>
        <v>0</v>
      </c>
      <c r="Z7" s="17">
        <f>IF(W7="","",SUMIFS(资金流水!$K$4:$K$203,资金流水!$H$4:$H$203,W7,资金流水!$B$4:$B$203,TEXT($B$2,"yyyy-mm")))</f>
        <v>10000</v>
      </c>
      <c r="AA7" s="17">
        <f>IF(W7="","",SUMIFS(销售录入!$I$4:$I$203,销售录入!$N$4:$N$203,W7,销售录入!$B$4:$B$203,TEXT($B$2,"yyyy-mm")))</f>
        <v>0</v>
      </c>
      <c r="AB7" s="17">
        <f>IF(W7="","",SUMIFS(采购录入!$I$4:$I$203,采购录入!$L$4:$L$203,W7,采购录入!$B$4:$B$203,TEXT($B$2,"yyyy-mm")))</f>
        <v>20300</v>
      </c>
    </row>
    <row r="8" spans="1:28">
      <c r="A8" t="str">
        <f>IF(基础资料!Y8="","",基础资料!Y8)</f>
        <v>客户D</v>
      </c>
      <c r="B8" s="17">
        <f>IF(A8="","",SUMIFS(销售录入!$I$4:$I$203,销售录入!$C$4:$C$203,A8,销售录入!$B$4:$B$203,TEXT($B$2,"yyyy-mm")))</f>
        <v>3200</v>
      </c>
      <c r="C8" s="17">
        <f>IF(A8="","",SUMIFS(资金流水!$J$4:$J$203,资金流水!$F$4:$F$203,A8,资金流水!$D$4:$D$203,"客户回款",资金流水!$B$4:$B$203,TEXT($B$2,"yyyy-mm")))</f>
        <v>0</v>
      </c>
      <c r="D8" s="17">
        <f>IF(A8="","",SUMIFS(应收明细账龄!$L$4:$L$213,应收明细账龄!$C$4:$C$213,A8))</f>
        <v>11200</v>
      </c>
      <c r="E8" s="17">
        <f>IF(A8="","",SUMIFS(应收明细账龄!$L$4:$L$213,应收明细账龄!$C$4:$C$213,A8,应收明细账龄!$M$4:$M$213,"&gt;0"))</f>
        <v>8000</v>
      </c>
      <c r="F8" t="str">
        <f>IF(A8="","",基础资料!Z8)</f>
        <v>李娜</v>
      </c>
      <c r="H8" t="str">
        <f>IF(基础资料!AE8="","",基础资料!AE8)</f>
        <v>供应商D</v>
      </c>
      <c r="I8" s="17">
        <f>IF(H8="","",SUMIFS(采购录入!$I$4:$I$203,采购录入!$C$4:$C$203,H8,采购录入!$B$4:$B$203,TEXT($B$2,"yyyy-mm")))</f>
        <v>2000</v>
      </c>
      <c r="J8" s="17">
        <f>IF(H8="","",SUMIFS(资金流水!$K$4:$K$203,资金流水!$F$4:$F$203,H8,资金流水!$D$4:$D$203,"供应商付款",资金流水!$B$4:$B$203,TEXT($B$2,"yyyy-mm")))</f>
        <v>0</v>
      </c>
      <c r="K8" s="17">
        <f>IF(H8="","",SUMIFS(应付明细账龄!$K$4:$K$213,应付明细账龄!$C$4:$C$213,H8))</f>
        <v>32000</v>
      </c>
      <c r="L8" s="17">
        <f>IF(H8="","",SUMIFS(应付明细账龄!$K$4:$K$213,应付明细账龄!$C$4:$C$213,H8,应付明细账龄!$L$4:$L$213,"&lt;=0"))</f>
        <v>30000</v>
      </c>
      <c r="M8" t="str">
        <f>IF(H8="","",基础资料!AF8)</f>
        <v>王强</v>
      </c>
      <c r="O8" t="str">
        <f>IF(基础资料!F8="","",基础资料!F8)</f>
        <v>采购部</v>
      </c>
      <c r="P8" s="17">
        <f>IF(O8="","",SUMIFS(销售录入!$I$4:$I$203,销售录入!$M$4:$M$203,O8,销售录入!$B$4:$B$203,TEXT($B$2,"yyyy-mm")))</f>
        <v>0</v>
      </c>
      <c r="Q8" s="17">
        <f>IF(O8="","",SUMIFS(资金流水!$J$4:$J$203,资金流水!$G$4:$G$203,O8,资金流水!$B$4:$B$203,TEXT($B$2,"yyyy-mm")))</f>
        <v>0</v>
      </c>
      <c r="R8" s="17">
        <f>IF(O8="","",SUMIFS(资金流水!$K$4:$K$203,资金流水!$G$4:$G$203,O8,资金流水!$C$4:$C$203,"支出",资金流水!$B$4:$B$203,TEXT($B$2,"yyyy-mm")))</f>
        <v>10000</v>
      </c>
      <c r="S8" s="17">
        <f>IF(O8="","",SUMIFS(销售录入!$K$4:$K$203,销售录入!$M$4:$M$203,O8,销售录入!$B$4:$B$203,TEXT($B$2,"yyyy-mm")))</f>
        <v>0</v>
      </c>
      <c r="T8" s="17">
        <f t="shared" si="0"/>
        <v>0</v>
      </c>
      <c r="U8" s="17">
        <f t="shared" si="1"/>
        <v>-10000</v>
      </c>
      <c r="W8" t="str">
        <f>IF(基础资料!J8="","",基础资料!J8)</f>
        <v>陈敏</v>
      </c>
      <c r="X8" t="str">
        <f>IF(W8="","",基础资料!K8)</f>
        <v>行政部</v>
      </c>
      <c r="Y8" s="17">
        <f>IF(W8="","",SUMIFS(资金流水!$J$4:$J$203,资金流水!$H$4:$H$203,W8,资金流水!$B$4:$B$203,TEXT($B$2,"yyyy-mm")))</f>
        <v>0</v>
      </c>
      <c r="Z8" s="17">
        <f>IF(W8="","",SUMIFS(资金流水!$K$4:$K$203,资金流水!$H$4:$H$203,W8,资金流水!$B$4:$B$203,TEXT($B$2,"yyyy-mm")))</f>
        <v>7600</v>
      </c>
      <c r="AA8" s="17">
        <f>IF(W8="","",SUMIFS(销售录入!$I$4:$I$203,销售录入!$N$4:$N$203,W8,销售录入!$B$4:$B$203,TEXT($B$2,"yyyy-mm")))</f>
        <v>0</v>
      </c>
      <c r="AB8" s="17">
        <f>IF(W8="","",SUMIFS(采购录入!$I$4:$I$203,采购录入!$L$4:$L$203,W8,采购录入!$B$4:$B$203,TEXT($B$2,"yyyy-mm")))</f>
        <v>0</v>
      </c>
    </row>
    <row r="9" spans="1:28">
      <c r="A9" t="str">
        <f>IF(基础资料!Y9="","",基础资料!Y9)</f>
        <v>客户E</v>
      </c>
      <c r="B9" s="17">
        <f>IF(A9="","",SUMIFS(销售录入!$I$4:$I$203,销售录入!$C$4:$C$203,A9,销售录入!$B$4:$B$203,TEXT($B$2,"yyyy-mm")))</f>
        <v>2500</v>
      </c>
      <c r="C9" s="17">
        <f>IF(A9="","",SUMIFS(资金流水!$J$4:$J$203,资金流水!$F$4:$F$203,A9,资金流水!$D$4:$D$203,"客户回款",资金流水!$B$4:$B$203,TEXT($B$2,"yyyy-mm")))</f>
        <v>0</v>
      </c>
      <c r="D9" s="17">
        <f>IF(A9="","",SUMIFS(应收明细账龄!$L$4:$L$213,应收明细账龄!$C$4:$C$213,A9))</f>
        <v>27500</v>
      </c>
      <c r="E9" s="17">
        <f>IF(A9="","",SUMIFS(应收明细账龄!$L$4:$L$213,应收明细账龄!$C$4:$C$213,A9,应收明细账龄!$M$4:$M$213,"&gt;0"))</f>
        <v>25000</v>
      </c>
      <c r="F9" t="str">
        <f>IF(A9="","",基础资料!Z9)</f>
        <v>张伟</v>
      </c>
      <c r="H9" t="str">
        <f>IF(基础资料!AE9="","",基础资料!AE9)</f>
        <v>供应商E</v>
      </c>
      <c r="I9" s="17">
        <f>IF(H9="","",SUMIFS(采购录入!$I$4:$I$203,采购录入!$C$4:$C$203,H9,采购录入!$B$4:$B$203,TEXT($B$2,"yyyy-mm")))</f>
        <v>2000</v>
      </c>
      <c r="J9" s="17">
        <f>IF(H9="","",SUMIFS(资金流水!$K$4:$K$203,资金流水!$F$4:$F$203,H9,资金流水!$D$4:$D$203,"供应商付款",资金流水!$B$4:$B$203,TEXT($B$2,"yyyy-mm")))</f>
        <v>0</v>
      </c>
      <c r="K9" s="17">
        <f>IF(H9="","",SUMIFS(应付明细账龄!$K$4:$K$213,应付明细账龄!$C$4:$C$213,H9))</f>
        <v>17000</v>
      </c>
      <c r="L9" s="17">
        <f>IF(H9="","",SUMIFS(应付明细账龄!$K$4:$K$213,应付明细账龄!$C$4:$C$213,H9,应付明细账龄!$L$4:$L$213,"&lt;=0"))</f>
        <v>15000</v>
      </c>
      <c r="M9" t="str">
        <f>IF(H9="","",基础资料!AF9)</f>
        <v>王强</v>
      </c>
      <c r="O9" t="str">
        <f>IF(基础资料!F9="","",基础资料!F9)</f>
        <v>生产一部</v>
      </c>
      <c r="P9" s="17">
        <f>IF(O9="","",SUMIFS(销售录入!$I$4:$I$203,销售录入!$M$4:$M$203,O9,销售录入!$B$4:$B$203,TEXT($B$2,"yyyy-mm")))</f>
        <v>0</v>
      </c>
      <c r="Q9" s="17">
        <f>IF(O9="","",SUMIFS(资金流水!$J$4:$J$203,资金流水!$G$4:$G$203,O9,资金流水!$B$4:$B$203,TEXT($B$2,"yyyy-mm")))</f>
        <v>0</v>
      </c>
      <c r="R9" s="17">
        <f>IF(O9="","",SUMIFS(资金流水!$K$4:$K$203,资金流水!$G$4:$G$203,O9,资金流水!$C$4:$C$203,"支出",资金流水!$B$4:$B$203,TEXT($B$2,"yyyy-mm")))</f>
        <v>0</v>
      </c>
      <c r="S9" s="17">
        <f>IF(O9="","",SUMIFS(销售录入!$K$4:$K$203,销售录入!$M$4:$M$203,O9,销售录入!$B$4:$B$203,TEXT($B$2,"yyyy-mm")))</f>
        <v>0</v>
      </c>
      <c r="T9" s="17">
        <f t="shared" si="0"/>
        <v>0</v>
      </c>
      <c r="U9" s="17">
        <f t="shared" si="1"/>
        <v>0</v>
      </c>
      <c r="W9" t="str">
        <f>IF(基础资料!J9="","",基础资料!J9)</f>
        <v>赵静</v>
      </c>
      <c r="X9" t="str">
        <f>IF(W9="","",基础资料!K9)</f>
        <v>财务部</v>
      </c>
      <c r="Y9" s="17">
        <f>IF(W9="","",SUMIFS(资金流水!$J$4:$J$203,资金流水!$H$4:$H$203,W9,资金流水!$B$4:$B$203,TEXT($B$2,"yyyy-mm")))</f>
        <v>0</v>
      </c>
      <c r="Z9" s="17">
        <f>IF(W9="","",SUMIFS(资金流水!$K$4:$K$203,资金流水!$H$4:$H$203,W9,资金流水!$B$4:$B$203,TEXT($B$2,"yyyy-mm")))</f>
        <v>35000</v>
      </c>
      <c r="AA9" s="17">
        <f>IF(W9="","",SUMIFS(销售录入!$I$4:$I$203,销售录入!$N$4:$N$203,W9,销售录入!$B$4:$B$203,TEXT($B$2,"yyyy-mm")))</f>
        <v>0</v>
      </c>
      <c r="AB9" s="17">
        <f>IF(W9="","",SUMIFS(采购录入!$I$4:$I$203,采购录入!$L$4:$L$203,W9,采购录入!$B$4:$B$203,TEXT($B$2,"yyyy-mm")))</f>
        <v>0</v>
      </c>
    </row>
    <row r="10" spans="1:28">
      <c r="A10" t="str">
        <f>IF(基础资料!Y10="","",基础资料!Y10)</f>
        <v>客户F</v>
      </c>
      <c r="B10" s="17">
        <f>IF(A10="","",SUMIFS(销售录入!$I$4:$I$203,销售录入!$C$4:$C$203,A10,销售录入!$B$4:$B$203,TEXT($B$2,"yyyy-mm")))</f>
        <v>1920</v>
      </c>
      <c r="C10" s="17">
        <f>IF(A10="","",SUMIFS(资金流水!$J$4:$J$203,资金流水!$F$4:$F$203,A10,资金流水!$D$4:$D$203,"客户回款",资金流水!$B$4:$B$203,TEXT($B$2,"yyyy-mm")))</f>
        <v>0</v>
      </c>
      <c r="D10" s="17">
        <f>IF(A10="","",SUMIFS(应收明细账龄!$L$4:$L$213,应收明细账龄!$C$4:$C$213,A10))</f>
        <v>17920</v>
      </c>
      <c r="E10" s="17">
        <f>IF(A10="","",SUMIFS(应收明细账龄!$L$4:$L$213,应收明细账龄!$C$4:$C$213,A10,应收明细账龄!$M$4:$M$213,"&gt;0"))</f>
        <v>16000</v>
      </c>
      <c r="F10" t="str">
        <f>IF(A10="","",基础资料!Z10)</f>
        <v>李娜</v>
      </c>
      <c r="H10" t="str">
        <f>IF(基础资料!AE10="","",基础资料!AE10)</f>
        <v>供应商F</v>
      </c>
      <c r="I10" s="17">
        <f>IF(H10="","",SUMIFS(采购录入!$I$4:$I$203,采购录入!$C$4:$C$203,H10,采购录入!$B$4:$B$203,TEXT($B$2,"yyyy-mm")))</f>
        <v>2000</v>
      </c>
      <c r="J10" s="17">
        <f>IF(H10="","",SUMIFS(资金流水!$K$4:$K$203,资金流水!$F$4:$F$203,H10,资金流水!$D$4:$D$203,"供应商付款",资金流水!$B$4:$B$203,TEXT($B$2,"yyyy-mm")))</f>
        <v>0</v>
      </c>
      <c r="K10" s="17">
        <f>IF(H10="","",SUMIFS(应付明细账龄!$K$4:$K$213,应付明细账龄!$C$4:$C$213,H10))</f>
        <v>26000</v>
      </c>
      <c r="L10" s="17">
        <f>IF(H10="","",SUMIFS(应付明细账龄!$K$4:$K$213,应付明细账龄!$C$4:$C$213,H10,应付明细账龄!$L$4:$L$213,"&lt;=0"))</f>
        <v>24000</v>
      </c>
      <c r="M10" t="str">
        <f>IF(H10="","",基础资料!AF10)</f>
        <v>王强</v>
      </c>
      <c r="O10" t="str">
        <f>IF(基础资料!F10="","",基础资料!F10)</f>
        <v>生产二部</v>
      </c>
      <c r="P10" s="17">
        <f>IF(O10="","",SUMIFS(销售录入!$I$4:$I$203,销售录入!$M$4:$M$203,O10,销售录入!$B$4:$B$203,TEXT($B$2,"yyyy-mm")))</f>
        <v>0</v>
      </c>
      <c r="Q10" s="17">
        <f>IF(O10="","",SUMIFS(资金流水!$J$4:$J$203,资金流水!$G$4:$G$203,O10,资金流水!$B$4:$B$203,TEXT($B$2,"yyyy-mm")))</f>
        <v>0</v>
      </c>
      <c r="R10" s="17">
        <f>IF(O10="","",SUMIFS(资金流水!$K$4:$K$203,资金流水!$G$4:$G$203,O10,资金流水!$C$4:$C$203,"支出",资金流水!$B$4:$B$203,TEXT($B$2,"yyyy-mm")))</f>
        <v>0</v>
      </c>
      <c r="S10" s="17">
        <f>IF(O10="","",SUMIFS(销售录入!$K$4:$K$203,销售录入!$M$4:$M$203,O10,销售录入!$B$4:$B$203,TEXT($B$2,"yyyy-mm")))</f>
        <v>0</v>
      </c>
      <c r="T10" s="17">
        <f t="shared" si="0"/>
        <v>0</v>
      </c>
      <c r="U10" s="17">
        <f t="shared" si="1"/>
        <v>0</v>
      </c>
      <c r="W10" t="str">
        <f>IF(基础资料!J10="","",基础资料!J10)</f>
        <v>刘洋</v>
      </c>
      <c r="X10" t="str">
        <f>IF(W10="","",基础资料!K10)</f>
        <v>仓储部</v>
      </c>
      <c r="Y10" s="17">
        <f>IF(W10="","",SUMIFS(资金流水!$J$4:$J$203,资金流水!$H$4:$H$203,W10,资金流水!$B$4:$B$203,TEXT($B$2,"yyyy-mm")))</f>
        <v>0</v>
      </c>
      <c r="Z10" s="17">
        <f>IF(W10="","",SUMIFS(资金流水!$K$4:$K$203,资金流水!$H$4:$H$203,W10,资金流水!$B$4:$B$203,TEXT($B$2,"yyyy-mm")))</f>
        <v>0</v>
      </c>
      <c r="AA10" s="17">
        <f>IF(W10="","",SUMIFS(销售录入!$I$4:$I$203,销售录入!$N$4:$N$203,W10,销售录入!$B$4:$B$203,TEXT($B$2,"yyyy-mm")))</f>
        <v>0</v>
      </c>
      <c r="AB10" s="17">
        <f>IF(W10="","",SUMIFS(采购录入!$I$4:$I$203,采购录入!$L$4:$L$203,W10,采购录入!$B$4:$B$203,TEXT($B$2,"yyyy-mm")))</f>
        <v>0</v>
      </c>
    </row>
    <row r="11" spans="1:28">
      <c r="A11" t="str">
        <f>IF(基础资料!Y11="","",基础资料!Y11)</f>
        <v>客户G</v>
      </c>
      <c r="B11" s="17">
        <f>IF(A11="","",SUMIFS(销售录入!$I$4:$I$203,销售录入!$C$4:$C$203,A11,销售录入!$B$4:$B$203,TEXT($B$2,"yyyy-mm")))</f>
        <v>2250</v>
      </c>
      <c r="C11" s="17">
        <f>IF(A11="","",SUMIFS(资金流水!$J$4:$J$203,资金流水!$F$4:$F$203,A11,资金流水!$D$4:$D$203,"客户回款",资金流水!$B$4:$B$203,TEXT($B$2,"yyyy-mm")))</f>
        <v>0</v>
      </c>
      <c r="D11" s="17">
        <f>IF(A11="","",SUMIFS(应收明细账龄!$L$4:$L$213,应收明细账龄!$C$4:$C$213,A11))</f>
        <v>16250</v>
      </c>
      <c r="E11" s="17">
        <f>IF(A11="","",SUMIFS(应收明细账龄!$L$4:$L$213,应收明细账龄!$C$4:$C$213,A11,应收明细账龄!$M$4:$M$213,"&gt;0"))</f>
        <v>14000</v>
      </c>
      <c r="F11" t="str">
        <f>IF(A11="","",基础资料!Z11)</f>
        <v>张伟</v>
      </c>
      <c r="H11" t="str">
        <f>IF(基础资料!AE11="","",基础资料!AE11)</f>
        <v>供应商G</v>
      </c>
      <c r="I11" s="17">
        <f>IF(H11="","",SUMIFS(采购录入!$I$4:$I$203,采购录入!$C$4:$C$203,H11,采购录入!$B$4:$B$203,TEXT($B$2,"yyyy-mm")))</f>
        <v>1500</v>
      </c>
      <c r="J11" s="17">
        <f>IF(H11="","",SUMIFS(资金流水!$K$4:$K$203,资金流水!$F$4:$F$203,H11,资金流水!$D$4:$D$203,"供应商付款",资金流水!$B$4:$B$203,TEXT($B$2,"yyyy-mm")))</f>
        <v>0</v>
      </c>
      <c r="K11" s="17">
        <f>IF(H11="","",SUMIFS(应付明细账龄!$K$4:$K$213,应付明细账龄!$C$4:$C$213,H11))</f>
        <v>21500</v>
      </c>
      <c r="L11" s="17">
        <f>IF(H11="","",SUMIFS(应付明细账龄!$K$4:$K$213,应付明细账龄!$C$4:$C$213,H11,应付明细账龄!$L$4:$L$213,"&lt;=0"))</f>
        <v>20000</v>
      </c>
      <c r="M11" t="str">
        <f>IF(H11="","",基础资料!AF11)</f>
        <v>王强</v>
      </c>
      <c r="O11" t="str">
        <f>IF(基础资料!F11="","",基础资料!F11)</f>
        <v>仓储部</v>
      </c>
      <c r="P11" s="17">
        <f>IF(O11="","",SUMIFS(销售录入!$I$4:$I$203,销售录入!$M$4:$M$203,O11,销售录入!$B$4:$B$203,TEXT($B$2,"yyyy-mm")))</f>
        <v>0</v>
      </c>
      <c r="Q11" s="17">
        <f>IF(O11="","",SUMIFS(资金流水!$J$4:$J$203,资金流水!$G$4:$G$203,O11,资金流水!$B$4:$B$203,TEXT($B$2,"yyyy-mm")))</f>
        <v>0</v>
      </c>
      <c r="R11" s="17">
        <f>IF(O11="","",SUMIFS(资金流水!$K$4:$K$203,资金流水!$G$4:$G$203,O11,资金流水!$C$4:$C$203,"支出",资金流水!$B$4:$B$203,TEXT($B$2,"yyyy-mm")))</f>
        <v>0</v>
      </c>
      <c r="S11" s="17">
        <f>IF(O11="","",SUMIFS(销售录入!$K$4:$K$203,销售录入!$M$4:$M$203,O11,销售录入!$B$4:$B$203,TEXT($B$2,"yyyy-mm")))</f>
        <v>0</v>
      </c>
      <c r="T11" s="17">
        <f t="shared" si="0"/>
        <v>0</v>
      </c>
      <c r="U11" s="17">
        <f t="shared" si="1"/>
        <v>0</v>
      </c>
      <c r="W11" t="str">
        <f>IF(基础资料!J11="","",基础资料!J11)</f>
        <v>周磊</v>
      </c>
      <c r="X11" t="str">
        <f>IF(W11="","",基础资料!K11)</f>
        <v>生产一部</v>
      </c>
      <c r="Y11" s="17">
        <f>IF(W11="","",SUMIFS(资金流水!$J$4:$J$203,资金流水!$H$4:$H$203,W11,资金流水!$B$4:$B$203,TEXT($B$2,"yyyy-mm")))</f>
        <v>0</v>
      </c>
      <c r="Z11" s="17">
        <f>IF(W11="","",SUMIFS(资金流水!$K$4:$K$203,资金流水!$H$4:$H$203,W11,资金流水!$B$4:$B$203,TEXT($B$2,"yyyy-mm")))</f>
        <v>0</v>
      </c>
      <c r="AA11" s="17">
        <f>IF(W11="","",SUMIFS(销售录入!$I$4:$I$203,销售录入!$N$4:$N$203,W11,销售录入!$B$4:$B$203,TEXT($B$2,"yyyy-mm")))</f>
        <v>0</v>
      </c>
      <c r="AB11" s="17">
        <f>IF(W11="","",SUMIFS(采购录入!$I$4:$I$203,采购录入!$L$4:$L$203,W11,采购录入!$B$4:$B$203,TEXT($B$2,"yyyy-mm")))</f>
        <v>0</v>
      </c>
    </row>
    <row r="12" spans="1:28">
      <c r="A12" t="str">
        <f>IF(基础资料!Y12="","",基础资料!Y12)</f>
        <v>客户H</v>
      </c>
      <c r="B12" s="17">
        <f>IF(A12="","",SUMIFS(销售录入!$I$4:$I$203,销售录入!$C$4:$C$203,A12,销售录入!$B$4:$B$203,TEXT($B$2,"yyyy-mm")))</f>
        <v>1800</v>
      </c>
      <c r="C12" s="17">
        <f>IF(A12="","",SUMIFS(资金流水!$J$4:$J$203,资金流水!$F$4:$F$203,A12,资金流水!$D$4:$D$203,"客户回款",资金流水!$B$4:$B$203,TEXT($B$2,"yyyy-mm")))</f>
        <v>0</v>
      </c>
      <c r="D12" s="17">
        <f>IF(A12="","",SUMIFS(应收明细账龄!$L$4:$L$213,应收明细账龄!$C$4:$C$213,A12))</f>
        <v>21800</v>
      </c>
      <c r="E12" s="17">
        <f>IF(A12="","",SUMIFS(应收明细账龄!$L$4:$L$213,应收明细账龄!$C$4:$C$213,A12,应收明细账龄!$M$4:$M$213,"&gt;0"))</f>
        <v>20000</v>
      </c>
      <c r="F12" t="str">
        <f>IF(A12="","",基础资料!Z12)</f>
        <v>李娜</v>
      </c>
      <c r="H12" t="str">
        <f>IF(基础资料!AE12="","",基础资料!AE12)</f>
        <v>供应商H</v>
      </c>
      <c r="I12" s="17">
        <f>IF(H12="","",SUMIFS(采购录入!$I$4:$I$203,采购录入!$C$4:$C$203,H12,采购录入!$B$4:$B$203,TEXT($B$2,"yyyy-mm")))</f>
        <v>1800</v>
      </c>
      <c r="J12" s="17">
        <f>IF(H12="","",SUMIFS(资金流水!$K$4:$K$203,资金流水!$F$4:$F$203,H12,资金流水!$D$4:$D$203,"供应商付款",资金流水!$B$4:$B$203,TEXT($B$2,"yyyy-mm")))</f>
        <v>0</v>
      </c>
      <c r="K12" s="17">
        <f>IF(H12="","",SUMIFS(应付明细账龄!$K$4:$K$213,应付明细账龄!$C$4:$C$213,H12))</f>
        <v>17800</v>
      </c>
      <c r="L12" s="17">
        <f>IF(H12="","",SUMIFS(应付明细账龄!$K$4:$K$213,应付明细账龄!$C$4:$C$213,H12,应付明细账龄!$L$4:$L$213,"&lt;=0"))</f>
        <v>16000</v>
      </c>
      <c r="M12" t="str">
        <f>IF(H12="","",基础资料!AF12)</f>
        <v>王强</v>
      </c>
      <c r="O12" t="str">
        <f>IF(基础资料!F12="","",基础资料!F12)</f>
        <v>电商部</v>
      </c>
      <c r="P12" s="17">
        <f>IF(O12="","",SUMIFS(销售录入!$I$4:$I$203,销售录入!$M$4:$M$203,O12,销售录入!$B$4:$B$203,TEXT($B$2,"yyyy-mm")))</f>
        <v>2500</v>
      </c>
      <c r="Q12" s="17">
        <f>IF(O12="","",SUMIFS(资金流水!$J$4:$J$203,资金流水!$G$4:$G$203,O12,资金流水!$B$4:$B$203,TEXT($B$2,"yyyy-mm")))</f>
        <v>0</v>
      </c>
      <c r="R12" s="17">
        <f>IF(O12="","",SUMIFS(资金流水!$K$4:$K$203,资金流水!$G$4:$G$203,O12,资金流水!$C$4:$C$203,"支出",资金流水!$B$4:$B$203,TEXT($B$2,"yyyy-mm")))</f>
        <v>2000</v>
      </c>
      <c r="S12" s="17">
        <f>IF(O12="","",SUMIFS(销售录入!$K$4:$K$203,销售录入!$M$4:$M$203,O12,销售录入!$B$4:$B$203,TEXT($B$2,"yyyy-mm")))</f>
        <v>1250</v>
      </c>
      <c r="T12" s="17">
        <f t="shared" si="0"/>
        <v>1250</v>
      </c>
      <c r="U12" s="17">
        <f t="shared" si="1"/>
        <v>-2000</v>
      </c>
      <c r="W12" t="str">
        <f>IF(基础资料!J12="","",基础资料!J12)</f>
        <v>孙悦</v>
      </c>
      <c r="X12" t="str">
        <f>IF(W12="","",基础资料!K12)</f>
        <v>电商部</v>
      </c>
      <c r="Y12" s="17">
        <f>IF(W12="","",SUMIFS(资金流水!$J$4:$J$203,资金流水!$H$4:$H$203,W12,资金流水!$B$4:$B$203,TEXT($B$2,"yyyy-mm")))</f>
        <v>0</v>
      </c>
      <c r="Z12" s="17">
        <f>IF(W12="","",SUMIFS(资金流水!$K$4:$K$203,资金流水!$H$4:$H$203,W12,资金流水!$B$4:$B$203,TEXT($B$2,"yyyy-mm")))</f>
        <v>2000</v>
      </c>
      <c r="AA12" s="17">
        <f>IF(W12="","",SUMIFS(销售录入!$I$4:$I$203,销售录入!$N$4:$N$203,W12,销售录入!$B$4:$B$203,TEXT($B$2,"yyyy-mm")))</f>
        <v>2500</v>
      </c>
      <c r="AB12" s="17">
        <f>IF(W12="","",SUMIFS(采购录入!$I$4:$I$203,采购录入!$L$4:$L$203,W12,采购录入!$B$4:$B$203,TEXT($B$2,"yyyy-mm")))</f>
        <v>0</v>
      </c>
    </row>
    <row r="13" spans="1:28">
      <c r="A13" t="str">
        <f>IF(基础资料!Y13="","",基础资料!Y13)</f>
        <v>客户I</v>
      </c>
      <c r="B13" s="17">
        <f>IF(A13="","",SUMIFS(销售录入!$I$4:$I$203,销售录入!$C$4:$C$203,A13,销售录入!$B$4:$B$203,TEXT($B$2,"yyyy-mm")))</f>
        <v>1500</v>
      </c>
      <c r="C13" s="17">
        <f>IF(A13="","",SUMIFS(资金流水!$J$4:$J$203,资金流水!$F$4:$F$203,A13,资金流水!$D$4:$D$203,"客户回款",资金流水!$B$4:$B$203,TEXT($B$2,"yyyy-mm")))</f>
        <v>0</v>
      </c>
      <c r="D13" s="17">
        <f>IF(A13="","",SUMIFS(应收明细账龄!$L$4:$L$213,应收明细账龄!$C$4:$C$213,A13))</f>
        <v>11500</v>
      </c>
      <c r="E13" s="17">
        <f>IF(A13="","",SUMIFS(应收明细账龄!$L$4:$L$213,应收明细账龄!$C$4:$C$213,A13,应收明细账龄!$M$4:$M$213,"&gt;0"))</f>
        <v>10000</v>
      </c>
      <c r="F13" t="str">
        <f>IF(A13="","",基础资料!Z13)</f>
        <v>张伟</v>
      </c>
      <c r="H13" t="str">
        <f>IF(基础资料!AE13="","",基础资料!AE13)</f>
        <v>供应商I</v>
      </c>
      <c r="I13" s="17">
        <f>IF(H13="","",SUMIFS(采购录入!$I$4:$I$203,采购录入!$C$4:$C$203,H13,采购录入!$B$4:$B$203,TEXT($B$2,"yyyy-mm")))</f>
        <v>1200</v>
      </c>
      <c r="J13" s="17">
        <f>IF(H13="","",SUMIFS(资金流水!$K$4:$K$203,资金流水!$F$4:$F$203,H13,资金流水!$D$4:$D$203,"供应商付款",资金流水!$B$4:$B$203,TEXT($B$2,"yyyy-mm")))</f>
        <v>0</v>
      </c>
      <c r="K13" s="17">
        <f>IF(H13="","",SUMIFS(应付明细账龄!$K$4:$K$213,应付明细账龄!$C$4:$C$213,H13))</f>
        <v>19200</v>
      </c>
      <c r="L13" s="17">
        <f>IF(H13="","",SUMIFS(应付明细账龄!$K$4:$K$213,应付明细账龄!$C$4:$C$213,H13,应付明细账龄!$L$4:$L$213,"&lt;=0"))</f>
        <v>18000</v>
      </c>
      <c r="M13" t="str">
        <f>IF(H13="","",基础资料!AF13)</f>
        <v>王强</v>
      </c>
      <c r="O13" t="str">
        <f>IF(基础资料!F13="","",基础资料!F13)</f>
        <v>售后部</v>
      </c>
      <c r="P13" s="17">
        <f>IF(O13="","",SUMIFS(销售录入!$I$4:$I$203,销售录入!$M$4:$M$203,O13,销售录入!$B$4:$B$203,TEXT($B$2,"yyyy-mm")))</f>
        <v>0</v>
      </c>
      <c r="Q13" s="17">
        <f>IF(O13="","",SUMIFS(资金流水!$J$4:$J$203,资金流水!$G$4:$G$203,O13,资金流水!$B$4:$B$203,TEXT($B$2,"yyyy-mm")))</f>
        <v>0</v>
      </c>
      <c r="R13" s="17">
        <f>IF(O13="","",SUMIFS(资金流水!$K$4:$K$203,资金流水!$G$4:$G$203,O13,资金流水!$C$4:$C$203,"支出",资金流水!$B$4:$B$203,TEXT($B$2,"yyyy-mm")))</f>
        <v>0</v>
      </c>
      <c r="S13" s="17">
        <f>IF(O13="","",SUMIFS(销售录入!$K$4:$K$203,销售录入!$M$4:$M$203,O13,销售录入!$B$4:$B$203,TEXT($B$2,"yyyy-mm")))</f>
        <v>0</v>
      </c>
      <c r="T13" s="17">
        <f t="shared" si="0"/>
        <v>0</v>
      </c>
      <c r="U13" s="17">
        <f t="shared" si="1"/>
        <v>0</v>
      </c>
      <c r="W13" t="str">
        <f>IF(基础资料!J13="","",基础资料!J13)</f>
        <v>吴刚</v>
      </c>
      <c r="X13" t="str">
        <f>IF(W13="","",基础资料!K13)</f>
        <v>售后部</v>
      </c>
      <c r="Y13" s="17">
        <f>IF(W13="","",SUMIFS(资金流水!$J$4:$J$203,资金流水!$H$4:$H$203,W13,资金流水!$B$4:$B$203,TEXT($B$2,"yyyy-mm")))</f>
        <v>0</v>
      </c>
      <c r="Z13" s="17">
        <f>IF(W13="","",SUMIFS(资金流水!$K$4:$K$203,资金流水!$H$4:$H$203,W13,资金流水!$B$4:$B$203,TEXT($B$2,"yyyy-mm")))</f>
        <v>0</v>
      </c>
      <c r="AA13" s="17">
        <f>IF(W13="","",SUMIFS(销售录入!$I$4:$I$203,销售录入!$N$4:$N$203,W13,销售录入!$B$4:$B$203,TEXT($B$2,"yyyy-mm")))</f>
        <v>0</v>
      </c>
      <c r="AB13" s="17">
        <f>IF(W13="","",SUMIFS(采购录入!$I$4:$I$203,采购录入!$L$4:$L$203,W13,采购录入!$B$4:$B$203,TEXT($B$2,"yyyy-mm")))</f>
        <v>0</v>
      </c>
    </row>
    <row r="14" spans="1:28">
      <c r="A14" t="str">
        <f>IF(基础资料!Y14="","",基础资料!Y14)</f>
        <v>客户J</v>
      </c>
      <c r="B14" s="17">
        <f>IF(A14="","",SUMIFS(销售录入!$I$4:$I$203,销售录入!$C$4:$C$203,A14,销售录入!$B$4:$B$203,TEXT($B$2,"yyyy-mm")))</f>
        <v>2160</v>
      </c>
      <c r="C14" s="17">
        <f>IF(A14="","",SUMIFS(资金流水!$J$4:$J$203,资金流水!$F$4:$F$203,A14,资金流水!$D$4:$D$203,"客户回款",资金流水!$B$4:$B$203,TEXT($B$2,"yyyy-mm")))</f>
        <v>0</v>
      </c>
      <c r="D14" s="17">
        <f>IF(A14="","",SUMIFS(应收明细账龄!$L$4:$L$213,应收明细账龄!$C$4:$C$213,A14))</f>
        <v>22160</v>
      </c>
      <c r="E14" s="17">
        <f>IF(A14="","",SUMIFS(应收明细账龄!$L$4:$L$213,应收明细账龄!$C$4:$C$213,A14,应收明细账龄!$M$4:$M$213,"&gt;0"))</f>
        <v>20000</v>
      </c>
      <c r="F14" t="str">
        <f>IF(A14="","",基础资料!Z14)</f>
        <v>李娜</v>
      </c>
      <c r="H14" t="str">
        <f>IF(基础资料!AE14="","",基础资料!AE14)</f>
        <v>供应商J</v>
      </c>
      <c r="I14" s="17">
        <f>IF(H14="","",SUMIFS(采购录入!$I$4:$I$203,采购录入!$C$4:$C$203,H14,采购录入!$B$4:$B$203,TEXT($B$2,"yyyy-mm")))</f>
        <v>1800</v>
      </c>
      <c r="J14" s="17">
        <f>IF(H14="","",SUMIFS(资金流水!$K$4:$K$203,资金流水!$F$4:$F$203,H14,资金流水!$D$4:$D$203,"供应商付款",资金流水!$B$4:$B$203,TEXT($B$2,"yyyy-mm")))</f>
        <v>0</v>
      </c>
      <c r="K14" s="17">
        <f>IF(H14="","",SUMIFS(应付明细账龄!$K$4:$K$213,应付明细账龄!$C$4:$C$213,H14))</f>
        <v>23800</v>
      </c>
      <c r="L14" s="17">
        <f>IF(H14="","",SUMIFS(应付明细账龄!$K$4:$K$213,应付明细账龄!$C$4:$C$213,H14,应付明细账龄!$L$4:$L$213,"&lt;=0"))</f>
        <v>22000</v>
      </c>
      <c r="M14" t="str">
        <f>IF(H14="","",基础资料!AF14)</f>
        <v>王强</v>
      </c>
      <c r="O14" t="str">
        <f>IF(基础资料!F14="","",基础资料!F14)</f>
        <v>管理层</v>
      </c>
      <c r="P14" s="17">
        <f>IF(O14="","",SUMIFS(销售录入!$I$4:$I$203,销售录入!$M$4:$M$203,O14,销售录入!$B$4:$B$203,TEXT($B$2,"yyyy-mm")))</f>
        <v>0</v>
      </c>
      <c r="Q14" s="17">
        <f>IF(O14="","",SUMIFS(资金流水!$J$4:$J$203,资金流水!$G$4:$G$203,O14,资金流水!$B$4:$B$203,TEXT($B$2,"yyyy-mm")))</f>
        <v>3200</v>
      </c>
      <c r="R14" s="17">
        <f>IF(O14="","",SUMIFS(资金流水!$K$4:$K$203,资金流水!$G$4:$G$203,O14,资金流水!$C$4:$C$203,"支出",资金流水!$B$4:$B$203,TEXT($B$2,"yyyy-mm")))</f>
        <v>0</v>
      </c>
      <c r="S14" s="17">
        <f>IF(O14="","",SUMIFS(销售录入!$K$4:$K$203,销售录入!$M$4:$M$203,O14,销售录入!$B$4:$B$203,TEXT($B$2,"yyyy-mm")))</f>
        <v>0</v>
      </c>
      <c r="T14" s="17">
        <f t="shared" si="0"/>
        <v>0</v>
      </c>
      <c r="U14" s="17">
        <f t="shared" si="1"/>
        <v>3200</v>
      </c>
      <c r="W14" t="str">
        <f>IF(基础资料!J14="","",基础资料!J14)</f>
        <v>郑欣</v>
      </c>
      <c r="X14" t="str">
        <f>IF(W14="","",基础资料!K14)</f>
        <v>管理层</v>
      </c>
      <c r="Y14" s="17">
        <f>IF(W14="","",SUMIFS(资金流水!$J$4:$J$203,资金流水!$H$4:$H$203,W14,资金流水!$B$4:$B$203,TEXT($B$2,"yyyy-mm")))</f>
        <v>3200</v>
      </c>
      <c r="Z14" s="17">
        <f>IF(W14="","",SUMIFS(资金流水!$K$4:$K$203,资金流水!$H$4:$H$203,W14,资金流水!$B$4:$B$203,TEXT($B$2,"yyyy-mm")))</f>
        <v>0</v>
      </c>
      <c r="AA14" s="17">
        <f>IF(W14="","",SUMIFS(销售录入!$I$4:$I$203,销售录入!$N$4:$N$203,W14,销售录入!$B$4:$B$203,TEXT($B$2,"yyyy-mm")))</f>
        <v>0</v>
      </c>
      <c r="AB14" s="17">
        <f>IF(W14="","",SUMIFS(采购录入!$I$4:$I$203,采购录入!$L$4:$L$203,W14,采购录入!$B$4:$B$203,TEXT($B$2,"yyyy-mm")))</f>
        <v>0</v>
      </c>
    </row>
    <row r="15" spans="1:28">
      <c r="A15" t="str">
        <f>IF(基础资料!Y15="","",基础资料!Y15)</f>
        <v/>
      </c>
      <c r="B15" s="17" t="str">
        <f>IF(A15="","",SUMIFS(销售录入!$I$4:$I$103,销售录入!$C$4:$C$103,A15,销售录入!$B$4:$B$103,TEXT($B$2,"yyyy-mm")))</f>
        <v/>
      </c>
      <c r="C15" s="17" t="str">
        <f>IF(A15="","",SUMIFS(资金流水!$J$4:$J$103,资金流水!$F$4:$F$103,A15,资金流水!$D$4:$D$103,"客户回款",资金流水!$B$4:$B$103,TEXT($B$2,"yyyy-mm")))</f>
        <v/>
      </c>
      <c r="D15" s="17" t="str">
        <f>IF(A15="","",SUMIFS(应收明细账龄!$L$4:$L$113,应收明细账龄!$C$4:$C$113,A15))</f>
        <v/>
      </c>
      <c r="E15" s="17" t="str">
        <f>IF(A15="","",SUMIFS(应收明细账龄!$L$4:$L$113,应收明细账龄!$C$4:$C$113,A15,应收明细账龄!$M$4:$M$113,"&gt;0"))</f>
        <v/>
      </c>
      <c r="F15" t="str">
        <f>IF(A15="","",基础资料!Z15)</f>
        <v/>
      </c>
      <c r="H15" t="str">
        <f>IF(基础资料!AE15="","",基础资料!AE15)</f>
        <v/>
      </c>
      <c r="I15" s="17" t="str">
        <f>IF(H15="","",SUMIFS(采购录入!$I$4:$I$103,采购录入!$C$4:$C$103,H15,采购录入!$B$4:$B$103,TEXT($B$2,"yyyy-mm")))</f>
        <v/>
      </c>
      <c r="J15" s="17" t="str">
        <f>IF(H15="","",SUMIFS(资金流水!$K$4:$K$103,资金流水!$F$4:$F$103,H15,资金流水!$D$4:$D$103,"供应商付款",资金流水!$B$4:$B$103,TEXT($B$2,"yyyy-mm")))</f>
        <v/>
      </c>
      <c r="K15" s="17" t="str">
        <f>IF(H15="","",SUMIFS(应付明细账龄!$K$4:$K$113,应付明细账龄!$C$4:$C$113,H15))</f>
        <v/>
      </c>
      <c r="L15" s="17" t="str">
        <f>IF(H15="","",SUMIFS(应付明细账龄!$K$4:$K$113,应付明细账龄!$C$4:$C$113,H15,应付明细账龄!$L$4:$L$113,"&lt;=0"))</f>
        <v/>
      </c>
      <c r="M15" t="str">
        <f>IF(H15="","",基础资料!AF15)</f>
        <v/>
      </c>
      <c r="O15" t="str">
        <f>IF(基础资料!F15="","",基础资料!F15)</f>
        <v/>
      </c>
      <c r="P15" s="17" t="str">
        <f>IF(O15="","",SUMIFS(销售录入!$I$4:$I$103,销售录入!$M$4:$M$103,O15,销售录入!$B$4:$B$103,TEXT($B$2,"yyyy-mm")))</f>
        <v/>
      </c>
      <c r="Q15" s="17" t="str">
        <f>IF(O15="","",SUMIFS(资金流水!$J$4:$J$103,资金流水!$G$4:$G$103,O15,资金流水!$B$4:$B$103,TEXT($B$2,"yyyy-mm")))</f>
        <v/>
      </c>
      <c r="R15" s="17" t="str">
        <f>IF(O15="","",SUMIFS(资金流水!$K$4:$K$103,资金流水!$G$4:$G$103,O15,资金流水!$C$4:$C$103,"支出",资金流水!$B$4:$B$103,TEXT($B$2,"yyyy-mm")))</f>
        <v/>
      </c>
      <c r="S15" s="17" t="str">
        <f>IF(O15="","",SUMIFS(销售录入!$K$4:$K$103,销售录入!$M$4:$M$103,O15,销售录入!$B$4:$B$103,TEXT($B$2,"yyyy-mm")))</f>
        <v/>
      </c>
      <c r="T15" s="17" t="str">
        <f t="shared" si="0"/>
        <v/>
      </c>
      <c r="U15" s="17" t="str">
        <f t="shared" si="1"/>
        <v/>
      </c>
      <c r="W15" t="str">
        <f>IF(基础资料!J15="","",基础资料!J15)</f>
        <v/>
      </c>
      <c r="X15" t="str">
        <f>IF(W15="","",基础资料!K15)</f>
        <v/>
      </c>
      <c r="Y15" s="17" t="str">
        <f>IF(W15="","",SUMIFS(资金流水!$J$4:$J$103,资金流水!$H$4:$H$103,W15,资金流水!$B$4:$B$103,TEXT($B$2,"yyyy-mm")))</f>
        <v/>
      </c>
      <c r="Z15" s="17" t="str">
        <f>IF(W15="","",SUMIFS(资金流水!$K$4:$K$103,资金流水!$H$4:$H$103,W15,资金流水!$B$4:$B$103,TEXT($B$2,"yyyy-mm")))</f>
        <v/>
      </c>
      <c r="AA15" s="17" t="str">
        <f>IF(W15="","",SUMIFS(销售录入!$I$4:$I$103,销售录入!$N$4:$N$103,W15,销售录入!$B$4:$B$103,TEXT($B$2,"yyyy-mm")))</f>
        <v/>
      </c>
      <c r="AB15" s="17" t="str">
        <f>IF(W15="","",SUMIFS(采购录入!$I$4:$I$103,采购录入!$L$4:$L$103,W15,采购录入!$B$4:$B$103,TEXT($B$2,"yyyy-mm")))</f>
        <v/>
      </c>
    </row>
    <row r="16" spans="1:28">
      <c r="A16" t="str">
        <f>IF(基础资料!Y16="","",基础资料!Y16)</f>
        <v/>
      </c>
      <c r="B16" s="17" t="str">
        <f>IF(A16="","",SUMIFS(销售录入!$I$4:$I$103,销售录入!$C$4:$C$103,A16,销售录入!$B$4:$B$103,TEXT($B$2,"yyyy-mm")))</f>
        <v/>
      </c>
      <c r="C16" s="17" t="str">
        <f>IF(A16="","",SUMIFS(资金流水!$J$4:$J$103,资金流水!$F$4:$F$103,A16,资金流水!$D$4:$D$103,"客户回款",资金流水!$B$4:$B$103,TEXT($B$2,"yyyy-mm")))</f>
        <v/>
      </c>
      <c r="D16" s="17" t="str">
        <f>IF(A16="","",SUMIFS(应收明细账龄!$L$4:$L$113,应收明细账龄!$C$4:$C$113,A16))</f>
        <v/>
      </c>
      <c r="E16" s="17" t="str">
        <f>IF(A16="","",SUMIFS(应收明细账龄!$L$4:$L$113,应收明细账龄!$C$4:$C$113,A16,应收明细账龄!$M$4:$M$113,"&gt;0"))</f>
        <v/>
      </c>
      <c r="F16" t="str">
        <f>IF(A16="","",基础资料!Z16)</f>
        <v/>
      </c>
      <c r="H16" t="str">
        <f>IF(基础资料!AE16="","",基础资料!AE16)</f>
        <v/>
      </c>
      <c r="I16" s="17" t="str">
        <f>IF(H16="","",SUMIFS(采购录入!$I$4:$I$103,采购录入!$C$4:$C$103,H16,采购录入!$B$4:$B$103,TEXT($B$2,"yyyy-mm")))</f>
        <v/>
      </c>
      <c r="J16" s="17" t="str">
        <f>IF(H16="","",SUMIFS(资金流水!$K$4:$K$103,资金流水!$F$4:$F$103,H16,资金流水!$D$4:$D$103,"供应商付款",资金流水!$B$4:$B$103,TEXT($B$2,"yyyy-mm")))</f>
        <v/>
      </c>
      <c r="K16" s="17" t="str">
        <f>IF(H16="","",SUMIFS(应付明细账龄!$K$4:$K$113,应付明细账龄!$C$4:$C$113,H16))</f>
        <v/>
      </c>
      <c r="L16" s="17" t="str">
        <f>IF(H16="","",SUMIFS(应付明细账龄!$K$4:$K$113,应付明细账龄!$C$4:$C$113,H16,应付明细账龄!$L$4:$L$113,"&lt;=0"))</f>
        <v/>
      </c>
      <c r="M16" t="str">
        <f>IF(H16="","",基础资料!AF16)</f>
        <v/>
      </c>
      <c r="O16" t="str">
        <f>IF(基础资料!F16="","",基础资料!F16)</f>
        <v/>
      </c>
      <c r="P16" s="17" t="str">
        <f>IF(O16="","",SUMIFS(销售录入!$I$4:$I$103,销售录入!$M$4:$M$103,O16,销售录入!$B$4:$B$103,TEXT($B$2,"yyyy-mm")))</f>
        <v/>
      </c>
      <c r="Q16" s="17" t="str">
        <f>IF(O16="","",SUMIFS(资金流水!$J$4:$J$103,资金流水!$G$4:$G$103,O16,资金流水!$B$4:$B$103,TEXT($B$2,"yyyy-mm")))</f>
        <v/>
      </c>
      <c r="R16" s="17" t="str">
        <f>IF(O16="","",SUMIFS(资金流水!$K$4:$K$103,资金流水!$G$4:$G$103,O16,资金流水!$C$4:$C$103,"支出",资金流水!$B$4:$B$103,TEXT($B$2,"yyyy-mm")))</f>
        <v/>
      </c>
      <c r="S16" s="17" t="str">
        <f>IF(O16="","",SUMIFS(销售录入!$K$4:$K$103,销售录入!$M$4:$M$103,O16,销售录入!$B$4:$B$103,TEXT($B$2,"yyyy-mm")))</f>
        <v/>
      </c>
      <c r="T16" s="17" t="str">
        <f t="shared" si="0"/>
        <v/>
      </c>
      <c r="U16" s="17" t="str">
        <f t="shared" si="1"/>
        <v/>
      </c>
      <c r="W16" t="str">
        <f>IF(基础资料!J16="","",基础资料!J16)</f>
        <v/>
      </c>
      <c r="X16" t="str">
        <f>IF(W16="","",基础资料!K16)</f>
        <v/>
      </c>
      <c r="Y16" s="17" t="str">
        <f>IF(W16="","",SUMIFS(资金流水!$J$4:$J$103,资金流水!$H$4:$H$103,W16,资金流水!$B$4:$B$103,TEXT($B$2,"yyyy-mm")))</f>
        <v/>
      </c>
      <c r="Z16" s="17" t="str">
        <f>IF(W16="","",SUMIFS(资金流水!$K$4:$K$103,资金流水!$H$4:$H$103,W16,资金流水!$B$4:$B$103,TEXT($B$2,"yyyy-mm")))</f>
        <v/>
      </c>
      <c r="AA16" s="17" t="str">
        <f>IF(W16="","",SUMIFS(销售录入!$I$4:$I$103,销售录入!$N$4:$N$103,W16,销售录入!$B$4:$B$103,TEXT($B$2,"yyyy-mm")))</f>
        <v/>
      </c>
      <c r="AB16" s="17" t="str">
        <f>IF(W16="","",SUMIFS(采购录入!$I$4:$I$103,采购录入!$L$4:$L$103,W16,采购录入!$B$4:$B$103,TEXT($B$2,"yyyy-mm")))</f>
        <v/>
      </c>
    </row>
    <row r="17" spans="1:28">
      <c r="A17" t="str">
        <f>IF(基础资料!Y17="","",基础资料!Y17)</f>
        <v/>
      </c>
      <c r="B17" s="17" t="str">
        <f>IF(A17="","",SUMIFS(销售录入!$I$4:$I$103,销售录入!$C$4:$C$103,A17,销售录入!$B$4:$B$103,TEXT($B$2,"yyyy-mm")))</f>
        <v/>
      </c>
      <c r="C17" s="17" t="str">
        <f>IF(A17="","",SUMIFS(资金流水!$J$4:$J$103,资金流水!$F$4:$F$103,A17,资金流水!$D$4:$D$103,"客户回款",资金流水!$B$4:$B$103,TEXT($B$2,"yyyy-mm")))</f>
        <v/>
      </c>
      <c r="D17" s="17" t="str">
        <f>IF(A17="","",SUMIFS(应收明细账龄!$L$4:$L$113,应收明细账龄!$C$4:$C$113,A17))</f>
        <v/>
      </c>
      <c r="E17" s="17" t="str">
        <f>IF(A17="","",SUMIFS(应收明细账龄!$L$4:$L$113,应收明细账龄!$C$4:$C$113,A17,应收明细账龄!$M$4:$M$113,"&gt;0"))</f>
        <v/>
      </c>
      <c r="F17" t="str">
        <f>IF(A17="","",基础资料!Z17)</f>
        <v/>
      </c>
      <c r="H17" t="str">
        <f>IF(基础资料!AE17="","",基础资料!AE17)</f>
        <v/>
      </c>
      <c r="I17" s="17" t="str">
        <f>IF(H17="","",SUMIFS(采购录入!$I$4:$I$103,采购录入!$C$4:$C$103,H17,采购录入!$B$4:$B$103,TEXT($B$2,"yyyy-mm")))</f>
        <v/>
      </c>
      <c r="J17" s="17" t="str">
        <f>IF(H17="","",SUMIFS(资金流水!$K$4:$K$103,资金流水!$F$4:$F$103,H17,资金流水!$D$4:$D$103,"供应商付款",资金流水!$B$4:$B$103,TEXT($B$2,"yyyy-mm")))</f>
        <v/>
      </c>
      <c r="K17" s="17" t="str">
        <f>IF(H17="","",SUMIFS(应付明细账龄!$K$4:$K$113,应付明细账龄!$C$4:$C$113,H17))</f>
        <v/>
      </c>
      <c r="L17" s="17" t="str">
        <f>IF(H17="","",SUMIFS(应付明细账龄!$K$4:$K$113,应付明细账龄!$C$4:$C$113,H17,应付明细账龄!$L$4:$L$113,"&lt;=0"))</f>
        <v/>
      </c>
      <c r="M17" t="str">
        <f>IF(H17="","",基础资料!AF17)</f>
        <v/>
      </c>
      <c r="O17" t="str">
        <f>IF(基础资料!F17="","",基础资料!F17)</f>
        <v/>
      </c>
      <c r="P17" s="17" t="str">
        <f>IF(O17="","",SUMIFS(销售录入!$I$4:$I$103,销售录入!$M$4:$M$103,O17,销售录入!$B$4:$B$103,TEXT($B$2,"yyyy-mm")))</f>
        <v/>
      </c>
      <c r="Q17" s="17" t="str">
        <f>IF(O17="","",SUMIFS(资金流水!$J$4:$J$103,资金流水!$G$4:$G$103,O17,资金流水!$B$4:$B$103,TEXT($B$2,"yyyy-mm")))</f>
        <v/>
      </c>
      <c r="R17" s="17" t="str">
        <f>IF(O17="","",SUMIFS(资金流水!$K$4:$K$103,资金流水!$G$4:$G$103,O17,资金流水!$C$4:$C$103,"支出",资金流水!$B$4:$B$103,TEXT($B$2,"yyyy-mm")))</f>
        <v/>
      </c>
      <c r="S17" s="17" t="str">
        <f>IF(O17="","",SUMIFS(销售录入!$K$4:$K$103,销售录入!$M$4:$M$103,O17,销售录入!$B$4:$B$103,TEXT($B$2,"yyyy-mm")))</f>
        <v/>
      </c>
      <c r="T17" s="17" t="str">
        <f t="shared" si="0"/>
        <v/>
      </c>
      <c r="U17" s="17" t="str">
        <f t="shared" si="1"/>
        <v/>
      </c>
      <c r="W17" t="str">
        <f>IF(基础资料!J17="","",基础资料!J17)</f>
        <v/>
      </c>
      <c r="X17" t="str">
        <f>IF(W17="","",基础资料!K17)</f>
        <v/>
      </c>
      <c r="Y17" s="17" t="str">
        <f>IF(W17="","",SUMIFS(资金流水!$J$4:$J$103,资金流水!$H$4:$H$103,W17,资金流水!$B$4:$B$103,TEXT($B$2,"yyyy-mm")))</f>
        <v/>
      </c>
      <c r="Z17" s="17" t="str">
        <f>IF(W17="","",SUMIFS(资金流水!$K$4:$K$103,资金流水!$H$4:$H$103,W17,资金流水!$B$4:$B$103,TEXT($B$2,"yyyy-mm")))</f>
        <v/>
      </c>
      <c r="AA17" s="17" t="str">
        <f>IF(W17="","",SUMIFS(销售录入!$I$4:$I$103,销售录入!$N$4:$N$103,W17,销售录入!$B$4:$B$103,TEXT($B$2,"yyyy-mm")))</f>
        <v/>
      </c>
      <c r="AB17" s="17" t="str">
        <f>IF(W17="","",SUMIFS(采购录入!$I$4:$I$103,采购录入!$L$4:$L$103,W17,采购录入!$B$4:$B$103,TEXT($B$2,"yyyy-mm")))</f>
        <v/>
      </c>
    </row>
    <row r="18" spans="1:28">
      <c r="A18" t="str">
        <f>IF(基础资料!Y18="","",基础资料!Y18)</f>
        <v/>
      </c>
      <c r="B18" s="17" t="str">
        <f>IF(A18="","",SUMIFS(销售录入!$I$4:$I$103,销售录入!$C$4:$C$103,A18,销售录入!$B$4:$B$103,TEXT($B$2,"yyyy-mm")))</f>
        <v/>
      </c>
      <c r="C18" s="17" t="str">
        <f>IF(A18="","",SUMIFS(资金流水!$J$4:$J$103,资金流水!$F$4:$F$103,A18,资金流水!$D$4:$D$103,"客户回款",资金流水!$B$4:$B$103,TEXT($B$2,"yyyy-mm")))</f>
        <v/>
      </c>
      <c r="D18" s="17" t="str">
        <f>IF(A18="","",SUMIFS(应收明细账龄!$L$4:$L$113,应收明细账龄!$C$4:$C$113,A18))</f>
        <v/>
      </c>
      <c r="E18" s="17" t="str">
        <f>IF(A18="","",SUMIFS(应收明细账龄!$L$4:$L$113,应收明细账龄!$C$4:$C$113,A18,应收明细账龄!$M$4:$M$113,"&gt;0"))</f>
        <v/>
      </c>
      <c r="F18" t="str">
        <f>IF(A18="","",基础资料!Z18)</f>
        <v/>
      </c>
      <c r="H18" t="str">
        <f>IF(基础资料!AE18="","",基础资料!AE18)</f>
        <v/>
      </c>
      <c r="I18" s="17" t="str">
        <f>IF(H18="","",SUMIFS(采购录入!$I$4:$I$103,采购录入!$C$4:$C$103,H18,采购录入!$B$4:$B$103,TEXT($B$2,"yyyy-mm")))</f>
        <v/>
      </c>
      <c r="J18" s="17" t="str">
        <f>IF(H18="","",SUMIFS(资金流水!$K$4:$K$103,资金流水!$F$4:$F$103,H18,资金流水!$D$4:$D$103,"供应商付款",资金流水!$B$4:$B$103,TEXT($B$2,"yyyy-mm")))</f>
        <v/>
      </c>
      <c r="K18" s="17" t="str">
        <f>IF(H18="","",SUMIFS(应付明细账龄!$K$4:$K$113,应付明细账龄!$C$4:$C$113,H18))</f>
        <v/>
      </c>
      <c r="L18" s="17" t="str">
        <f>IF(H18="","",SUMIFS(应付明细账龄!$K$4:$K$113,应付明细账龄!$C$4:$C$113,H18,应付明细账龄!$L$4:$L$113,"&lt;=0"))</f>
        <v/>
      </c>
      <c r="M18" t="str">
        <f>IF(H18="","",基础资料!AF18)</f>
        <v/>
      </c>
      <c r="O18" t="str">
        <f>IF(基础资料!F18="","",基础资料!F18)</f>
        <v/>
      </c>
      <c r="P18" s="17" t="str">
        <f>IF(O18="","",SUMIFS(销售录入!$I$4:$I$103,销售录入!$M$4:$M$103,O18,销售录入!$B$4:$B$103,TEXT($B$2,"yyyy-mm")))</f>
        <v/>
      </c>
      <c r="Q18" s="17" t="str">
        <f>IF(O18="","",SUMIFS(资金流水!$J$4:$J$103,资金流水!$G$4:$G$103,O18,资金流水!$B$4:$B$103,TEXT($B$2,"yyyy-mm")))</f>
        <v/>
      </c>
      <c r="R18" s="17" t="str">
        <f>IF(O18="","",SUMIFS(资金流水!$K$4:$K$103,资金流水!$G$4:$G$103,O18,资金流水!$C$4:$C$103,"支出",资金流水!$B$4:$B$103,TEXT($B$2,"yyyy-mm")))</f>
        <v/>
      </c>
      <c r="S18" s="17" t="str">
        <f>IF(O18="","",SUMIFS(销售录入!$K$4:$K$103,销售录入!$M$4:$M$103,O18,销售录入!$B$4:$B$103,TEXT($B$2,"yyyy-mm")))</f>
        <v/>
      </c>
      <c r="T18" s="17" t="str">
        <f t="shared" si="0"/>
        <v/>
      </c>
      <c r="U18" s="17" t="str">
        <f t="shared" si="1"/>
        <v/>
      </c>
      <c r="W18" t="str">
        <f>IF(基础资料!J18="","",基础资料!J18)</f>
        <v/>
      </c>
      <c r="X18" t="str">
        <f>IF(W18="","",基础资料!K18)</f>
        <v/>
      </c>
      <c r="Y18" s="17" t="str">
        <f>IF(W18="","",SUMIFS(资金流水!$J$4:$J$103,资金流水!$H$4:$H$103,W18,资金流水!$B$4:$B$103,TEXT($B$2,"yyyy-mm")))</f>
        <v/>
      </c>
      <c r="Z18" s="17" t="str">
        <f>IF(W18="","",SUMIFS(资金流水!$K$4:$K$103,资金流水!$H$4:$H$103,W18,资金流水!$B$4:$B$103,TEXT($B$2,"yyyy-mm")))</f>
        <v/>
      </c>
      <c r="AA18" s="17" t="str">
        <f>IF(W18="","",SUMIFS(销售录入!$I$4:$I$103,销售录入!$N$4:$N$103,W18,销售录入!$B$4:$B$103,TEXT($B$2,"yyyy-mm")))</f>
        <v/>
      </c>
      <c r="AB18" s="17" t="str">
        <f>IF(W18="","",SUMIFS(采购录入!$I$4:$I$103,采购录入!$L$4:$L$103,W18,采购录入!$B$4:$B$103,TEXT($B$2,"yyyy-mm")))</f>
        <v/>
      </c>
    </row>
    <row r="19" spans="1:28">
      <c r="A19" t="str">
        <f>IF(基础资料!Y19="","",基础资料!Y19)</f>
        <v/>
      </c>
      <c r="B19" s="17" t="str">
        <f>IF(A19="","",SUMIFS(销售录入!$I$4:$I$103,销售录入!$C$4:$C$103,A19,销售录入!$B$4:$B$103,TEXT($B$2,"yyyy-mm")))</f>
        <v/>
      </c>
      <c r="C19" s="17" t="str">
        <f>IF(A19="","",SUMIFS(资金流水!$J$4:$J$103,资金流水!$F$4:$F$103,A19,资金流水!$D$4:$D$103,"客户回款",资金流水!$B$4:$B$103,TEXT($B$2,"yyyy-mm")))</f>
        <v/>
      </c>
      <c r="D19" s="17" t="str">
        <f>IF(A19="","",SUMIFS(应收明细账龄!$L$4:$L$113,应收明细账龄!$C$4:$C$113,A19))</f>
        <v/>
      </c>
      <c r="E19" s="17" t="str">
        <f>IF(A19="","",SUMIFS(应收明细账龄!$L$4:$L$113,应收明细账龄!$C$4:$C$113,A19,应收明细账龄!$M$4:$M$113,"&gt;0"))</f>
        <v/>
      </c>
      <c r="F19" t="str">
        <f>IF(A19="","",基础资料!Z19)</f>
        <v/>
      </c>
      <c r="H19" t="str">
        <f>IF(基础资料!AE19="","",基础资料!AE19)</f>
        <v/>
      </c>
      <c r="I19" s="17" t="str">
        <f>IF(H19="","",SUMIFS(采购录入!$I$4:$I$103,采购录入!$C$4:$C$103,H19,采购录入!$B$4:$B$103,TEXT($B$2,"yyyy-mm")))</f>
        <v/>
      </c>
      <c r="J19" s="17" t="str">
        <f>IF(H19="","",SUMIFS(资金流水!$K$4:$K$103,资金流水!$F$4:$F$103,H19,资金流水!$D$4:$D$103,"供应商付款",资金流水!$B$4:$B$103,TEXT($B$2,"yyyy-mm")))</f>
        <v/>
      </c>
      <c r="K19" s="17" t="str">
        <f>IF(H19="","",SUMIFS(应付明细账龄!$K$4:$K$113,应付明细账龄!$C$4:$C$113,H19))</f>
        <v/>
      </c>
      <c r="L19" s="17" t="str">
        <f>IF(H19="","",SUMIFS(应付明细账龄!$K$4:$K$113,应付明细账龄!$C$4:$C$113,H19,应付明细账龄!$L$4:$L$113,"&lt;=0"))</f>
        <v/>
      </c>
      <c r="M19" t="str">
        <f>IF(H19="","",基础资料!AF19)</f>
        <v/>
      </c>
      <c r="O19" t="str">
        <f>IF(基础资料!F19="","",基础资料!F19)</f>
        <v/>
      </c>
      <c r="P19" s="17" t="str">
        <f>IF(O19="","",SUMIFS(销售录入!$I$4:$I$103,销售录入!$M$4:$M$103,O19,销售录入!$B$4:$B$103,TEXT($B$2,"yyyy-mm")))</f>
        <v/>
      </c>
      <c r="Q19" s="17" t="str">
        <f>IF(O19="","",SUMIFS(资金流水!$J$4:$J$103,资金流水!$G$4:$G$103,O19,资金流水!$B$4:$B$103,TEXT($B$2,"yyyy-mm")))</f>
        <v/>
      </c>
      <c r="R19" s="17" t="str">
        <f>IF(O19="","",SUMIFS(资金流水!$K$4:$K$103,资金流水!$G$4:$G$103,O19,资金流水!$C$4:$C$103,"支出",资金流水!$B$4:$B$103,TEXT($B$2,"yyyy-mm")))</f>
        <v/>
      </c>
      <c r="S19" s="17" t="str">
        <f>IF(O19="","",SUMIFS(销售录入!$K$4:$K$103,销售录入!$M$4:$M$103,O19,销售录入!$B$4:$B$103,TEXT($B$2,"yyyy-mm")))</f>
        <v/>
      </c>
      <c r="T19" s="17" t="str">
        <f t="shared" si="0"/>
        <v/>
      </c>
      <c r="U19" s="17" t="str">
        <f t="shared" si="1"/>
        <v/>
      </c>
      <c r="W19" t="str">
        <f>IF(基础资料!J19="","",基础资料!J19)</f>
        <v/>
      </c>
      <c r="X19" t="str">
        <f>IF(W19="","",基础资料!K19)</f>
        <v/>
      </c>
      <c r="Y19" s="17" t="str">
        <f>IF(W19="","",SUMIFS(资金流水!$J$4:$J$103,资金流水!$H$4:$H$103,W19,资金流水!$B$4:$B$103,TEXT($B$2,"yyyy-mm")))</f>
        <v/>
      </c>
      <c r="Z19" s="17" t="str">
        <f>IF(W19="","",SUMIFS(资金流水!$K$4:$K$103,资金流水!$H$4:$H$103,W19,资金流水!$B$4:$B$103,TEXT($B$2,"yyyy-mm")))</f>
        <v/>
      </c>
      <c r="AA19" s="17" t="str">
        <f>IF(W19="","",SUMIFS(销售录入!$I$4:$I$103,销售录入!$N$4:$N$103,W19,销售录入!$B$4:$B$103,TEXT($B$2,"yyyy-mm")))</f>
        <v/>
      </c>
      <c r="AB19" s="17" t="str">
        <f>IF(W19="","",SUMIFS(采购录入!$I$4:$I$103,采购录入!$L$4:$L$103,W19,采购录入!$B$4:$B$103,TEXT($B$2,"yyyy-mm")))</f>
        <v/>
      </c>
    </row>
    <row r="20" spans="1:28">
      <c r="A20" t="str">
        <f>IF(基础资料!Y20="","",基础资料!Y20)</f>
        <v/>
      </c>
      <c r="B20" s="17" t="str">
        <f>IF(A20="","",SUMIFS(销售录入!$I$4:$I$103,销售录入!$C$4:$C$103,A20,销售录入!$B$4:$B$103,TEXT($B$2,"yyyy-mm")))</f>
        <v/>
      </c>
      <c r="C20" s="17" t="str">
        <f>IF(A20="","",SUMIFS(资金流水!$J$4:$J$103,资金流水!$F$4:$F$103,A20,资金流水!$D$4:$D$103,"客户回款",资金流水!$B$4:$B$103,TEXT($B$2,"yyyy-mm")))</f>
        <v/>
      </c>
      <c r="D20" s="17" t="str">
        <f>IF(A20="","",SUMIFS(应收明细账龄!$L$4:$L$113,应收明细账龄!$C$4:$C$113,A20))</f>
        <v/>
      </c>
      <c r="E20" s="17" t="str">
        <f>IF(A20="","",SUMIFS(应收明细账龄!$L$4:$L$113,应收明细账龄!$C$4:$C$113,A20,应收明细账龄!$M$4:$M$113,"&gt;0"))</f>
        <v/>
      </c>
      <c r="F20" t="str">
        <f>IF(A20="","",基础资料!Z20)</f>
        <v/>
      </c>
      <c r="H20" t="str">
        <f>IF(基础资料!AE20="","",基础资料!AE20)</f>
        <v/>
      </c>
      <c r="I20" s="17" t="str">
        <f>IF(H20="","",SUMIFS(采购录入!$I$4:$I$103,采购录入!$C$4:$C$103,H20,采购录入!$B$4:$B$103,TEXT($B$2,"yyyy-mm")))</f>
        <v/>
      </c>
      <c r="J20" s="17" t="str">
        <f>IF(H20="","",SUMIFS(资金流水!$K$4:$K$103,资金流水!$F$4:$F$103,H20,资金流水!$D$4:$D$103,"供应商付款",资金流水!$B$4:$B$103,TEXT($B$2,"yyyy-mm")))</f>
        <v/>
      </c>
      <c r="K20" s="17" t="str">
        <f>IF(H20="","",SUMIFS(应付明细账龄!$K$4:$K$113,应付明细账龄!$C$4:$C$113,H20))</f>
        <v/>
      </c>
      <c r="L20" s="17" t="str">
        <f>IF(H20="","",SUMIFS(应付明细账龄!$K$4:$K$113,应付明细账龄!$C$4:$C$113,H20,应付明细账龄!$L$4:$L$113,"&lt;=0"))</f>
        <v/>
      </c>
      <c r="M20" t="str">
        <f>IF(H20="","",基础资料!AF20)</f>
        <v/>
      </c>
      <c r="O20" t="str">
        <f>IF(基础资料!F20="","",基础资料!F20)</f>
        <v/>
      </c>
      <c r="P20" s="17" t="str">
        <f>IF(O20="","",SUMIFS(销售录入!$I$4:$I$103,销售录入!$M$4:$M$103,O20,销售录入!$B$4:$B$103,TEXT($B$2,"yyyy-mm")))</f>
        <v/>
      </c>
      <c r="Q20" s="17" t="str">
        <f>IF(O20="","",SUMIFS(资金流水!$J$4:$J$103,资金流水!$G$4:$G$103,O20,资金流水!$B$4:$B$103,TEXT($B$2,"yyyy-mm")))</f>
        <v/>
      </c>
      <c r="R20" s="17" t="str">
        <f>IF(O20="","",SUMIFS(资金流水!$K$4:$K$103,资金流水!$G$4:$G$103,O20,资金流水!$C$4:$C$103,"支出",资金流水!$B$4:$B$103,TEXT($B$2,"yyyy-mm")))</f>
        <v/>
      </c>
      <c r="S20" s="17" t="str">
        <f>IF(O20="","",SUMIFS(销售录入!$K$4:$K$103,销售录入!$M$4:$M$103,O20,销售录入!$B$4:$B$103,TEXT($B$2,"yyyy-mm")))</f>
        <v/>
      </c>
      <c r="T20" s="17" t="str">
        <f t="shared" si="0"/>
        <v/>
      </c>
      <c r="U20" s="17" t="str">
        <f t="shared" si="1"/>
        <v/>
      </c>
      <c r="W20" t="str">
        <f>IF(基础资料!J20="","",基础资料!J20)</f>
        <v/>
      </c>
      <c r="X20" t="str">
        <f>IF(W20="","",基础资料!K20)</f>
        <v/>
      </c>
      <c r="Y20" s="17" t="str">
        <f>IF(W20="","",SUMIFS(资金流水!$J$4:$J$103,资金流水!$H$4:$H$103,W20,资金流水!$B$4:$B$103,TEXT($B$2,"yyyy-mm")))</f>
        <v/>
      </c>
      <c r="Z20" s="17" t="str">
        <f>IF(W20="","",SUMIFS(资金流水!$K$4:$K$103,资金流水!$H$4:$H$103,W20,资金流水!$B$4:$B$103,TEXT($B$2,"yyyy-mm")))</f>
        <v/>
      </c>
      <c r="AA20" s="17" t="str">
        <f>IF(W20="","",SUMIFS(销售录入!$I$4:$I$103,销售录入!$N$4:$N$103,W20,销售录入!$B$4:$B$103,TEXT($B$2,"yyyy-mm")))</f>
        <v/>
      </c>
      <c r="AB20" s="17" t="str">
        <f>IF(W20="","",SUMIFS(采购录入!$I$4:$I$103,采购录入!$L$4:$L$103,W20,采购录入!$B$4:$B$103,TEXT($B$2,"yyyy-mm")))</f>
        <v/>
      </c>
    </row>
    <row r="21" spans="1:28">
      <c r="A21" t="str">
        <f>IF(基础资料!Y21="","",基础资料!Y21)</f>
        <v/>
      </c>
      <c r="B21" s="17" t="str">
        <f>IF(A21="","",SUMIFS(销售录入!$I$4:$I$103,销售录入!$C$4:$C$103,A21,销售录入!$B$4:$B$103,TEXT($B$2,"yyyy-mm")))</f>
        <v/>
      </c>
      <c r="C21" s="17" t="str">
        <f>IF(A21="","",SUMIFS(资金流水!$J$4:$J$103,资金流水!$F$4:$F$103,A21,资金流水!$D$4:$D$103,"客户回款",资金流水!$B$4:$B$103,TEXT($B$2,"yyyy-mm")))</f>
        <v/>
      </c>
      <c r="D21" s="17" t="str">
        <f>IF(A21="","",SUMIFS(应收明细账龄!$L$4:$L$113,应收明细账龄!$C$4:$C$113,A21))</f>
        <v/>
      </c>
      <c r="E21" s="17" t="str">
        <f>IF(A21="","",SUMIFS(应收明细账龄!$L$4:$L$113,应收明细账龄!$C$4:$C$113,A21,应收明细账龄!$M$4:$M$113,"&gt;0"))</f>
        <v/>
      </c>
      <c r="F21" t="str">
        <f>IF(A21="","",基础资料!Z21)</f>
        <v/>
      </c>
      <c r="H21" t="str">
        <f>IF(基础资料!AE21="","",基础资料!AE21)</f>
        <v/>
      </c>
      <c r="I21" s="17" t="str">
        <f>IF(H21="","",SUMIFS(采购录入!$I$4:$I$103,采购录入!$C$4:$C$103,H21,采购录入!$B$4:$B$103,TEXT($B$2,"yyyy-mm")))</f>
        <v/>
      </c>
      <c r="J21" s="17" t="str">
        <f>IF(H21="","",SUMIFS(资金流水!$K$4:$K$103,资金流水!$F$4:$F$103,H21,资金流水!$D$4:$D$103,"供应商付款",资金流水!$B$4:$B$103,TEXT($B$2,"yyyy-mm")))</f>
        <v/>
      </c>
      <c r="K21" s="17" t="str">
        <f>IF(H21="","",SUMIFS(应付明细账龄!$K$4:$K$113,应付明细账龄!$C$4:$C$113,H21))</f>
        <v/>
      </c>
      <c r="L21" s="17" t="str">
        <f>IF(H21="","",SUMIFS(应付明细账龄!$K$4:$K$113,应付明细账龄!$C$4:$C$113,H21,应付明细账龄!$L$4:$L$113,"&lt;=0"))</f>
        <v/>
      </c>
      <c r="M21" t="str">
        <f>IF(H21="","",基础资料!AF21)</f>
        <v/>
      </c>
      <c r="O21" t="str">
        <f>IF(基础资料!F21="","",基础资料!F21)</f>
        <v/>
      </c>
      <c r="P21" s="17" t="str">
        <f>IF(O21="","",SUMIFS(销售录入!$I$4:$I$103,销售录入!$M$4:$M$103,O21,销售录入!$B$4:$B$103,TEXT($B$2,"yyyy-mm")))</f>
        <v/>
      </c>
      <c r="Q21" s="17" t="str">
        <f>IF(O21="","",SUMIFS(资金流水!$J$4:$J$103,资金流水!$G$4:$G$103,O21,资金流水!$B$4:$B$103,TEXT($B$2,"yyyy-mm")))</f>
        <v/>
      </c>
      <c r="R21" s="17" t="str">
        <f>IF(O21="","",SUMIFS(资金流水!$K$4:$K$103,资金流水!$G$4:$G$103,O21,资金流水!$C$4:$C$103,"支出",资金流水!$B$4:$B$103,TEXT($B$2,"yyyy-mm")))</f>
        <v/>
      </c>
      <c r="S21" s="17" t="str">
        <f>IF(O21="","",SUMIFS(销售录入!$K$4:$K$103,销售录入!$M$4:$M$103,O21,销售录入!$B$4:$B$103,TEXT($B$2,"yyyy-mm")))</f>
        <v/>
      </c>
      <c r="T21" s="17" t="str">
        <f t="shared" si="0"/>
        <v/>
      </c>
      <c r="U21" s="17" t="str">
        <f t="shared" si="1"/>
        <v/>
      </c>
      <c r="W21" t="str">
        <f>IF(基础资料!J21="","",基础资料!J21)</f>
        <v/>
      </c>
      <c r="X21" t="str">
        <f>IF(W21="","",基础资料!K21)</f>
        <v/>
      </c>
      <c r="Y21" s="17" t="str">
        <f>IF(W21="","",SUMIFS(资金流水!$J$4:$J$103,资金流水!$H$4:$H$103,W21,资金流水!$B$4:$B$103,TEXT($B$2,"yyyy-mm")))</f>
        <v/>
      </c>
      <c r="Z21" s="17" t="str">
        <f>IF(W21="","",SUMIFS(资金流水!$K$4:$K$103,资金流水!$H$4:$H$103,W21,资金流水!$B$4:$B$103,TEXT($B$2,"yyyy-mm")))</f>
        <v/>
      </c>
      <c r="AA21" s="17" t="str">
        <f>IF(W21="","",SUMIFS(销售录入!$I$4:$I$103,销售录入!$N$4:$N$103,W21,销售录入!$B$4:$B$103,TEXT($B$2,"yyyy-mm")))</f>
        <v/>
      </c>
      <c r="AB21" s="17" t="str">
        <f>IF(W21="","",SUMIFS(采购录入!$I$4:$I$103,采购录入!$L$4:$L$103,W21,采购录入!$B$4:$B$103,TEXT($B$2,"yyyy-mm")))</f>
        <v/>
      </c>
    </row>
    <row r="22" spans="1:28">
      <c r="A22" t="str">
        <f>IF(基础资料!Y22="","",基础资料!Y22)</f>
        <v/>
      </c>
      <c r="B22" s="17" t="str">
        <f>IF(A22="","",SUMIFS(销售录入!$I$4:$I$103,销售录入!$C$4:$C$103,A22,销售录入!$B$4:$B$103,TEXT($B$2,"yyyy-mm")))</f>
        <v/>
      </c>
      <c r="C22" s="17" t="str">
        <f>IF(A22="","",SUMIFS(资金流水!$J$4:$J$103,资金流水!$F$4:$F$103,A22,资金流水!$D$4:$D$103,"客户回款",资金流水!$B$4:$B$103,TEXT($B$2,"yyyy-mm")))</f>
        <v/>
      </c>
      <c r="D22" s="17" t="str">
        <f>IF(A22="","",SUMIFS(应收明细账龄!$L$4:$L$113,应收明细账龄!$C$4:$C$113,A22))</f>
        <v/>
      </c>
      <c r="E22" s="17" t="str">
        <f>IF(A22="","",SUMIFS(应收明细账龄!$L$4:$L$113,应收明细账龄!$C$4:$C$113,A22,应收明细账龄!$M$4:$M$113,"&gt;0"))</f>
        <v/>
      </c>
      <c r="F22" t="str">
        <f>IF(A22="","",基础资料!Z22)</f>
        <v/>
      </c>
      <c r="H22" t="str">
        <f>IF(基础资料!AE22="","",基础资料!AE22)</f>
        <v/>
      </c>
      <c r="I22" s="17" t="str">
        <f>IF(H22="","",SUMIFS(采购录入!$I$4:$I$103,采购录入!$C$4:$C$103,H22,采购录入!$B$4:$B$103,TEXT($B$2,"yyyy-mm")))</f>
        <v/>
      </c>
      <c r="J22" s="17" t="str">
        <f>IF(H22="","",SUMIFS(资金流水!$K$4:$K$103,资金流水!$F$4:$F$103,H22,资金流水!$D$4:$D$103,"供应商付款",资金流水!$B$4:$B$103,TEXT($B$2,"yyyy-mm")))</f>
        <v/>
      </c>
      <c r="K22" s="17" t="str">
        <f>IF(H22="","",SUMIFS(应付明细账龄!$K$4:$K$113,应付明细账龄!$C$4:$C$113,H22))</f>
        <v/>
      </c>
      <c r="L22" s="17" t="str">
        <f>IF(H22="","",SUMIFS(应付明细账龄!$K$4:$K$113,应付明细账龄!$C$4:$C$113,H22,应付明细账龄!$L$4:$L$113,"&lt;=0"))</f>
        <v/>
      </c>
      <c r="M22" t="str">
        <f>IF(H22="","",基础资料!AF22)</f>
        <v/>
      </c>
      <c r="O22" t="str">
        <f>IF(基础资料!F22="","",基础资料!F22)</f>
        <v/>
      </c>
      <c r="P22" s="17" t="str">
        <f>IF(O22="","",SUMIFS(销售录入!$I$4:$I$103,销售录入!$M$4:$M$103,O22,销售录入!$B$4:$B$103,TEXT($B$2,"yyyy-mm")))</f>
        <v/>
      </c>
      <c r="Q22" s="17" t="str">
        <f>IF(O22="","",SUMIFS(资金流水!$J$4:$J$103,资金流水!$G$4:$G$103,O22,资金流水!$B$4:$B$103,TEXT($B$2,"yyyy-mm")))</f>
        <v/>
      </c>
      <c r="R22" s="17" t="str">
        <f>IF(O22="","",SUMIFS(资金流水!$K$4:$K$103,资金流水!$G$4:$G$103,O22,资金流水!$C$4:$C$103,"支出",资金流水!$B$4:$B$103,TEXT($B$2,"yyyy-mm")))</f>
        <v/>
      </c>
      <c r="S22" s="17" t="str">
        <f>IF(O22="","",SUMIFS(销售录入!$K$4:$K$103,销售录入!$M$4:$M$103,O22,销售录入!$B$4:$B$103,TEXT($B$2,"yyyy-mm")))</f>
        <v/>
      </c>
      <c r="T22" s="17" t="str">
        <f t="shared" si="0"/>
        <v/>
      </c>
      <c r="U22" s="17" t="str">
        <f t="shared" si="1"/>
        <v/>
      </c>
      <c r="W22" t="str">
        <f>IF(基础资料!J22="","",基础资料!J22)</f>
        <v/>
      </c>
      <c r="X22" t="str">
        <f>IF(W22="","",基础资料!K22)</f>
        <v/>
      </c>
      <c r="Y22" s="17" t="str">
        <f>IF(W22="","",SUMIFS(资金流水!$J$4:$J$103,资金流水!$H$4:$H$103,W22,资金流水!$B$4:$B$103,TEXT($B$2,"yyyy-mm")))</f>
        <v/>
      </c>
      <c r="Z22" s="17" t="str">
        <f>IF(W22="","",SUMIFS(资金流水!$K$4:$K$103,资金流水!$H$4:$H$103,W22,资金流水!$B$4:$B$103,TEXT($B$2,"yyyy-mm")))</f>
        <v/>
      </c>
      <c r="AA22" s="17" t="str">
        <f>IF(W22="","",SUMIFS(销售录入!$I$4:$I$103,销售录入!$N$4:$N$103,W22,销售录入!$B$4:$B$103,TEXT($B$2,"yyyy-mm")))</f>
        <v/>
      </c>
      <c r="AB22" s="17" t="str">
        <f>IF(W22="","",SUMIFS(采购录入!$I$4:$I$103,采购录入!$L$4:$L$103,W22,采购录入!$B$4:$B$103,TEXT($B$2,"yyyy-mm")))</f>
        <v/>
      </c>
    </row>
    <row r="23" spans="1:28">
      <c r="A23" t="str">
        <f>IF(基础资料!Y23="","",基础资料!Y23)</f>
        <v/>
      </c>
      <c r="B23" s="17" t="str">
        <f>IF(A23="","",SUMIFS(销售录入!$I$4:$I$103,销售录入!$C$4:$C$103,A23,销售录入!$B$4:$B$103,TEXT($B$2,"yyyy-mm")))</f>
        <v/>
      </c>
      <c r="C23" s="17" t="str">
        <f>IF(A23="","",SUMIFS(资金流水!$J$4:$J$103,资金流水!$F$4:$F$103,A23,资金流水!$D$4:$D$103,"客户回款",资金流水!$B$4:$B$103,TEXT($B$2,"yyyy-mm")))</f>
        <v/>
      </c>
      <c r="D23" s="17" t="str">
        <f>IF(A23="","",SUMIFS(应收明细账龄!$L$4:$L$113,应收明细账龄!$C$4:$C$113,A23))</f>
        <v/>
      </c>
      <c r="E23" s="17" t="str">
        <f>IF(A23="","",SUMIFS(应收明细账龄!$L$4:$L$113,应收明细账龄!$C$4:$C$113,A23,应收明细账龄!$M$4:$M$113,"&gt;0"))</f>
        <v/>
      </c>
      <c r="F23" t="str">
        <f>IF(A23="","",基础资料!Z23)</f>
        <v/>
      </c>
      <c r="H23" t="str">
        <f>IF(基础资料!AE23="","",基础资料!AE23)</f>
        <v/>
      </c>
      <c r="I23" s="17" t="str">
        <f>IF(H23="","",SUMIFS(采购录入!$I$4:$I$103,采购录入!$C$4:$C$103,H23,采购录入!$B$4:$B$103,TEXT($B$2,"yyyy-mm")))</f>
        <v/>
      </c>
      <c r="J23" s="17" t="str">
        <f>IF(H23="","",SUMIFS(资金流水!$K$4:$K$103,资金流水!$F$4:$F$103,H23,资金流水!$D$4:$D$103,"供应商付款",资金流水!$B$4:$B$103,TEXT($B$2,"yyyy-mm")))</f>
        <v/>
      </c>
      <c r="K23" s="17" t="str">
        <f>IF(H23="","",SUMIFS(应付明细账龄!$K$4:$K$113,应付明细账龄!$C$4:$C$113,H23))</f>
        <v/>
      </c>
      <c r="L23" s="17" t="str">
        <f>IF(H23="","",SUMIFS(应付明细账龄!$K$4:$K$113,应付明细账龄!$C$4:$C$113,H23,应付明细账龄!$L$4:$L$113,"&lt;=0"))</f>
        <v/>
      </c>
      <c r="M23" t="str">
        <f>IF(H23="","",基础资料!AF23)</f>
        <v/>
      </c>
      <c r="O23" t="str">
        <f>IF(基础资料!F23="","",基础资料!F23)</f>
        <v/>
      </c>
      <c r="P23" s="17" t="str">
        <f>IF(O23="","",SUMIFS(销售录入!$I$4:$I$103,销售录入!$M$4:$M$103,O23,销售录入!$B$4:$B$103,TEXT($B$2,"yyyy-mm")))</f>
        <v/>
      </c>
      <c r="Q23" s="17" t="str">
        <f>IF(O23="","",SUMIFS(资金流水!$J$4:$J$103,资金流水!$G$4:$G$103,O23,资金流水!$B$4:$B$103,TEXT($B$2,"yyyy-mm")))</f>
        <v/>
      </c>
      <c r="R23" s="17" t="str">
        <f>IF(O23="","",SUMIFS(资金流水!$K$4:$K$103,资金流水!$G$4:$G$103,O23,资金流水!$C$4:$C$103,"支出",资金流水!$B$4:$B$103,TEXT($B$2,"yyyy-mm")))</f>
        <v/>
      </c>
      <c r="S23" s="17" t="str">
        <f>IF(O23="","",SUMIFS(销售录入!$K$4:$K$103,销售录入!$M$4:$M$103,O23,销售录入!$B$4:$B$103,TEXT($B$2,"yyyy-mm")))</f>
        <v/>
      </c>
      <c r="T23" s="17" t="str">
        <f t="shared" si="0"/>
        <v/>
      </c>
      <c r="U23" s="17" t="str">
        <f t="shared" si="1"/>
        <v/>
      </c>
      <c r="W23" t="str">
        <f>IF(基础资料!J23="","",基础资料!J23)</f>
        <v/>
      </c>
      <c r="X23" t="str">
        <f>IF(W23="","",基础资料!K23)</f>
        <v/>
      </c>
      <c r="Y23" s="17" t="str">
        <f>IF(W23="","",SUMIFS(资金流水!$J$4:$J$103,资金流水!$H$4:$H$103,W23,资金流水!$B$4:$B$103,TEXT($B$2,"yyyy-mm")))</f>
        <v/>
      </c>
      <c r="Z23" s="17" t="str">
        <f>IF(W23="","",SUMIFS(资金流水!$K$4:$K$103,资金流水!$H$4:$H$103,W23,资金流水!$B$4:$B$103,TEXT($B$2,"yyyy-mm")))</f>
        <v/>
      </c>
      <c r="AA23" s="17" t="str">
        <f>IF(W23="","",SUMIFS(销售录入!$I$4:$I$103,销售录入!$N$4:$N$103,W23,销售录入!$B$4:$B$103,TEXT($B$2,"yyyy-mm")))</f>
        <v/>
      </c>
      <c r="AB23" s="17" t="str">
        <f>IF(W23="","",SUMIFS(采购录入!$I$4:$I$103,采购录入!$L$4:$L$103,W23,采购录入!$B$4:$B$103,TEXT($B$2,"yyyy-mm")))</f>
        <v/>
      </c>
    </row>
    <row r="24" spans="1:28">
      <c r="A24" t="str">
        <f>IF(基础资料!Y24="","",基础资料!Y24)</f>
        <v/>
      </c>
      <c r="B24" s="17" t="str">
        <f>IF(A24="","",SUMIFS(销售录入!$I$4:$I$103,销售录入!$C$4:$C$103,A24,销售录入!$B$4:$B$103,TEXT($B$2,"yyyy-mm")))</f>
        <v/>
      </c>
      <c r="C24" s="17" t="str">
        <f>IF(A24="","",SUMIFS(资金流水!$J$4:$J$103,资金流水!$F$4:$F$103,A24,资金流水!$D$4:$D$103,"客户回款",资金流水!$B$4:$B$103,TEXT($B$2,"yyyy-mm")))</f>
        <v/>
      </c>
      <c r="D24" s="17" t="str">
        <f>IF(A24="","",SUMIFS(应收明细账龄!$L$4:$L$113,应收明细账龄!$C$4:$C$113,A24))</f>
        <v/>
      </c>
      <c r="E24" s="17" t="str">
        <f>IF(A24="","",SUMIFS(应收明细账龄!$L$4:$L$113,应收明细账龄!$C$4:$C$113,A24,应收明细账龄!$M$4:$M$113,"&gt;0"))</f>
        <v/>
      </c>
      <c r="F24" t="str">
        <f>IF(A24="","",基础资料!Z24)</f>
        <v/>
      </c>
      <c r="H24" t="str">
        <f>IF(基础资料!AE24="","",基础资料!AE24)</f>
        <v/>
      </c>
      <c r="I24" s="17" t="str">
        <f>IF(H24="","",SUMIFS(采购录入!$I$4:$I$103,采购录入!$C$4:$C$103,H24,采购录入!$B$4:$B$103,TEXT($B$2,"yyyy-mm")))</f>
        <v/>
      </c>
      <c r="J24" s="17" t="str">
        <f>IF(H24="","",SUMIFS(资金流水!$K$4:$K$103,资金流水!$F$4:$F$103,H24,资金流水!$D$4:$D$103,"供应商付款",资金流水!$B$4:$B$103,TEXT($B$2,"yyyy-mm")))</f>
        <v/>
      </c>
      <c r="K24" s="17" t="str">
        <f>IF(H24="","",SUMIFS(应付明细账龄!$K$4:$K$113,应付明细账龄!$C$4:$C$113,H24))</f>
        <v/>
      </c>
      <c r="L24" s="17" t="str">
        <f>IF(H24="","",SUMIFS(应付明细账龄!$K$4:$K$113,应付明细账龄!$C$4:$C$113,H24,应付明细账龄!$L$4:$L$113,"&lt;=0"))</f>
        <v/>
      </c>
      <c r="M24" t="str">
        <f>IF(H24="","",基础资料!AF24)</f>
        <v/>
      </c>
      <c r="O24" t="str">
        <f>IF(基础资料!F24="","",基础资料!F24)</f>
        <v/>
      </c>
      <c r="P24" s="17" t="str">
        <f>IF(O24="","",SUMIFS(销售录入!$I$4:$I$103,销售录入!$M$4:$M$103,O24,销售录入!$B$4:$B$103,TEXT($B$2,"yyyy-mm")))</f>
        <v/>
      </c>
      <c r="Q24" s="17" t="str">
        <f>IF(O24="","",SUMIFS(资金流水!$J$4:$J$103,资金流水!$G$4:$G$103,O24,资金流水!$B$4:$B$103,TEXT($B$2,"yyyy-mm")))</f>
        <v/>
      </c>
      <c r="R24" s="17" t="str">
        <f>IF(O24="","",SUMIFS(资金流水!$K$4:$K$103,资金流水!$G$4:$G$103,O24,资金流水!$C$4:$C$103,"支出",资金流水!$B$4:$B$103,TEXT($B$2,"yyyy-mm")))</f>
        <v/>
      </c>
      <c r="S24" s="17" t="str">
        <f>IF(O24="","",SUMIFS(销售录入!$K$4:$K$103,销售录入!$M$4:$M$103,O24,销售录入!$B$4:$B$103,TEXT($B$2,"yyyy-mm")))</f>
        <v/>
      </c>
      <c r="T24" s="17" t="str">
        <f t="shared" si="0"/>
        <v/>
      </c>
      <c r="U24" s="17" t="str">
        <f t="shared" si="1"/>
        <v/>
      </c>
      <c r="W24" t="str">
        <f>IF(基础资料!J24="","",基础资料!J24)</f>
        <v/>
      </c>
      <c r="X24" t="str">
        <f>IF(W24="","",基础资料!K24)</f>
        <v/>
      </c>
      <c r="Y24" s="17" t="str">
        <f>IF(W24="","",SUMIFS(资金流水!$J$4:$J$103,资金流水!$H$4:$H$103,W24,资金流水!$B$4:$B$103,TEXT($B$2,"yyyy-mm")))</f>
        <v/>
      </c>
      <c r="Z24" s="17" t="str">
        <f>IF(W24="","",SUMIFS(资金流水!$K$4:$K$103,资金流水!$H$4:$H$103,W24,资金流水!$B$4:$B$103,TEXT($B$2,"yyyy-mm")))</f>
        <v/>
      </c>
      <c r="AA24" s="17" t="str">
        <f>IF(W24="","",SUMIFS(销售录入!$I$4:$I$103,销售录入!$N$4:$N$103,W24,销售录入!$B$4:$B$103,TEXT($B$2,"yyyy-mm")))</f>
        <v/>
      </c>
      <c r="AB24" s="17" t="str">
        <f>IF(W24="","",SUMIFS(采购录入!$I$4:$I$103,采购录入!$L$4:$L$103,W24,采购录入!$B$4:$B$103,TEXT($B$2,"yyyy-mm")))</f>
        <v/>
      </c>
    </row>
  </sheetData>
  <mergeCells count="1">
    <mergeCell ref="A1:AB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A1" sqref="A1:G1"/>
    </sheetView>
  </sheetViews>
  <sheetFormatPr defaultColWidth="9" defaultRowHeight="14.25"/>
  <cols>
    <col min="1" max="1" width="19.125" customWidth="1"/>
    <col min="2" max="4" width="14" customWidth="1"/>
    <col min="6" max="6" width="42" customWidth="1"/>
    <col min="10" max="10" width="10.75" customWidth="1"/>
  </cols>
  <sheetData>
    <row r="1" ht="20.25" spans="1:11">
      <c r="A1" s="45" t="s">
        <v>619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>
      <c r="A2" t="s">
        <v>620</v>
      </c>
    </row>
    <row r="3" spans="1:11">
      <c r="J3" t="s">
        <v>410</v>
      </c>
      <c r="K3" t="s">
        <v>29</v>
      </c>
    </row>
    <row r="4" ht="28.5" spans="1:11">
      <c r="A4" s="43" t="s">
        <v>621</v>
      </c>
      <c r="B4" s="44" t="s">
        <v>622</v>
      </c>
      <c r="C4" s="44" t="s">
        <v>623</v>
      </c>
      <c r="D4" s="44" t="s">
        <v>624</v>
      </c>
      <c r="E4" s="43" t="s">
        <v>29</v>
      </c>
      <c r="F4" s="43" t="s">
        <v>625</v>
      </c>
      <c r="G4" s="43" t="s">
        <v>626</v>
      </c>
      <c r="J4" s="5">
        <f>DATE(YEAR(首页!$B$4),1,1)</f>
        <v>46023</v>
      </c>
      <c r="K4" t="s">
        <v>627</v>
      </c>
    </row>
    <row r="5" spans="1:11">
      <c r="A5" t="s">
        <v>628</v>
      </c>
      <c r="B5" s="46">
        <f>SUMIFS(凭证计算!$G$86:$G$239,凭证计算!$B$86:$B$239,TEXT(首页!$B$4,"yyyy-mm"))</f>
        <v>137220</v>
      </c>
      <c r="C5" s="46">
        <f>SUMIFS(凭证计算!$H$86:$H$239,凭证计算!$B$86:$B$239,TEXT(首页!$B$4,"yyyy-mm"))</f>
        <v>137220</v>
      </c>
      <c r="D5" s="46">
        <f t="shared" ref="D5:D14" si="0">B5-C5</f>
        <v>0</v>
      </c>
      <c r="E5" t="str">
        <f t="shared" ref="E5:E13" si="1">IF(ABS(D5)&lt;0.01,"正常","需检查")</f>
        <v>正常</v>
      </c>
      <c r="F5" s="47" t="s">
        <v>629</v>
      </c>
      <c r="G5" t="s">
        <v>630</v>
      </c>
      <c r="J5" s="5">
        <f>DATE(YEAR(首页!$B$4),2,1)</f>
        <v>46054</v>
      </c>
      <c r="K5" t="s">
        <v>627</v>
      </c>
    </row>
    <row r="6" spans="1:11">
      <c r="A6" t="s">
        <v>631</v>
      </c>
      <c r="B6" s="46">
        <f>SUMIFS(销售录入!$I$4:$I$203,销售录入!$B$4:$B$203,TEXT(首页!$B$4,"yyyy-mm"))</f>
        <v>26080</v>
      </c>
      <c r="C6" s="46">
        <f>利润表!C6</f>
        <v>26080</v>
      </c>
      <c r="D6" s="46">
        <f t="shared" si="0"/>
        <v>0</v>
      </c>
      <c r="E6" t="str">
        <f t="shared" si="1"/>
        <v>正常</v>
      </c>
      <c r="F6" s="47" t="s">
        <v>632</v>
      </c>
      <c r="G6" t="s">
        <v>630</v>
      </c>
      <c r="J6" s="5">
        <f>DATE(YEAR(首页!$B$4),3,1)</f>
        <v>46082</v>
      </c>
      <c r="K6" t="s">
        <v>627</v>
      </c>
    </row>
    <row r="7" spans="1:11">
      <c r="A7" t="s">
        <v>633</v>
      </c>
      <c r="B7" s="46">
        <f>SUMIFS(销售录入!$K$4:$K$203,销售录入!$B$4:$B$203,TEXT(首页!$B$4,"yyyy-mm"))</f>
        <v>13040</v>
      </c>
      <c r="C7" s="46">
        <f>利润表!C9</f>
        <v>13040</v>
      </c>
      <c r="D7" s="46">
        <f t="shared" si="0"/>
        <v>0</v>
      </c>
      <c r="E7" t="str">
        <f t="shared" si="1"/>
        <v>正常</v>
      </c>
      <c r="F7" s="47" t="s">
        <v>634</v>
      </c>
      <c r="G7" t="s">
        <v>630</v>
      </c>
      <c r="J7" s="5">
        <f>DATE(YEAR(首页!$B$4),4,1)</f>
        <v>46113</v>
      </c>
      <c r="K7" t="s">
        <v>627</v>
      </c>
    </row>
    <row r="8" ht="27.75" spans="1:11">
      <c r="A8" t="s">
        <v>635</v>
      </c>
      <c r="B8" s="46">
        <f>SUM(期初数据!$H$5:$H$14)+SUMIFS(销售录入!$I$4:$I$203,销售录入!$A$4:$A$203,"&gt;="&amp;DATE(YEAR(首页!$B$4),1,1),销售录入!$A$4:$A$203,"&lt;="&amp;EOMONTH(首页!$B$4,0))-SUMIFS(资金流水!$J$4:$J$203,资金流水!$D$4:$D$203,"客户回款",资金流水!$A$4:$A$203,"&gt;="&amp;DATE(YEAR(首页!$B$4),1,1),资金流水!$A$4:$A$203,"&lt;="&amp;EOMONTH(首页!$B$4,0))</f>
        <v>164080</v>
      </c>
      <c r="C8" s="46">
        <f>SUMIFS(科目余额表!$K$5:$K$84,科目余额表!$A$5:$A$84,"1122")</f>
        <v>164080</v>
      </c>
      <c r="D8" s="46">
        <f t="shared" si="0"/>
        <v>0</v>
      </c>
      <c r="E8" t="str">
        <f t="shared" si="1"/>
        <v>正常</v>
      </c>
      <c r="F8" s="47" t="s">
        <v>636</v>
      </c>
      <c r="G8" t="s">
        <v>630</v>
      </c>
      <c r="J8" s="5">
        <f>DATE(YEAR(首页!$B$4),5,1)</f>
        <v>46143</v>
      </c>
      <c r="K8" t="s">
        <v>627</v>
      </c>
    </row>
    <row r="9" ht="27.75" spans="1:11">
      <c r="A9" t="s">
        <v>637</v>
      </c>
      <c r="B9" s="46">
        <f>SUM(期初数据!$M$5:$M$14)+SUMIFS(采购录入!$I$4:$I$203,采购录入!$A$4:$A$203,"&gt;="&amp;DATE(YEAR(首页!$B$4),1,1),采购录入!$A$4:$A$203,"&lt;="&amp;EOMONTH(首页!$B$4,0))-SUMIFS(资金流水!$K$4:$K$203,资金流水!$D$4:$D$203,"供应商付款",资金流水!$A$4:$A$203,"&gt;="&amp;DATE(YEAR(首页!$B$4),1,1),资金流水!$A$4:$A$203,"&lt;="&amp;EOMONTH(首页!$B$4,0))</f>
        <v>220300</v>
      </c>
      <c r="C9" s="46">
        <f>SUMIFS(科目余额表!$L$5:$L$84,科目余额表!$A$5:$A$84,"2202")</f>
        <v>220300</v>
      </c>
      <c r="D9" s="46">
        <f t="shared" si="0"/>
        <v>0</v>
      </c>
      <c r="E9" t="str">
        <f t="shared" si="1"/>
        <v>正常</v>
      </c>
      <c r="F9" s="47" t="s">
        <v>638</v>
      </c>
      <c r="G9" t="s">
        <v>630</v>
      </c>
      <c r="J9" s="5">
        <f>DATE(YEAR(首页!$B$4),6,1)</f>
        <v>46174</v>
      </c>
      <c r="K9" t="s">
        <v>627</v>
      </c>
    </row>
    <row r="10" ht="27.75" spans="1:11">
      <c r="A10" t="s">
        <v>639</v>
      </c>
      <c r="B10" s="46">
        <f>SUM(期初数据!$U$5:$U$14)+SUMIFS(采购录入!$I$4:$I$203,采购录入!$A$4:$A$203,"&gt;="&amp;DATE(YEAR(首页!$B$4),1,1),采购录入!$A$4:$A$203,"&lt;="&amp;EOMONTH(首页!$B$4,0))-SUMIFS(销售录入!$K$4:$K$203,销售录入!$A$4:$A$203,"&gt;="&amp;DATE(YEAR(首页!$B$4),1,1),销售录入!$A$4:$A$203,"&lt;="&amp;EOMONTH(首页!$B$4,0))</f>
        <v>107260</v>
      </c>
      <c r="C10" s="46">
        <f>SUMIFS(科目余额表!$K$5:$K$84,科目余额表!$A$5:$A$84,"1405")</f>
        <v>107260</v>
      </c>
      <c r="D10" s="46">
        <f t="shared" si="0"/>
        <v>0</v>
      </c>
      <c r="E10" t="str">
        <f t="shared" si="1"/>
        <v>正常</v>
      </c>
      <c r="F10" s="47" t="s">
        <v>640</v>
      </c>
      <c r="G10" t="s">
        <v>630</v>
      </c>
      <c r="J10" s="5">
        <f>DATE(YEAR(首页!$B$4),7,1)</f>
        <v>46204</v>
      </c>
      <c r="K10" t="s">
        <v>627</v>
      </c>
    </row>
    <row r="11" ht="28.5" spans="1:11">
      <c r="A11" t="s">
        <v>641</v>
      </c>
      <c r="B11" s="46">
        <f>SUM(期初数据!$C$5:$C$14)+SUMIFS(资金流水!$J$4:$J$203,资金流水!$A$4:$A$203,"&gt;="&amp;DATE(YEAR(首页!$B$4),1,1),资金流水!$A$4:$A$203,"&lt;="&amp;EOMONTH(首页!$B$4,0))-SUMIFS(资金流水!$K$4:$K$203,资金流水!$D$4:$D$203,"&lt;&gt;账户转账",资金流水!$A$4:$A$203,"&gt;="&amp;DATE(YEAR(首页!$B$4),1,1),资金流水!$A$4:$A$203,"&lt;="&amp;EOMONTH(首页!$B$4,0))</f>
        <v>848600</v>
      </c>
      <c r="C11" s="46">
        <f>SUMIFS(科目余额表!$K$5:$K$84,科目余额表!$A$5:$A$84,"1001")+SUMIFS(科目余额表!$K$5:$K$84,科目余额表!$A$5:$A$84,"1002")+SUMIFS(科目余额表!$K$5:$K$84,科目余额表!$A$5:$A$84,"1012")</f>
        <v>848600</v>
      </c>
      <c r="D11" s="46">
        <f t="shared" si="0"/>
        <v>0</v>
      </c>
      <c r="E11" t="str">
        <f t="shared" si="1"/>
        <v>正常</v>
      </c>
      <c r="F11" s="47" t="s">
        <v>642</v>
      </c>
      <c r="G11" t="s">
        <v>630</v>
      </c>
      <c r="J11" s="5">
        <f>DATE(YEAR(首页!$B$4),8,1)</f>
        <v>46235</v>
      </c>
      <c r="K11" t="s">
        <v>627</v>
      </c>
    </row>
    <row r="12" spans="1:11">
      <c r="A12" t="s">
        <v>643</v>
      </c>
      <c r="B12" s="46">
        <f>资产负债表!C29</f>
        <v>1719940</v>
      </c>
      <c r="C12" s="46">
        <f>资产负债表!G33</f>
        <v>1719940</v>
      </c>
      <c r="D12" s="46">
        <f t="shared" si="0"/>
        <v>0</v>
      </c>
      <c r="E12" t="str">
        <f t="shared" si="1"/>
        <v>正常</v>
      </c>
      <c r="F12" s="47" t="s">
        <v>644</v>
      </c>
      <c r="G12" t="s">
        <v>630</v>
      </c>
      <c r="J12" s="5">
        <f>DATE(YEAR(首页!$B$4),9,1)</f>
        <v>46266</v>
      </c>
      <c r="K12" t="s">
        <v>627</v>
      </c>
    </row>
    <row r="13" spans="1:11">
      <c r="A13" t="s">
        <v>645</v>
      </c>
      <c r="B13" s="46">
        <f>SUMIFS(经营分析!$M$5:$M$16,经营分析!$A$5:$A$16,DATE(YEAR(首页!$B$4),MONTH(首页!$B$4),1))</f>
        <v>-8360</v>
      </c>
      <c r="C13" s="46">
        <f>利润表!C27</f>
        <v>-8360</v>
      </c>
      <c r="D13" s="46">
        <f t="shared" si="0"/>
        <v>0</v>
      </c>
      <c r="E13" t="str">
        <f t="shared" si="1"/>
        <v>正常</v>
      </c>
      <c r="F13" s="47" t="s">
        <v>646</v>
      </c>
      <c r="G13" t="s">
        <v>647</v>
      </c>
      <c r="J13" s="5">
        <f>DATE(YEAR(首页!$B$4),10,1)</f>
        <v>46296</v>
      </c>
      <c r="K13" t="s">
        <v>627</v>
      </c>
    </row>
    <row r="14" spans="1:11">
      <c r="A14" t="s">
        <v>648</v>
      </c>
      <c r="B14" s="17">
        <f>COUNTIFS(基础资料!$AS$5:$AS$84,"启用",基础资料!$AQ$5:$AQ$84,"资产",基础资料!$AT$5:$AT$84,"")+COUNTIFS(基础资料!$AS$5:$AS$84,"启用",基础资料!$AQ$5:$AQ$84,"负债",基础资料!$AT$5:$AT$84,"")+COUNTIFS(基础资料!$AS$5:$AS$84,"启用",基础资料!$AQ$5:$AQ$84,"权益",基础资料!$AT$5:$AT$84,"")-COUNTIFS(基础资料!$AS$5:$AS$84,"启用",基础资料!$AP$5:$AP$84,"本年利润",基础资料!$AT$5:$AT$84,"")+COUNTIFS(基础资料!$AS$5:$AS$84,"启用",基础资料!$AQ$5:$AQ$84,"收入",基础资料!$AU$5:$AU$84,"")+COUNTIFS(基础资料!$AS$5:$AS$84,"启用",基础资料!$AQ$5:$AQ$84,"费用",基础资料!$AU$5:$AU$84,"")</f>
        <v>0</v>
      </c>
      <c r="C14" s="17">
        <v>0</v>
      </c>
      <c r="D14" s="17">
        <f t="shared" si="0"/>
        <v>0</v>
      </c>
      <c r="E14" t="str">
        <f>IF(B14=0,"正常","需检查")</f>
        <v>正常</v>
      </c>
      <c r="F14" t="s">
        <v>649</v>
      </c>
      <c r="G14" t="s">
        <v>630</v>
      </c>
      <c r="J14" s="5">
        <f>DATE(YEAR(首页!$B$4),11,1)</f>
        <v>46327</v>
      </c>
      <c r="K14" t="s">
        <v>627</v>
      </c>
    </row>
    <row r="15" spans="1:11">
      <c r="A15" t="s">
        <v>650</v>
      </c>
      <c r="B15" s="17"/>
      <c r="C15" s="17">
        <f>COUNTIF(E5:E14,"需检查")</f>
        <v>0</v>
      </c>
      <c r="D15" s="17"/>
      <c r="E15" t="str">
        <f>IF(C15=0,"全部正常，可月结","存在差异，请先处理")</f>
        <v>全部正常，可月结</v>
      </c>
      <c r="J15" s="5">
        <f>DATE(YEAR(首页!$B$4),12,1)</f>
        <v>46357</v>
      </c>
      <c r="K15" t="s">
        <v>627</v>
      </c>
    </row>
  </sheetData>
  <mergeCells count="3">
    <mergeCell ref="A1:G1"/>
    <mergeCell ref="A2:G2"/>
    <mergeCell ref="E15:G15"/>
  </mergeCells>
  <conditionalFormatting sqref="E5:E13">
    <cfRule type="expression" dxfId="0" priority="1">
      <formula>E5="需检查"</formula>
    </cfRule>
    <cfRule type="expression" dxfId="1" priority="2">
      <formula>E5="正常"</formula>
    </cfRule>
  </conditionalFormatting>
  <dataValidations count="1">
    <dataValidation type="list" sqref="K4:K15">
      <formula1>"未结账,已结账"</formula1>
    </dataValidation>
  </dataValidation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:D1"/>
    </sheetView>
  </sheetViews>
  <sheetFormatPr defaultColWidth="9" defaultRowHeight="14.25" outlineLevelCol="3"/>
  <cols>
    <col min="1" max="1" width="8.875" customWidth="1"/>
    <col min="2" max="2" width="17.75" customWidth="1"/>
    <col min="3" max="3" width="37.875" customWidth="1"/>
    <col min="4" max="4" width="48.375" customWidth="1"/>
  </cols>
  <sheetData>
    <row r="1" ht="20.25" spans="1:4">
      <c r="A1" s="45" t="s">
        <v>651</v>
      </c>
      <c r="B1" s="45"/>
      <c r="C1" s="45"/>
      <c r="D1" s="45"/>
    </row>
    <row r="3" spans="1:4">
      <c r="A3" s="43" t="s">
        <v>652</v>
      </c>
      <c r="B3" s="43" t="s">
        <v>653</v>
      </c>
      <c r="C3" s="43" t="s">
        <v>654</v>
      </c>
      <c r="D3" s="43" t="s">
        <v>625</v>
      </c>
    </row>
    <row r="4" spans="1:4">
      <c r="A4" t="s">
        <v>655</v>
      </c>
      <c r="B4" t="s">
        <v>656</v>
      </c>
      <c r="C4" t="s">
        <v>657</v>
      </c>
      <c r="D4" t="s">
        <v>658</v>
      </c>
    </row>
    <row r="5" spans="1:4">
      <c r="A5" t="s">
        <v>659</v>
      </c>
      <c r="B5" t="s">
        <v>660</v>
      </c>
      <c r="C5" t="s">
        <v>661</v>
      </c>
      <c r="D5" t="s">
        <v>662</v>
      </c>
    </row>
    <row r="6" spans="1:4">
      <c r="A6" t="s">
        <v>663</v>
      </c>
      <c r="B6" t="s">
        <v>664</v>
      </c>
      <c r="C6" t="s">
        <v>665</v>
      </c>
      <c r="D6" t="s">
        <v>666</v>
      </c>
    </row>
    <row r="7" spans="1:4">
      <c r="A7" t="s">
        <v>667</v>
      </c>
      <c r="B7" t="s">
        <v>668</v>
      </c>
      <c r="C7" t="s">
        <v>669</v>
      </c>
      <c r="D7" t="s">
        <v>670</v>
      </c>
    </row>
    <row r="8" spans="1:4">
      <c r="A8" t="s">
        <v>671</v>
      </c>
      <c r="B8" t="s">
        <v>672</v>
      </c>
      <c r="C8" t="s">
        <v>673</v>
      </c>
      <c r="D8" t="s">
        <v>674</v>
      </c>
    </row>
    <row r="9" spans="1:4">
      <c r="A9" t="s">
        <v>675</v>
      </c>
      <c r="B9" t="s">
        <v>676</v>
      </c>
      <c r="C9" t="s">
        <v>619</v>
      </c>
      <c r="D9" t="s">
        <v>677</v>
      </c>
    </row>
    <row r="10" spans="1:4">
      <c r="A10" t="s">
        <v>678</v>
      </c>
      <c r="B10" t="s">
        <v>679</v>
      </c>
      <c r="C10" t="s">
        <v>680</v>
      </c>
      <c r="D10" t="s">
        <v>681</v>
      </c>
    </row>
    <row r="12" spans="1:4">
      <c r="A12" t="s">
        <v>682</v>
      </c>
      <c r="B12" t="s">
        <v>683</v>
      </c>
      <c r="C12" t="s">
        <v>625</v>
      </c>
    </row>
    <row r="13" spans="1:4">
      <c r="A13" t="s">
        <v>684</v>
      </c>
      <c r="B13" t="s">
        <v>685</v>
      </c>
      <c r="C13" t="s">
        <v>686</v>
      </c>
    </row>
    <row r="14" spans="1:4">
      <c r="A14" t="s">
        <v>398</v>
      </c>
      <c r="B14" t="s">
        <v>687</v>
      </c>
      <c r="C14" t="s">
        <v>688</v>
      </c>
    </row>
    <row r="15" spans="1:4">
      <c r="A15" t="s">
        <v>689</v>
      </c>
      <c r="B15" t="s">
        <v>690</v>
      </c>
      <c r="C15" t="s">
        <v>691</v>
      </c>
    </row>
  </sheetData>
  <mergeCells count="1">
    <mergeCell ref="A1:D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4"/>
  <sheetViews>
    <sheetView workbookViewId="0">
      <selection activeCell="A1" sqref="A1:N1"/>
    </sheetView>
  </sheetViews>
  <sheetFormatPr defaultColWidth="9" defaultRowHeight="14.25"/>
  <cols>
    <col min="1" max="1" width="12" customWidth="1"/>
    <col min="2" max="2" width="18" customWidth="1"/>
    <col min="3" max="3" width="10" customWidth="1"/>
    <col min="4" max="4" width="12" customWidth="1"/>
    <col min="5" max="5" width="14" customWidth="1"/>
    <col min="6" max="6" width="12" customWidth="1"/>
    <col min="7" max="7" width="22" customWidth="1"/>
    <col min="8" max="8" width="10.75" customWidth="1"/>
    <col min="9" max="9" width="12" customWidth="1"/>
    <col min="10" max="10" width="15" customWidth="1"/>
    <col min="11" max="11" width="14" customWidth="1"/>
    <col min="12" max="12" width="26" customWidth="1"/>
    <col min="13" max="14" width="12" customWidth="1"/>
  </cols>
  <sheetData>
    <row r="1" ht="30" customHeight="1" spans="1:14">
      <c r="A1" s="1" t="s">
        <v>692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156</v>
      </c>
      <c r="B2" s="3" t="str">
        <f>基础资料!$Y$5</f>
        <v>客户A</v>
      </c>
      <c r="D2" s="2" t="s">
        <v>693</v>
      </c>
      <c r="E2" s="4">
        <f>EOMONTH(首页!$B$4,-1)+1</f>
        <v>46174</v>
      </c>
      <c r="F2" s="5"/>
      <c r="G2" s="6" t="s">
        <v>694</v>
      </c>
      <c r="H2" s="4">
        <f>EOMONTH(首页!$B$4,0)</f>
        <v>46203</v>
      </c>
      <c r="J2" s="2" t="s">
        <v>695</v>
      </c>
      <c r="K2" s="3" t="s">
        <v>696</v>
      </c>
    </row>
    <row r="3" ht="15.75" spans="1:14">
      <c r="A3" s="2" t="s">
        <v>396</v>
      </c>
      <c r="B3" s="7">
        <f>SUMIFS(期初数据!$H$5:$H$14,期初数据!$F$5:$F$14,$B$2,期初数据!$G$5:$G$14,"&lt;"&amp;$E$2)+SUMIFS(销售录入!$I$4:$I$203,销售录入!$C$4:$C$203,$B$2,销售录入!$A$4:$A$203,"&lt;"&amp;$E$2)-SUMIFS(资金流水!$J$4:$J$203,资金流水!$F$4:$F$203,$B$2,资金流水!$D$4:$D$203,"客户回款",资金流水!$A$4:$A$203,"&lt;"&amp;$E$2)</f>
        <v>15000</v>
      </c>
      <c r="D3" s="2" t="s">
        <v>697</v>
      </c>
      <c r="E3" s="7">
        <f>SUMIFS(销售录入!$I$4:$I$203,销售录入!$C$4:$C$203,$B$2,销售录入!$A$4:$A$203,"&gt;="&amp;$E$2,销售录入!$A$4:$A$203,"&lt;="&amp;$H$2)</f>
        <v>4000</v>
      </c>
      <c r="G3" s="2" t="s">
        <v>698</v>
      </c>
      <c r="H3" s="7">
        <f>SUMIFS(资金流水!$J$4:$J$203,资金流水!$F$4:$F$203,$B$2,资金流水!$D$4:$D$203,"客户回款",资金流水!$A$4:$A$203,"&gt;="&amp;$E$2,资金流水!$A$4:$A$203,"&lt;="&amp;$H$2)</f>
        <v>12000</v>
      </c>
      <c r="J3" s="2" t="s">
        <v>610</v>
      </c>
      <c r="K3" s="7">
        <f>B3+E3-H3</f>
        <v>7000</v>
      </c>
    </row>
    <row r="4" ht="15" spans="1:14">
      <c r="A4" s="2" t="s">
        <v>43</v>
      </c>
      <c r="B4" t="str">
        <f>IFERROR(VLOOKUP($B$2,基础资料!$Y$5:$Z$204,2,FALSE),"")</f>
        <v>张伟</v>
      </c>
      <c r="D4" s="2" t="s">
        <v>699</v>
      </c>
      <c r="E4" t="str">
        <f>TEXT(E2,"yyyy-mm-dd")&amp;" 至 "&amp;TEXT(H2,"yyyy-mm-dd")</f>
        <v>2026-06-01 至 2026-06-30</v>
      </c>
      <c r="J4" s="2" t="s">
        <v>700</v>
      </c>
      <c r="K4" s="8" t="s">
        <v>701</v>
      </c>
      <c r="L4" s="8"/>
      <c r="M4" s="8"/>
      <c r="N4" s="8"/>
    </row>
    <row r="5" ht="30" customHeight="1" spans="1:14">
      <c r="A5" s="9" t="s">
        <v>702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24" customHeight="1" spans="1:14">
      <c r="A6" s="10" t="s">
        <v>703</v>
      </c>
      <c r="B6" s="10"/>
      <c r="C6" s="10"/>
      <c r="D6" s="10"/>
      <c r="E6" s="10"/>
      <c r="F6" s="10"/>
      <c r="G6" s="10"/>
      <c r="H6" s="11"/>
      <c r="I6" s="37" t="s">
        <v>704</v>
      </c>
      <c r="J6" s="37"/>
      <c r="K6" s="37"/>
      <c r="L6" s="37"/>
      <c r="M6" s="37"/>
      <c r="N6" s="37"/>
    </row>
    <row r="7" spans="1:14">
      <c r="A7" s="13" t="s">
        <v>705</v>
      </c>
      <c r="B7" s="14" t="s">
        <v>398</v>
      </c>
      <c r="C7" s="14" t="s">
        <v>431</v>
      </c>
      <c r="D7" s="15" t="s">
        <v>706</v>
      </c>
      <c r="E7" s="15" t="s">
        <v>433</v>
      </c>
      <c r="F7" s="13" t="s">
        <v>436</v>
      </c>
      <c r="G7" s="14" t="s">
        <v>31</v>
      </c>
      <c r="H7" s="11"/>
      <c r="I7" s="38" t="s">
        <v>707</v>
      </c>
      <c r="J7" s="38" t="s">
        <v>708</v>
      </c>
      <c r="K7" s="38" t="s">
        <v>709</v>
      </c>
      <c r="L7" s="38" t="s">
        <v>412</v>
      </c>
      <c r="M7" s="38" t="s">
        <v>710</v>
      </c>
      <c r="N7" s="38" t="s">
        <v>19</v>
      </c>
    </row>
    <row r="8" spans="1:14">
      <c r="A8" s="5">
        <f>IFERROR(_xlfn._xlws.FILTER(销售录入!$A$4:$A$203,(销售录入!$C$4:$C$203=$B$2)*(销售录入!$A$4:$A$203&gt;=$E$2)*(销售录入!$A$4:$A$203&lt;=$H$2)),"")</f>
        <v>46174</v>
      </c>
      <c r="B8" t="str">
        <f>IFERROR(_xlfn._xlws.FILTER(销售录入!$D$4:$D$203,(销售录入!$C$4:$C$203=$B$2)*(销售录入!$A$4:$A$203&gt;=$E$2)*(销售录入!$A$4:$A$203&lt;=$H$2)),"")</f>
        <v>A配件</v>
      </c>
      <c r="C8" s="17">
        <f>IFERROR(_xlfn._xlws.FILTER(销售录入!$G$4:$G$203,(销售录入!$C$4:$C$203=$B$2)*(销售录入!$A$4:$A$203&gt;=$E$2)*(销售录入!$A$4:$A$203&lt;=$H$2)),"")</f>
        <v>20</v>
      </c>
      <c r="D8" s="17">
        <f>IFERROR(_xlfn._xlws.FILTER(销售录入!$H$4:$H$203,(销售录入!$C$4:$C$203=$B$2)*(销售录入!$A$4:$A$203&gt;=$E$2)*(销售录入!$A$4:$A$203&lt;=$H$2)),"")</f>
        <v>200</v>
      </c>
      <c r="E8" s="17">
        <f>IFERROR(_xlfn._xlws.FILTER(销售录入!$I$4:$I$203,(销售录入!$C$4:$C$203=$B$2)*(销售录入!$A$4:$A$203&gt;=$E$2)*(销售录入!$A$4:$A$203&lt;=$H$2)),"")</f>
        <v>4000</v>
      </c>
      <c r="F8" s="5">
        <f>IFERROR(_xlfn._xlws.FILTER(销售录入!$L$4:$L$203,(销售录入!$C$4:$C$203=$B$2)*(销售录入!$A$4:$A$203&gt;=$E$2)*(销售录入!$A$4:$A$203&lt;=$H$2)),"")</f>
        <v>46204</v>
      </c>
      <c r="G8" t="str">
        <f>IFERROR(_xlfn._xlws.FILTER(销售录入!$O$4:$O$203,(销售录入!$C$4:$C$203=$B$2)*(销售录入!$A$4:$A$203&gt;=$E$2)*(销售录入!$A$4:$A$203&lt;=$H$2)),"")</f>
        <v>演示销售</v>
      </c>
      <c r="H8" s="11"/>
      <c r="I8" s="5">
        <f>IFERROR(_xlfn._xlws.FILTER(资金流水!$A$4:$A$203,(资金流水!$F$4:$F$203=$B$2)*(资金流水!$D$4:$D$203="客户回款")*(资金流水!$A$4:$A$203&gt;=$E$2)*(资金流水!$A$4:$A$203&lt;=$H$2)),"")</f>
        <v>46175</v>
      </c>
      <c r="J8" t="str">
        <f>IFERROR(_xlfn._xlws.FILTER(资金流水!$E$4:$E$203,(资金流水!$F$4:$F$203=$B$2)*(资金流水!$D$4:$D$203="客户回款")*(资金流水!$A$4:$A$203&gt;=$E$2)*(资金流水!$A$4:$A$203&lt;=$H$2)),"")</f>
        <v>工商银行</v>
      </c>
      <c r="K8" s="17">
        <f>IFERROR(_xlfn._xlws.FILTER(资金流水!$J$4:$J$203,(资金流水!$F$4:$F$203=$B$2)*(资金流水!$D$4:$D$203="客户回款")*(资金流水!$A$4:$A$203&gt;=$E$2)*(资金流水!$A$4:$A$203&lt;=$H$2)),"")</f>
        <v>12000</v>
      </c>
      <c r="L8" t="str">
        <f>IFERROR(_xlfn._xlws.FILTER(资金流水!$I$4:$I$203,(资金流水!$F$4:$F$203=$B$2)*(资金流水!$D$4:$D$203="客户回款")*(资金流水!$A$4:$A$203&gt;=$E$2)*(资金流水!$A$4:$A$203&lt;=$H$2)),"")</f>
        <v>收到客户A货款</v>
      </c>
      <c r="M8" t="str">
        <f>IFERROR(_xlfn._xlws.FILTER(资金流水!$H$4:$H$203,(资金流水!$F$4:$F$203=$B$2)*(资金流水!$D$4:$D$203="客户回款")*(资金流水!$A$4:$A$203&gt;=$E$2)*(资金流水!$A$4:$A$203&lt;=$H$2)),"")</f>
        <v>张伟</v>
      </c>
      <c r="N8" t="str">
        <f>IFERROR(_xlfn._xlws.FILTER(资金流水!$G$4:$G$203,(资金流水!$F$4:$F$203=$B$2)*(资金流水!$D$4:$D$203="客户回款")*(资金流水!$A$4:$A$203&gt;=$E$2)*(资金流水!$A$4:$A$203&lt;=$H$2)),"")</f>
        <v>销售部</v>
      </c>
    </row>
    <row r="9" spans="1:14">
      <c r="A9" s="5"/>
      <c r="C9" s="17"/>
      <c r="D9" s="17"/>
      <c r="E9" s="17"/>
      <c r="F9" s="5"/>
      <c r="H9" s="11"/>
      <c r="I9" s="5"/>
      <c r="K9" s="17"/>
    </row>
    <row r="10" spans="1:14">
      <c r="A10" s="5"/>
      <c r="C10" s="17"/>
      <c r="D10" s="17"/>
      <c r="E10" s="17"/>
      <c r="F10" s="5"/>
      <c r="H10" s="11"/>
      <c r="I10" s="5"/>
      <c r="K10" s="17"/>
    </row>
    <row r="11" spans="1:14">
      <c r="A11" s="5"/>
      <c r="C11" s="17"/>
      <c r="D11" s="17"/>
      <c r="E11" s="17"/>
      <c r="F11" s="5"/>
      <c r="H11" s="11"/>
      <c r="I11" s="5"/>
      <c r="K11" s="17"/>
    </row>
    <row r="12" spans="1:14">
      <c r="A12" s="5"/>
      <c r="C12" s="17"/>
      <c r="D12" s="17"/>
      <c r="E12" s="17"/>
      <c r="F12" s="5"/>
      <c r="H12" s="11"/>
      <c r="I12" s="5"/>
      <c r="K12" s="17"/>
    </row>
    <row r="13" spans="1:14">
      <c r="A13" s="5"/>
      <c r="C13" s="17"/>
      <c r="D13" s="17"/>
      <c r="E13" s="17"/>
      <c r="F13" s="5"/>
      <c r="H13" s="11"/>
      <c r="I13" s="5"/>
      <c r="K13" s="17"/>
    </row>
    <row r="14" spans="1:14">
      <c r="A14" s="5"/>
      <c r="C14" s="17"/>
      <c r="D14" s="17"/>
      <c r="E14" s="17"/>
      <c r="F14" s="5"/>
      <c r="H14" s="11"/>
      <c r="I14" s="5"/>
      <c r="K14" s="17"/>
    </row>
    <row r="15" spans="1:14">
      <c r="A15" s="5"/>
      <c r="C15" s="17"/>
      <c r="D15" s="17"/>
      <c r="E15" s="17"/>
      <c r="F15" s="5"/>
      <c r="H15" s="11"/>
      <c r="I15" s="5"/>
      <c r="K15" s="17"/>
    </row>
    <row r="16" spans="1:14">
      <c r="A16" s="5"/>
      <c r="C16" s="17"/>
      <c r="D16" s="17"/>
      <c r="E16" s="17"/>
      <c r="F16" s="5"/>
      <c r="H16" s="11"/>
      <c r="I16" s="5"/>
      <c r="K16" s="17"/>
    </row>
    <row r="17" spans="1:11">
      <c r="A17" s="5"/>
      <c r="C17" s="17"/>
      <c r="D17" s="17"/>
      <c r="E17" s="17"/>
      <c r="F17" s="5"/>
      <c r="H17" s="11"/>
      <c r="I17" s="5"/>
      <c r="K17" s="17"/>
    </row>
    <row r="18" spans="1:11">
      <c r="A18" s="5"/>
      <c r="C18" s="17"/>
      <c r="D18" s="17"/>
      <c r="E18" s="17"/>
      <c r="F18" s="5"/>
      <c r="H18" s="11"/>
      <c r="I18" s="5"/>
      <c r="K18" s="17"/>
    </row>
    <row r="19" spans="1:11">
      <c r="A19" s="5"/>
      <c r="C19" s="17"/>
      <c r="D19" s="17"/>
      <c r="E19" s="17"/>
      <c r="F19" s="5"/>
      <c r="H19" s="11"/>
      <c r="I19" s="5"/>
      <c r="K19" s="17"/>
    </row>
    <row r="20" spans="1:11">
      <c r="A20" s="5"/>
      <c r="C20" s="17"/>
      <c r="D20" s="17"/>
      <c r="E20" s="17"/>
      <c r="F20" s="5"/>
      <c r="H20" s="11"/>
      <c r="I20" s="5"/>
      <c r="K20" s="17"/>
    </row>
    <row r="21" spans="1:11">
      <c r="A21" s="5"/>
      <c r="C21" s="17"/>
      <c r="D21" s="17"/>
      <c r="E21" s="17"/>
      <c r="F21" s="5"/>
      <c r="H21" s="11"/>
      <c r="I21" s="5"/>
      <c r="K21" s="17"/>
    </row>
    <row r="22" spans="1:11">
      <c r="A22" s="5"/>
      <c r="C22" s="17"/>
      <c r="D22" s="17"/>
      <c r="E22" s="17"/>
      <c r="F22" s="5"/>
      <c r="H22" s="11"/>
      <c r="I22" s="5"/>
      <c r="K22" s="17"/>
    </row>
    <row r="23" spans="1:11">
      <c r="A23" s="5"/>
      <c r="C23" s="17"/>
      <c r="D23" s="17"/>
      <c r="E23" s="17"/>
      <c r="F23" s="5"/>
      <c r="H23" s="11"/>
      <c r="I23" s="5"/>
      <c r="K23" s="17"/>
    </row>
    <row r="24" spans="1:11">
      <c r="A24" s="5"/>
      <c r="C24" s="17"/>
      <c r="D24" s="17"/>
      <c r="E24" s="17"/>
      <c r="F24" s="5"/>
      <c r="H24" s="11"/>
      <c r="I24" s="5"/>
      <c r="K24" s="17"/>
    </row>
    <row r="25" spans="1:11">
      <c r="A25" s="5"/>
      <c r="C25" s="17"/>
      <c r="D25" s="17"/>
      <c r="E25" s="17"/>
      <c r="F25" s="5"/>
      <c r="H25" s="11"/>
      <c r="I25" s="5"/>
      <c r="K25" s="17"/>
    </row>
    <row r="26" spans="1:11">
      <c r="A26" s="5"/>
      <c r="C26" s="17"/>
      <c r="D26" s="17"/>
      <c r="E26" s="17"/>
      <c r="F26" s="5"/>
      <c r="H26" s="11"/>
      <c r="I26" s="5"/>
      <c r="K26" s="17"/>
    </row>
    <row r="27" spans="1:11">
      <c r="A27" s="5"/>
      <c r="C27" s="17"/>
      <c r="D27" s="17"/>
      <c r="E27" s="17"/>
      <c r="F27" s="5"/>
      <c r="H27" s="11"/>
      <c r="I27" s="5"/>
      <c r="K27" s="17"/>
    </row>
    <row r="28" spans="1:11">
      <c r="A28" s="5"/>
      <c r="C28" s="17"/>
      <c r="D28" s="17"/>
      <c r="E28" s="17"/>
      <c r="F28" s="5"/>
      <c r="H28" s="11"/>
      <c r="I28" s="5"/>
      <c r="K28" s="17"/>
    </row>
    <row r="29" spans="1:11">
      <c r="A29" s="5"/>
      <c r="C29" s="17"/>
      <c r="D29" s="17"/>
      <c r="E29" s="17"/>
      <c r="F29" s="5"/>
      <c r="H29" s="11"/>
      <c r="I29" s="5"/>
      <c r="K29" s="17"/>
    </row>
    <row r="30" spans="1:11">
      <c r="A30" s="5"/>
      <c r="C30" s="17"/>
      <c r="D30" s="17"/>
      <c r="E30" s="17"/>
      <c r="F30" s="5"/>
      <c r="H30" s="11"/>
      <c r="I30" s="5"/>
      <c r="K30" s="17"/>
    </row>
    <row r="31" spans="1:11">
      <c r="A31" s="5"/>
      <c r="C31" s="17"/>
      <c r="D31" s="17"/>
      <c r="E31" s="17"/>
      <c r="F31" s="5"/>
      <c r="H31" s="11"/>
      <c r="I31" s="5"/>
      <c r="K31" s="17"/>
    </row>
    <row r="32" spans="1:11">
      <c r="A32" s="5"/>
      <c r="C32" s="17"/>
      <c r="D32" s="17"/>
      <c r="E32" s="17"/>
      <c r="F32" s="5"/>
      <c r="H32" s="11"/>
      <c r="I32" s="5"/>
      <c r="K32" s="17"/>
    </row>
    <row r="33" spans="1:11">
      <c r="A33" s="5"/>
      <c r="C33" s="17"/>
      <c r="D33" s="17"/>
      <c r="E33" s="17"/>
      <c r="F33" s="5"/>
      <c r="H33" s="11"/>
      <c r="I33" s="5"/>
      <c r="K33" s="17"/>
    </row>
    <row r="34" spans="1:11">
      <c r="A34" s="5"/>
      <c r="C34" s="17"/>
      <c r="D34" s="17"/>
      <c r="E34" s="17"/>
      <c r="F34" s="5"/>
      <c r="H34" s="11"/>
      <c r="I34" s="5"/>
      <c r="K34" s="17"/>
    </row>
    <row r="35" spans="1:11">
      <c r="A35" s="5"/>
      <c r="C35" s="17"/>
      <c r="D35" s="17"/>
      <c r="E35" s="17"/>
      <c r="F35" s="5"/>
      <c r="H35" s="11"/>
      <c r="I35" s="5"/>
      <c r="K35" s="17"/>
    </row>
    <row r="36" spans="1:11">
      <c r="A36" s="5"/>
      <c r="C36" s="17"/>
      <c r="D36" s="17"/>
      <c r="E36" s="17"/>
      <c r="F36" s="5"/>
      <c r="H36" s="11"/>
      <c r="I36" s="5"/>
      <c r="K36" s="17"/>
    </row>
    <row r="37" spans="1:11">
      <c r="A37" s="5"/>
      <c r="C37" s="17"/>
      <c r="D37" s="17"/>
      <c r="E37" s="17"/>
      <c r="F37" s="5"/>
      <c r="H37" s="11"/>
      <c r="I37" s="5"/>
      <c r="K37" s="17"/>
    </row>
    <row r="38" spans="1:11">
      <c r="A38" s="5"/>
      <c r="C38" s="17"/>
      <c r="D38" s="17"/>
      <c r="E38" s="17"/>
      <c r="F38" s="5"/>
      <c r="H38" s="11"/>
      <c r="I38" s="5"/>
      <c r="K38" s="17"/>
    </row>
    <row r="39" spans="1:11">
      <c r="A39" s="5"/>
      <c r="C39" s="17"/>
      <c r="D39" s="17"/>
      <c r="E39" s="17"/>
      <c r="F39" s="5"/>
      <c r="H39" s="11"/>
      <c r="I39" s="5"/>
      <c r="K39" s="17"/>
    </row>
    <row r="40" spans="1:11">
      <c r="A40" s="5"/>
      <c r="C40" s="17"/>
      <c r="D40" s="17"/>
      <c r="E40" s="17"/>
      <c r="F40" s="5"/>
      <c r="H40" s="11"/>
      <c r="I40" s="5"/>
      <c r="K40" s="17"/>
    </row>
    <row r="41" spans="1:11">
      <c r="A41" s="5"/>
      <c r="C41" s="17"/>
      <c r="D41" s="17"/>
      <c r="E41" s="17"/>
      <c r="F41" s="5"/>
      <c r="H41" s="11"/>
      <c r="I41" s="5"/>
      <c r="K41" s="17"/>
    </row>
    <row r="42" spans="1:11">
      <c r="A42" s="5"/>
      <c r="C42" s="17"/>
      <c r="D42" s="17"/>
      <c r="E42" s="17"/>
      <c r="F42" s="5"/>
      <c r="H42" s="11"/>
      <c r="I42" s="5"/>
      <c r="K42" s="17"/>
    </row>
    <row r="43" spans="1:11">
      <c r="A43" s="5"/>
      <c r="C43" s="17"/>
      <c r="D43" s="17"/>
      <c r="E43" s="17"/>
      <c r="F43" s="5"/>
      <c r="H43" s="11"/>
      <c r="I43" s="5"/>
      <c r="K43" s="17"/>
    </row>
    <row r="44" spans="1:11">
      <c r="A44" s="5"/>
      <c r="C44" s="17"/>
      <c r="D44" s="17"/>
      <c r="E44" s="17"/>
      <c r="F44" s="5"/>
      <c r="H44" s="11"/>
      <c r="I44" s="5"/>
      <c r="K44" s="17"/>
    </row>
    <row r="45" spans="1:11">
      <c r="A45" s="5"/>
      <c r="C45" s="17"/>
      <c r="D45" s="17"/>
      <c r="E45" s="17"/>
      <c r="F45" s="5"/>
      <c r="H45" s="11"/>
      <c r="I45" s="5"/>
      <c r="K45" s="17"/>
    </row>
    <row r="46" spans="1:11">
      <c r="A46" s="5"/>
      <c r="C46" s="17"/>
      <c r="D46" s="17"/>
      <c r="E46" s="17"/>
      <c r="F46" s="5"/>
      <c r="H46" s="11"/>
      <c r="I46" s="5"/>
      <c r="K46" s="17"/>
    </row>
    <row r="47" spans="1:11">
      <c r="A47" s="5"/>
      <c r="C47" s="17"/>
      <c r="D47" s="17"/>
      <c r="E47" s="17"/>
      <c r="F47" s="5"/>
      <c r="H47" s="11"/>
      <c r="I47" s="5"/>
      <c r="K47" s="17"/>
    </row>
    <row r="48" spans="1:11">
      <c r="A48" s="5"/>
      <c r="C48" s="17"/>
      <c r="D48" s="17"/>
      <c r="E48" s="17"/>
      <c r="F48" s="5"/>
      <c r="H48" s="11"/>
      <c r="I48" s="5"/>
      <c r="K48" s="17"/>
    </row>
    <row r="49" spans="1:11">
      <c r="A49" s="5"/>
      <c r="C49" s="17"/>
      <c r="D49" s="17"/>
      <c r="E49" s="17"/>
      <c r="F49" s="5"/>
      <c r="H49" s="11"/>
      <c r="I49" s="5"/>
      <c r="K49" s="17"/>
    </row>
    <row r="50" spans="1:11">
      <c r="A50" s="5"/>
      <c r="C50" s="17"/>
      <c r="D50" s="17"/>
      <c r="E50" s="17"/>
      <c r="F50" s="5"/>
      <c r="H50" s="11"/>
      <c r="I50" s="5"/>
      <c r="K50" s="17"/>
    </row>
    <row r="51" spans="1:11">
      <c r="A51" s="5"/>
      <c r="C51" s="17"/>
      <c r="D51" s="17"/>
      <c r="E51" s="17"/>
      <c r="F51" s="5"/>
      <c r="H51" s="11"/>
      <c r="I51" s="5"/>
      <c r="K51" s="17"/>
    </row>
    <row r="52" spans="1:11">
      <c r="A52" s="5"/>
      <c r="C52" s="17"/>
      <c r="D52" s="17"/>
      <c r="E52" s="17"/>
      <c r="F52" s="5"/>
      <c r="H52" s="11"/>
      <c r="I52" s="5"/>
      <c r="K52" s="17"/>
    </row>
    <row r="53" spans="1:11">
      <c r="A53" s="5"/>
      <c r="C53" s="17"/>
      <c r="D53" s="17"/>
      <c r="E53" s="17"/>
      <c r="F53" s="5"/>
      <c r="H53" s="11"/>
      <c r="I53" s="5"/>
      <c r="K53" s="17"/>
    </row>
    <row r="54" spans="1:11">
      <c r="A54" s="5"/>
      <c r="C54" s="17"/>
      <c r="D54" s="17"/>
      <c r="E54" s="17"/>
      <c r="F54" s="5"/>
      <c r="H54" s="11"/>
      <c r="I54" s="5"/>
      <c r="K54" s="17"/>
    </row>
    <row r="55" spans="1:11">
      <c r="A55" s="5"/>
      <c r="C55" s="17"/>
      <c r="D55" s="17"/>
      <c r="E55" s="17"/>
      <c r="F55" s="5"/>
      <c r="H55" s="11"/>
      <c r="I55" s="5"/>
      <c r="K55" s="17"/>
    </row>
    <row r="56" spans="1:11">
      <c r="A56" s="5"/>
      <c r="C56" s="17"/>
      <c r="D56" s="17"/>
      <c r="E56" s="17"/>
      <c r="F56" s="5"/>
      <c r="H56" s="11"/>
      <c r="I56" s="5"/>
      <c r="K56" s="17"/>
    </row>
    <row r="57" spans="1:11">
      <c r="A57" s="5"/>
      <c r="C57" s="17"/>
      <c r="D57" s="17"/>
      <c r="E57" s="17"/>
      <c r="F57" s="5"/>
      <c r="H57" s="11"/>
      <c r="I57" s="5"/>
      <c r="K57" s="17"/>
    </row>
    <row r="58" spans="1:11">
      <c r="A58" s="5"/>
      <c r="C58" s="17"/>
      <c r="D58" s="17"/>
      <c r="E58" s="17"/>
      <c r="F58" s="5"/>
      <c r="H58" s="11"/>
      <c r="I58" s="5"/>
      <c r="K58" s="17"/>
    </row>
    <row r="59" spans="1:11">
      <c r="A59" s="5"/>
      <c r="C59" s="17"/>
      <c r="D59" s="17"/>
      <c r="E59" s="17"/>
      <c r="F59" s="5"/>
      <c r="H59" s="11"/>
      <c r="I59" s="5"/>
      <c r="K59" s="17"/>
    </row>
    <row r="60" spans="1:11">
      <c r="A60" s="5"/>
      <c r="C60" s="17"/>
      <c r="D60" s="17"/>
      <c r="E60" s="17"/>
      <c r="F60" s="5"/>
      <c r="H60" s="11"/>
      <c r="I60" s="5"/>
      <c r="K60" s="17"/>
    </row>
    <row r="61" spans="1:11">
      <c r="A61" s="5"/>
      <c r="C61" s="17"/>
      <c r="D61" s="17"/>
      <c r="E61" s="17"/>
      <c r="F61" s="5"/>
      <c r="H61" s="11"/>
      <c r="I61" s="5"/>
      <c r="K61" s="17"/>
    </row>
    <row r="62" spans="1:11">
      <c r="A62" s="5"/>
      <c r="C62" s="17"/>
      <c r="D62" s="17"/>
      <c r="E62" s="17"/>
      <c r="F62" s="5"/>
      <c r="H62" s="11"/>
      <c r="I62" s="5"/>
      <c r="K62" s="17"/>
    </row>
    <row r="63" spans="1:11">
      <c r="A63" s="5"/>
      <c r="C63" s="17"/>
      <c r="D63" s="17"/>
      <c r="E63" s="17"/>
      <c r="F63" s="5"/>
      <c r="H63" s="11"/>
      <c r="I63" s="5"/>
      <c r="K63" s="17"/>
    </row>
    <row r="64" spans="1:11">
      <c r="A64" s="5"/>
      <c r="C64" s="17"/>
      <c r="D64" s="17"/>
      <c r="E64" s="17"/>
      <c r="F64" s="5"/>
      <c r="H64" s="11"/>
      <c r="I64" s="5"/>
      <c r="K64" s="17"/>
    </row>
    <row r="65" spans="1:11">
      <c r="A65" s="5"/>
      <c r="C65" s="17"/>
      <c r="D65" s="17"/>
      <c r="E65" s="17"/>
      <c r="F65" s="5"/>
      <c r="H65" s="11"/>
      <c r="I65" s="5"/>
      <c r="K65" s="17"/>
    </row>
    <row r="66" spans="1:11">
      <c r="A66" s="5"/>
      <c r="C66" s="17"/>
      <c r="D66" s="17"/>
      <c r="E66" s="17"/>
      <c r="F66" s="5"/>
      <c r="H66" s="11"/>
      <c r="I66" s="5"/>
      <c r="K66" s="17"/>
    </row>
    <row r="67" spans="1:11">
      <c r="A67" s="5"/>
      <c r="C67" s="17"/>
      <c r="D67" s="17"/>
      <c r="E67" s="17"/>
      <c r="F67" s="5"/>
      <c r="H67" s="11"/>
      <c r="I67" s="5"/>
      <c r="K67" s="17"/>
    </row>
    <row r="68" spans="1:11">
      <c r="A68" s="5"/>
      <c r="C68" s="17"/>
      <c r="D68" s="17"/>
      <c r="E68" s="17"/>
      <c r="F68" s="5"/>
      <c r="H68" s="11"/>
      <c r="I68" s="5"/>
      <c r="K68" s="17"/>
    </row>
    <row r="69" spans="1:11">
      <c r="A69" s="5"/>
      <c r="C69" s="17"/>
      <c r="D69" s="17"/>
      <c r="E69" s="17"/>
      <c r="F69" s="5"/>
      <c r="H69" s="11"/>
      <c r="I69" s="5"/>
      <c r="K69" s="17"/>
    </row>
    <row r="70" spans="1:11">
      <c r="A70" s="5"/>
      <c r="C70" s="17"/>
      <c r="D70" s="17"/>
      <c r="E70" s="17"/>
      <c r="F70" s="5"/>
      <c r="H70" s="11"/>
      <c r="I70" s="5"/>
      <c r="K70" s="17"/>
    </row>
    <row r="71" spans="1:11">
      <c r="A71" s="5"/>
      <c r="C71" s="17"/>
      <c r="D71" s="17"/>
      <c r="E71" s="17"/>
      <c r="F71" s="5"/>
      <c r="H71" s="11"/>
      <c r="I71" s="5"/>
      <c r="K71" s="17"/>
    </row>
    <row r="72" spans="1:11">
      <c r="A72" s="5"/>
      <c r="C72" s="17"/>
      <c r="D72" s="17"/>
      <c r="E72" s="17"/>
      <c r="F72" s="5"/>
      <c r="H72" s="11"/>
      <c r="I72" s="5"/>
      <c r="K72" s="17"/>
    </row>
    <row r="73" spans="1:11">
      <c r="A73" s="5"/>
      <c r="C73" s="17"/>
      <c r="D73" s="17"/>
      <c r="E73" s="17"/>
      <c r="F73" s="5"/>
      <c r="H73" s="11"/>
      <c r="I73" s="5"/>
      <c r="K73" s="17"/>
    </row>
    <row r="74" spans="1:11">
      <c r="A74" s="5"/>
      <c r="C74" s="17"/>
      <c r="D74" s="17"/>
      <c r="E74" s="17"/>
      <c r="F74" s="5"/>
      <c r="H74" s="11"/>
      <c r="I74" s="5"/>
      <c r="K74" s="17"/>
    </row>
    <row r="75" spans="1:11">
      <c r="A75" s="5"/>
      <c r="C75" s="17"/>
      <c r="D75" s="17"/>
      <c r="E75" s="17"/>
      <c r="F75" s="5"/>
      <c r="H75" s="11"/>
      <c r="I75" s="5"/>
      <c r="K75" s="17"/>
    </row>
    <row r="76" spans="1:11">
      <c r="A76" s="5"/>
      <c r="C76" s="17"/>
      <c r="D76" s="17"/>
      <c r="E76" s="17"/>
      <c r="F76" s="5"/>
      <c r="H76" s="11"/>
      <c r="I76" s="5"/>
      <c r="K76" s="17"/>
    </row>
    <row r="77" spans="1:11">
      <c r="A77" s="5"/>
      <c r="C77" s="17"/>
      <c r="D77" s="17"/>
      <c r="E77" s="17"/>
      <c r="F77" s="5"/>
      <c r="H77" s="11"/>
      <c r="I77" s="5"/>
      <c r="K77" s="17"/>
    </row>
    <row r="78" spans="1:11">
      <c r="A78" s="5"/>
      <c r="C78" s="17"/>
      <c r="D78" s="17"/>
      <c r="E78" s="17"/>
      <c r="F78" s="5"/>
      <c r="H78" s="11"/>
      <c r="I78" s="5"/>
      <c r="K78" s="17"/>
    </row>
    <row r="79" spans="1:11">
      <c r="A79" s="5"/>
      <c r="C79" s="17"/>
      <c r="D79" s="17"/>
      <c r="E79" s="17"/>
      <c r="F79" s="5"/>
      <c r="H79" s="11"/>
      <c r="I79" s="5"/>
      <c r="K79" s="17"/>
    </row>
    <row r="80" spans="1:11">
      <c r="A80" s="5"/>
      <c r="C80" s="17"/>
      <c r="D80" s="17"/>
      <c r="E80" s="17"/>
      <c r="F80" s="5"/>
      <c r="H80" s="11"/>
      <c r="I80" s="5"/>
      <c r="K80" s="17"/>
    </row>
    <row r="81" spans="1:11">
      <c r="A81" s="5"/>
      <c r="C81" s="17"/>
      <c r="D81" s="17"/>
      <c r="E81" s="17"/>
      <c r="F81" s="5"/>
      <c r="H81" s="11"/>
      <c r="I81" s="5"/>
      <c r="K81" s="17"/>
    </row>
    <row r="82" spans="1:11">
      <c r="A82" s="5"/>
      <c r="C82" s="17"/>
      <c r="D82" s="17"/>
      <c r="E82" s="17"/>
      <c r="F82" s="5"/>
      <c r="H82" s="11"/>
      <c r="I82" s="5"/>
      <c r="K82" s="17"/>
    </row>
    <row r="83" spans="1:11">
      <c r="A83" s="5"/>
      <c r="C83" s="17"/>
      <c r="D83" s="17"/>
      <c r="E83" s="17"/>
      <c r="F83" s="5"/>
      <c r="H83" s="11"/>
      <c r="I83" s="5"/>
      <c r="K83" s="17"/>
    </row>
    <row r="84" spans="1:11">
      <c r="A84" s="5"/>
      <c r="C84" s="17"/>
      <c r="D84" s="17"/>
      <c r="E84" s="17"/>
      <c r="F84" s="5"/>
      <c r="H84" s="11"/>
      <c r="I84" s="5"/>
      <c r="K84" s="17"/>
    </row>
    <row r="85" spans="1:11">
      <c r="A85" s="5"/>
      <c r="C85" s="17"/>
      <c r="D85" s="17"/>
      <c r="E85" s="17"/>
      <c r="F85" s="5"/>
      <c r="H85" s="11"/>
      <c r="I85" s="5"/>
      <c r="K85" s="17"/>
    </row>
    <row r="86" spans="1:11">
      <c r="A86" s="5"/>
      <c r="C86" s="17"/>
      <c r="D86" s="17"/>
      <c r="E86" s="17"/>
      <c r="F86" s="5"/>
      <c r="H86" s="11"/>
      <c r="I86" s="5"/>
      <c r="K86" s="17"/>
    </row>
    <row r="87" spans="1:11">
      <c r="A87" s="5"/>
      <c r="C87" s="17"/>
      <c r="D87" s="17"/>
      <c r="E87" s="17"/>
      <c r="F87" s="5"/>
      <c r="H87" s="11"/>
      <c r="I87" s="5"/>
      <c r="K87" s="17"/>
    </row>
    <row r="88" spans="1:11">
      <c r="A88" s="5"/>
      <c r="C88" s="17"/>
      <c r="D88" s="17"/>
      <c r="E88" s="17"/>
      <c r="F88" s="5"/>
      <c r="H88" s="11"/>
      <c r="I88" s="5"/>
      <c r="K88" s="17"/>
    </row>
    <row r="89" spans="1:11">
      <c r="A89" s="5"/>
      <c r="C89" s="17"/>
      <c r="D89" s="17"/>
      <c r="E89" s="17"/>
      <c r="F89" s="5"/>
      <c r="H89" s="11"/>
      <c r="I89" s="5"/>
      <c r="K89" s="17"/>
    </row>
    <row r="90" spans="1:11">
      <c r="A90" s="5"/>
      <c r="C90" s="17"/>
      <c r="D90" s="17"/>
      <c r="E90" s="17"/>
      <c r="F90" s="5"/>
      <c r="H90" s="11"/>
      <c r="I90" s="5"/>
      <c r="K90" s="17"/>
    </row>
    <row r="91" spans="1:11">
      <c r="A91" s="5"/>
      <c r="C91" s="17"/>
      <c r="D91" s="17"/>
      <c r="E91" s="17"/>
      <c r="F91" s="5"/>
      <c r="H91" s="11"/>
      <c r="I91" s="5"/>
      <c r="K91" s="17"/>
    </row>
    <row r="92" spans="1:11">
      <c r="A92" s="5"/>
      <c r="C92" s="17"/>
      <c r="D92" s="17"/>
      <c r="E92" s="17"/>
      <c r="F92" s="5"/>
      <c r="H92" s="11"/>
      <c r="I92" s="5"/>
      <c r="K92" s="17"/>
    </row>
    <row r="93" spans="1:11">
      <c r="A93" s="5"/>
      <c r="C93" s="17"/>
      <c r="D93" s="17"/>
      <c r="E93" s="17"/>
      <c r="F93" s="5"/>
      <c r="H93" s="11"/>
      <c r="I93" s="5"/>
      <c r="K93" s="17"/>
    </row>
    <row r="94" spans="1:11">
      <c r="A94" s="5"/>
      <c r="C94" s="17"/>
      <c r="D94" s="17"/>
      <c r="E94" s="17"/>
      <c r="F94" s="5"/>
      <c r="H94" s="11"/>
      <c r="I94" s="5"/>
      <c r="K94" s="17"/>
    </row>
    <row r="95" spans="1:11">
      <c r="A95" s="5"/>
      <c r="C95" s="17"/>
      <c r="D95" s="17"/>
      <c r="E95" s="17"/>
      <c r="F95" s="5"/>
      <c r="H95" s="11"/>
      <c r="I95" s="5"/>
      <c r="K95" s="17"/>
    </row>
    <row r="96" spans="1:11">
      <c r="A96" s="5"/>
      <c r="C96" s="17"/>
      <c r="D96" s="17"/>
      <c r="E96" s="17"/>
      <c r="F96" s="5"/>
      <c r="H96" s="11"/>
      <c r="I96" s="5"/>
      <c r="K96" s="17"/>
    </row>
    <row r="97" spans="1:11">
      <c r="A97" s="5"/>
      <c r="C97" s="17"/>
      <c r="D97" s="17"/>
      <c r="E97" s="17"/>
      <c r="F97" s="5"/>
      <c r="H97" s="11"/>
      <c r="I97" s="5"/>
      <c r="K97" s="17"/>
    </row>
    <row r="98" spans="1:11">
      <c r="A98" s="5"/>
      <c r="C98" s="17"/>
      <c r="D98" s="17"/>
      <c r="E98" s="17"/>
      <c r="F98" s="5"/>
      <c r="H98" s="11"/>
      <c r="I98" s="5"/>
      <c r="K98" s="17"/>
    </row>
    <row r="99" spans="1:11">
      <c r="A99" s="5"/>
      <c r="C99" s="17"/>
      <c r="D99" s="17"/>
      <c r="E99" s="17"/>
      <c r="F99" s="5"/>
      <c r="H99" s="11"/>
      <c r="I99" s="5"/>
      <c r="K99" s="17"/>
    </row>
    <row r="100" spans="1:11">
      <c r="A100" s="5"/>
      <c r="C100" s="17"/>
      <c r="D100" s="17"/>
      <c r="E100" s="17"/>
      <c r="F100" s="5"/>
      <c r="H100" s="11"/>
      <c r="I100" s="5"/>
      <c r="K100" s="17"/>
    </row>
    <row r="101" spans="1:11">
      <c r="A101" s="5"/>
      <c r="C101" s="17"/>
      <c r="D101" s="17"/>
      <c r="E101" s="17"/>
      <c r="F101" s="5"/>
      <c r="H101" s="11"/>
      <c r="I101" s="5"/>
      <c r="K101" s="17"/>
    </row>
    <row r="102" spans="1:11">
      <c r="A102" s="5"/>
      <c r="C102" s="17"/>
      <c r="D102" s="17"/>
      <c r="E102" s="17"/>
      <c r="F102" s="5"/>
      <c r="H102" s="11"/>
      <c r="I102" s="5"/>
      <c r="K102" s="17"/>
    </row>
    <row r="103" spans="1:11">
      <c r="A103" s="5"/>
      <c r="C103" s="17"/>
      <c r="D103" s="17"/>
      <c r="E103" s="17"/>
      <c r="F103" s="5"/>
      <c r="H103" s="11"/>
      <c r="I103" s="5"/>
      <c r="K103" s="17"/>
    </row>
    <row r="104" spans="1:11">
      <c r="A104" s="5"/>
      <c r="C104" s="17"/>
      <c r="D104" s="17"/>
      <c r="E104" s="17"/>
      <c r="F104" s="5"/>
      <c r="H104" s="11"/>
      <c r="I104" s="5"/>
      <c r="K104" s="17"/>
    </row>
    <row r="105" spans="1:11">
      <c r="A105" s="5"/>
      <c r="C105" s="17"/>
      <c r="D105" s="17"/>
      <c r="E105" s="17"/>
      <c r="F105" s="5"/>
      <c r="H105" s="11"/>
      <c r="I105" s="5"/>
      <c r="K105" s="17"/>
    </row>
    <row r="106" spans="1:11">
      <c r="A106" s="5"/>
      <c r="C106" s="17"/>
      <c r="D106" s="17"/>
      <c r="E106" s="17"/>
      <c r="F106" s="5"/>
      <c r="H106" s="11"/>
      <c r="I106" s="5"/>
      <c r="K106" s="17"/>
    </row>
    <row r="107" spans="1:11">
      <c r="A107" s="5"/>
      <c r="C107" s="17"/>
      <c r="D107" s="17"/>
      <c r="E107" s="17"/>
      <c r="F107" s="5"/>
      <c r="H107" s="11"/>
      <c r="I107" s="5"/>
      <c r="K107" s="17"/>
    </row>
    <row r="108" spans="1:11">
      <c r="A108" s="5"/>
      <c r="C108" s="17"/>
      <c r="D108" s="17"/>
      <c r="E108" s="17"/>
      <c r="F108" s="5"/>
      <c r="H108" s="11"/>
      <c r="I108" s="5"/>
      <c r="K108" s="17"/>
    </row>
    <row r="109" spans="1:11">
      <c r="A109" s="5"/>
      <c r="C109" s="17"/>
      <c r="D109" s="17"/>
      <c r="E109" s="17"/>
      <c r="F109" s="5"/>
      <c r="H109" s="11"/>
      <c r="I109" s="5"/>
      <c r="K109" s="17"/>
    </row>
    <row r="110" spans="1:11">
      <c r="A110" s="5"/>
      <c r="C110" s="17"/>
      <c r="D110" s="17"/>
      <c r="E110" s="17"/>
      <c r="F110" s="5"/>
      <c r="H110" s="11"/>
      <c r="I110" s="5"/>
      <c r="K110" s="17"/>
    </row>
    <row r="111" ht="15" spans="1:11">
      <c r="A111" s="39"/>
      <c r="B111" s="40"/>
      <c r="C111" s="41"/>
      <c r="D111" s="41"/>
      <c r="E111" s="41"/>
      <c r="F111" s="39"/>
      <c r="H111" s="11"/>
      <c r="I111" s="5"/>
      <c r="K111" s="17"/>
    </row>
    <row r="112" ht="15" spans="1:11">
      <c r="A112" s="21"/>
      <c r="B112" s="22"/>
      <c r="C112" s="23"/>
      <c r="D112" s="23"/>
      <c r="E112" s="23"/>
      <c r="F112" s="21"/>
      <c r="G112" s="22"/>
      <c r="H112" s="11"/>
      <c r="I112" s="5"/>
      <c r="K112" s="17"/>
    </row>
    <row r="113" ht="15" spans="1:11">
      <c r="A113" s="42"/>
      <c r="B113" s="43"/>
      <c r="C113" s="44"/>
      <c r="D113" s="44"/>
      <c r="E113" s="44"/>
      <c r="F113" s="42"/>
      <c r="G113" s="43"/>
      <c r="H113" s="11"/>
      <c r="I113" s="5"/>
      <c r="K113" s="17"/>
    </row>
    <row r="114" spans="1:11">
      <c r="A114" s="5"/>
      <c r="C114" s="17"/>
      <c r="D114" s="17"/>
      <c r="E114" s="17"/>
      <c r="F114" s="5"/>
      <c r="H114" s="11"/>
      <c r="I114" s="5"/>
      <c r="K114" s="17"/>
    </row>
    <row r="115" spans="1:11">
      <c r="A115" s="5"/>
      <c r="C115" s="17"/>
      <c r="D115" s="17"/>
      <c r="E115" s="17"/>
      <c r="F115" s="5"/>
      <c r="H115" s="11"/>
      <c r="I115" s="5"/>
      <c r="K115" s="17"/>
    </row>
    <row r="116" spans="1:11">
      <c r="A116" s="5"/>
      <c r="C116" s="17"/>
      <c r="D116" s="17"/>
      <c r="E116" s="17"/>
      <c r="F116" s="5"/>
      <c r="H116" s="11"/>
      <c r="I116" s="5"/>
      <c r="K116" s="17"/>
    </row>
    <row r="117" spans="1:11">
      <c r="A117" s="5"/>
      <c r="C117" s="17"/>
      <c r="D117" s="17"/>
      <c r="E117" s="17"/>
      <c r="F117" s="5"/>
      <c r="H117" s="11"/>
      <c r="I117" s="5"/>
      <c r="K117" s="17"/>
    </row>
    <row r="118" spans="1:11">
      <c r="A118" s="5"/>
      <c r="C118" s="17"/>
      <c r="D118" s="17"/>
      <c r="E118" s="17"/>
      <c r="F118" s="5"/>
      <c r="H118" s="11"/>
      <c r="I118" s="5"/>
      <c r="K118" s="17"/>
    </row>
    <row r="119" spans="1:11">
      <c r="A119" s="5"/>
      <c r="C119" s="17"/>
      <c r="D119" s="17"/>
      <c r="E119" s="17"/>
      <c r="F119" s="5"/>
      <c r="H119" s="11"/>
      <c r="I119" s="5"/>
      <c r="K119" s="17"/>
    </row>
    <row r="120" spans="1:11">
      <c r="A120" s="5"/>
      <c r="C120" s="17"/>
      <c r="D120" s="17"/>
      <c r="E120" s="17"/>
      <c r="F120" s="5"/>
      <c r="H120" s="11"/>
      <c r="I120" s="5"/>
      <c r="K120" s="17"/>
    </row>
    <row r="121" spans="1:11">
      <c r="A121" s="5"/>
      <c r="C121" s="17"/>
      <c r="D121" s="17"/>
      <c r="E121" s="17"/>
      <c r="F121" s="5"/>
      <c r="H121" s="11"/>
      <c r="I121" s="5"/>
      <c r="K121" s="17"/>
    </row>
    <row r="122" spans="1:11">
      <c r="A122" s="5"/>
      <c r="C122" s="17"/>
      <c r="D122" s="17"/>
      <c r="E122" s="17"/>
      <c r="F122" s="5"/>
      <c r="H122" s="11"/>
      <c r="I122" s="5"/>
      <c r="K122" s="17"/>
    </row>
    <row r="123" spans="1:11">
      <c r="A123" s="5"/>
      <c r="C123" s="17"/>
      <c r="D123" s="17"/>
      <c r="E123" s="17"/>
      <c r="F123" s="5"/>
      <c r="H123" s="11"/>
      <c r="I123" s="5"/>
      <c r="K123" s="17"/>
    </row>
    <row r="124" spans="1:11">
      <c r="A124" s="5"/>
      <c r="C124" s="17"/>
      <c r="D124" s="17"/>
      <c r="E124" s="17"/>
      <c r="F124" s="5"/>
      <c r="H124" s="11"/>
      <c r="I124" s="5"/>
      <c r="K124" s="17"/>
    </row>
    <row r="125" spans="1:11">
      <c r="A125" s="5"/>
      <c r="C125" s="17"/>
      <c r="D125" s="17"/>
      <c r="E125" s="17"/>
      <c r="F125" s="5"/>
      <c r="H125" s="11"/>
      <c r="I125" s="5"/>
      <c r="K125" s="17"/>
    </row>
    <row r="126" spans="1:11">
      <c r="A126" s="5"/>
      <c r="C126" s="17"/>
      <c r="D126" s="17"/>
      <c r="E126" s="17"/>
      <c r="F126" s="5"/>
      <c r="H126" s="11"/>
      <c r="I126" s="5"/>
      <c r="K126" s="17"/>
    </row>
    <row r="127" spans="1:11">
      <c r="A127" s="5"/>
      <c r="C127" s="17"/>
      <c r="D127" s="17"/>
      <c r="E127" s="17"/>
      <c r="F127" s="5"/>
      <c r="H127" s="11"/>
      <c r="I127" s="5"/>
      <c r="K127" s="17"/>
    </row>
    <row r="128" spans="1:11">
      <c r="A128" s="5"/>
      <c r="C128" s="17"/>
      <c r="D128" s="17"/>
      <c r="E128" s="17"/>
      <c r="F128" s="5"/>
      <c r="H128" s="11"/>
      <c r="I128" s="5"/>
      <c r="K128" s="17"/>
    </row>
    <row r="129" spans="1:11">
      <c r="A129" s="5"/>
      <c r="C129" s="17"/>
      <c r="D129" s="17"/>
      <c r="E129" s="17"/>
      <c r="F129" s="5"/>
      <c r="H129" s="11"/>
      <c r="I129" s="5"/>
      <c r="K129" s="17"/>
    </row>
    <row r="130" spans="1:11">
      <c r="A130" s="5"/>
      <c r="C130" s="17"/>
      <c r="D130" s="17"/>
      <c r="E130" s="17"/>
      <c r="F130" s="5"/>
      <c r="H130" s="11"/>
      <c r="I130" s="5"/>
      <c r="K130" s="17"/>
    </row>
    <row r="131" spans="1:11">
      <c r="A131" s="5"/>
      <c r="C131" s="17"/>
      <c r="D131" s="17"/>
      <c r="E131" s="17"/>
      <c r="F131" s="5"/>
      <c r="H131" s="11"/>
      <c r="I131" s="5"/>
      <c r="K131" s="17"/>
    </row>
    <row r="132" spans="1:11">
      <c r="A132" s="5"/>
      <c r="C132" s="17"/>
      <c r="D132" s="17"/>
      <c r="E132" s="17"/>
      <c r="F132" s="5"/>
      <c r="H132" s="11"/>
      <c r="I132" s="5"/>
      <c r="K132" s="17"/>
    </row>
    <row r="133" spans="1:11">
      <c r="A133" s="5"/>
      <c r="C133" s="17"/>
      <c r="D133" s="17"/>
      <c r="E133" s="17"/>
      <c r="F133" s="5"/>
      <c r="H133" s="11"/>
      <c r="I133" s="5"/>
      <c r="K133" s="17"/>
    </row>
    <row r="134" spans="1:11">
      <c r="A134" s="5"/>
      <c r="C134" s="17"/>
      <c r="D134" s="17"/>
      <c r="E134" s="17"/>
      <c r="F134" s="5"/>
      <c r="H134" s="11"/>
      <c r="I134" s="5"/>
      <c r="K134" s="17"/>
    </row>
    <row r="135" spans="1:11">
      <c r="A135" s="5"/>
      <c r="C135" s="17"/>
      <c r="D135" s="17"/>
      <c r="E135" s="17"/>
      <c r="F135" s="5"/>
      <c r="H135" s="11"/>
      <c r="I135" s="5"/>
      <c r="K135" s="17"/>
    </row>
    <row r="136" spans="1:11">
      <c r="A136" s="5"/>
      <c r="C136" s="17"/>
      <c r="D136" s="17"/>
      <c r="E136" s="17"/>
      <c r="F136" s="5"/>
      <c r="H136" s="11"/>
      <c r="I136" s="5"/>
      <c r="K136" s="17"/>
    </row>
    <row r="137" spans="1:11">
      <c r="A137" s="5"/>
      <c r="C137" s="17"/>
      <c r="D137" s="17"/>
      <c r="E137" s="17"/>
      <c r="F137" s="5"/>
      <c r="H137" s="11"/>
      <c r="I137" s="5"/>
      <c r="K137" s="17"/>
    </row>
    <row r="138" spans="1:11">
      <c r="A138" s="5"/>
      <c r="C138" s="17"/>
      <c r="D138" s="17"/>
      <c r="E138" s="17"/>
      <c r="F138" s="5"/>
      <c r="H138" s="11"/>
      <c r="I138" s="5"/>
      <c r="K138" s="17"/>
    </row>
    <row r="139" spans="1:11">
      <c r="A139" s="5"/>
      <c r="C139" s="17"/>
      <c r="D139" s="17"/>
      <c r="E139" s="17"/>
      <c r="F139" s="5"/>
      <c r="H139" s="11"/>
      <c r="I139" s="5"/>
      <c r="K139" s="17"/>
    </row>
    <row r="140" spans="1:11">
      <c r="A140" s="5"/>
      <c r="C140" s="17"/>
      <c r="D140" s="17"/>
      <c r="E140" s="17"/>
      <c r="F140" s="5"/>
      <c r="H140" s="11"/>
      <c r="I140" s="5"/>
      <c r="K140" s="17"/>
    </row>
    <row r="141" spans="1:11">
      <c r="A141" s="5"/>
      <c r="C141" s="17"/>
      <c r="D141" s="17"/>
      <c r="E141" s="17"/>
      <c r="F141" s="5"/>
      <c r="H141" s="11"/>
      <c r="I141" s="5"/>
      <c r="K141" s="17"/>
    </row>
    <row r="142" spans="1:11">
      <c r="A142" s="5"/>
      <c r="C142" s="17"/>
      <c r="D142" s="17"/>
      <c r="E142" s="17"/>
      <c r="F142" s="5"/>
      <c r="H142" s="11"/>
      <c r="I142" s="5"/>
      <c r="K142" s="17"/>
    </row>
    <row r="143" spans="1:11">
      <c r="A143" s="5"/>
      <c r="C143" s="17"/>
      <c r="D143" s="17"/>
      <c r="E143" s="17"/>
      <c r="F143" s="5"/>
      <c r="H143" s="11"/>
      <c r="I143" s="5"/>
      <c r="K143" s="17"/>
    </row>
    <row r="144" spans="1:11">
      <c r="A144" s="5"/>
      <c r="C144" s="17"/>
      <c r="D144" s="17"/>
      <c r="E144" s="17"/>
      <c r="F144" s="5"/>
      <c r="H144" s="11"/>
      <c r="I144" s="5"/>
      <c r="K144" s="17"/>
    </row>
    <row r="145" spans="1:11">
      <c r="A145" s="5"/>
      <c r="C145" s="17"/>
      <c r="D145" s="17"/>
      <c r="E145" s="17"/>
      <c r="F145" s="5"/>
      <c r="H145" s="11"/>
      <c r="I145" s="5"/>
      <c r="K145" s="17"/>
    </row>
    <row r="146" spans="1:11">
      <c r="A146" s="5"/>
      <c r="C146" s="17"/>
      <c r="D146" s="17"/>
      <c r="E146" s="17"/>
      <c r="F146" s="5"/>
      <c r="H146" s="11"/>
      <c r="I146" s="5"/>
      <c r="K146" s="17"/>
    </row>
    <row r="147" spans="1:11">
      <c r="A147" s="5"/>
      <c r="C147" s="17"/>
      <c r="D147" s="17"/>
      <c r="E147" s="17"/>
      <c r="F147" s="5"/>
      <c r="H147" s="11"/>
      <c r="I147" s="5"/>
      <c r="K147" s="17"/>
    </row>
    <row r="148" spans="1:11">
      <c r="A148" s="5"/>
      <c r="C148" s="17"/>
      <c r="D148" s="17"/>
      <c r="E148" s="17"/>
      <c r="F148" s="5"/>
      <c r="H148" s="11"/>
      <c r="I148" s="5"/>
      <c r="K148" s="17"/>
    </row>
    <row r="149" spans="1:11">
      <c r="A149" s="5"/>
      <c r="C149" s="17"/>
      <c r="D149" s="17"/>
      <c r="E149" s="17"/>
      <c r="F149" s="5"/>
      <c r="H149" s="11"/>
      <c r="I149" s="5"/>
      <c r="K149" s="17"/>
    </row>
    <row r="150" spans="1:11">
      <c r="A150" s="5"/>
      <c r="C150" s="17"/>
      <c r="D150" s="17"/>
      <c r="E150" s="17"/>
      <c r="F150" s="5"/>
      <c r="H150" s="11"/>
      <c r="I150" s="5"/>
      <c r="K150" s="17"/>
    </row>
    <row r="151" spans="1:11">
      <c r="A151" s="5"/>
      <c r="C151" s="17"/>
      <c r="D151" s="17"/>
      <c r="E151" s="17"/>
      <c r="F151" s="5"/>
      <c r="H151" s="11"/>
      <c r="I151" s="5"/>
      <c r="K151" s="17"/>
    </row>
    <row r="152" spans="1:11">
      <c r="A152" s="5"/>
      <c r="C152" s="17"/>
      <c r="D152" s="17"/>
      <c r="E152" s="17"/>
      <c r="F152" s="5"/>
      <c r="H152" s="11"/>
      <c r="I152" s="5"/>
      <c r="K152" s="17"/>
    </row>
    <row r="153" spans="1:11">
      <c r="A153" s="5"/>
      <c r="C153" s="17"/>
      <c r="D153" s="17"/>
      <c r="E153" s="17"/>
      <c r="F153" s="5"/>
      <c r="H153" s="11"/>
      <c r="I153" s="5"/>
      <c r="K153" s="17"/>
    </row>
    <row r="154" spans="1:11">
      <c r="A154" s="5"/>
      <c r="C154" s="17"/>
      <c r="D154" s="17"/>
      <c r="E154" s="17"/>
      <c r="F154" s="5"/>
      <c r="H154" s="11"/>
      <c r="I154" s="5"/>
      <c r="K154" s="17"/>
    </row>
    <row r="155" spans="1:11">
      <c r="A155" s="5"/>
      <c r="C155" s="17"/>
      <c r="D155" s="17"/>
      <c r="E155" s="17"/>
      <c r="F155" s="5"/>
      <c r="H155" s="11"/>
      <c r="I155" s="5"/>
      <c r="K155" s="17"/>
    </row>
    <row r="156" spans="1:11">
      <c r="A156" s="5"/>
      <c r="C156" s="17"/>
      <c r="D156" s="17"/>
      <c r="E156" s="17"/>
      <c r="F156" s="5"/>
      <c r="H156" s="11"/>
      <c r="I156" s="5"/>
      <c r="K156" s="17"/>
    </row>
    <row r="157" spans="1:11">
      <c r="A157" s="5"/>
      <c r="C157" s="17"/>
      <c r="D157" s="17"/>
      <c r="E157" s="17"/>
      <c r="F157" s="5"/>
      <c r="H157" s="11"/>
      <c r="I157" s="5"/>
      <c r="K157" s="17"/>
    </row>
    <row r="158" spans="1:11">
      <c r="A158" s="5"/>
      <c r="C158" s="17"/>
      <c r="D158" s="17"/>
      <c r="E158" s="17"/>
      <c r="F158" s="5"/>
      <c r="H158" s="11"/>
      <c r="I158" s="5"/>
      <c r="K158" s="17"/>
    </row>
    <row r="159" spans="1:11">
      <c r="A159" s="5"/>
      <c r="C159" s="17"/>
      <c r="D159" s="17"/>
      <c r="E159" s="17"/>
      <c r="F159" s="5"/>
      <c r="H159" s="11"/>
      <c r="I159" s="5"/>
      <c r="K159" s="17"/>
    </row>
    <row r="160" spans="1:11">
      <c r="A160" s="5"/>
      <c r="C160" s="17"/>
      <c r="D160" s="17"/>
      <c r="E160" s="17"/>
      <c r="F160" s="5"/>
      <c r="H160" s="11"/>
      <c r="I160" s="5"/>
      <c r="K160" s="17"/>
    </row>
    <row r="161" spans="1:11">
      <c r="A161" s="5"/>
      <c r="C161" s="17"/>
      <c r="D161" s="17"/>
      <c r="E161" s="17"/>
      <c r="F161" s="5"/>
      <c r="H161" s="11"/>
      <c r="I161" s="5"/>
      <c r="K161" s="17"/>
    </row>
    <row r="162" spans="1:11">
      <c r="A162" s="5"/>
      <c r="C162" s="17"/>
      <c r="D162" s="17"/>
      <c r="E162" s="17"/>
      <c r="F162" s="5"/>
      <c r="H162" s="11"/>
      <c r="I162" s="5"/>
      <c r="K162" s="17"/>
    </row>
    <row r="163" spans="1:11">
      <c r="A163" s="5"/>
      <c r="C163" s="17"/>
      <c r="D163" s="17"/>
      <c r="E163" s="17"/>
      <c r="F163" s="5"/>
      <c r="H163" s="11"/>
      <c r="I163" s="5"/>
      <c r="K163" s="17"/>
    </row>
    <row r="164" spans="1:11">
      <c r="A164" s="5"/>
      <c r="C164" s="17"/>
      <c r="D164" s="17"/>
      <c r="E164" s="17"/>
      <c r="F164" s="5"/>
      <c r="H164" s="11"/>
      <c r="I164" s="5"/>
      <c r="K164" s="17"/>
    </row>
    <row r="165" spans="1:11">
      <c r="A165" s="5"/>
      <c r="C165" s="17"/>
      <c r="D165" s="17"/>
      <c r="E165" s="17"/>
      <c r="F165" s="5"/>
      <c r="H165" s="11"/>
      <c r="I165" s="5"/>
      <c r="K165" s="17"/>
    </row>
    <row r="166" spans="1:11">
      <c r="A166" s="5"/>
      <c r="C166" s="17"/>
      <c r="D166" s="17"/>
      <c r="E166" s="17"/>
      <c r="F166" s="5"/>
      <c r="H166" s="11"/>
      <c r="I166" s="5"/>
      <c r="K166" s="17"/>
    </row>
    <row r="167" spans="1:11">
      <c r="A167" s="5"/>
      <c r="C167" s="17"/>
      <c r="D167" s="17"/>
      <c r="E167" s="17"/>
      <c r="F167" s="5"/>
      <c r="H167" s="11"/>
      <c r="I167" s="5"/>
      <c r="K167" s="17"/>
    </row>
    <row r="168" spans="1:11">
      <c r="A168" s="5"/>
      <c r="C168" s="17"/>
      <c r="D168" s="17"/>
      <c r="E168" s="17"/>
      <c r="F168" s="5"/>
      <c r="H168" s="11"/>
      <c r="I168" s="5"/>
      <c r="K168" s="17"/>
    </row>
    <row r="169" spans="1:11">
      <c r="A169" s="5"/>
      <c r="C169" s="17"/>
      <c r="D169" s="17"/>
      <c r="E169" s="17"/>
      <c r="F169" s="5"/>
      <c r="H169" s="11"/>
      <c r="I169" s="5"/>
      <c r="K169" s="17"/>
    </row>
    <row r="170" spans="1:11">
      <c r="A170" s="5"/>
      <c r="C170" s="17"/>
      <c r="D170" s="17"/>
      <c r="E170" s="17"/>
      <c r="F170" s="5"/>
      <c r="H170" s="11"/>
      <c r="I170" s="5"/>
      <c r="K170" s="17"/>
    </row>
    <row r="171" spans="1:11">
      <c r="A171" s="5"/>
      <c r="C171" s="17"/>
      <c r="D171" s="17"/>
      <c r="E171" s="17"/>
      <c r="F171" s="5"/>
      <c r="H171" s="11"/>
      <c r="I171" s="5"/>
      <c r="K171" s="17"/>
    </row>
    <row r="172" spans="1:11">
      <c r="A172" s="5"/>
      <c r="C172" s="17"/>
      <c r="D172" s="17"/>
      <c r="E172" s="17"/>
      <c r="F172" s="5"/>
      <c r="H172" s="11"/>
      <c r="I172" s="5"/>
      <c r="K172" s="17"/>
    </row>
    <row r="173" spans="1:11">
      <c r="A173" s="5"/>
      <c r="C173" s="17"/>
      <c r="D173" s="17"/>
      <c r="E173" s="17"/>
      <c r="F173" s="5"/>
      <c r="H173" s="11"/>
      <c r="I173" s="5"/>
      <c r="K173" s="17"/>
    </row>
    <row r="174" spans="1:11">
      <c r="A174" s="5"/>
      <c r="C174" s="17"/>
      <c r="D174" s="17"/>
      <c r="E174" s="17"/>
      <c r="F174" s="5"/>
      <c r="H174" s="11"/>
      <c r="I174" s="5"/>
      <c r="K174" s="17"/>
    </row>
    <row r="175" spans="1:11">
      <c r="A175" s="5"/>
      <c r="C175" s="17"/>
      <c r="D175" s="17"/>
      <c r="E175" s="17"/>
      <c r="F175" s="5"/>
      <c r="H175" s="11"/>
      <c r="I175" s="5"/>
      <c r="K175" s="17"/>
    </row>
    <row r="176" spans="1:11">
      <c r="A176" s="5"/>
      <c r="C176" s="17"/>
      <c r="D176" s="17"/>
      <c r="E176" s="17"/>
      <c r="F176" s="5"/>
      <c r="H176" s="11"/>
      <c r="I176" s="5"/>
      <c r="K176" s="17"/>
    </row>
    <row r="177" spans="1:11">
      <c r="A177" s="5"/>
      <c r="C177" s="17"/>
      <c r="D177" s="17"/>
      <c r="E177" s="17"/>
      <c r="F177" s="5"/>
      <c r="H177" s="11"/>
      <c r="I177" s="5"/>
      <c r="K177" s="17"/>
    </row>
    <row r="178" spans="1:11">
      <c r="A178" s="5"/>
      <c r="C178" s="17"/>
      <c r="D178" s="17"/>
      <c r="E178" s="17"/>
      <c r="F178" s="5"/>
      <c r="H178" s="11"/>
      <c r="I178" s="5"/>
      <c r="K178" s="17"/>
    </row>
    <row r="179" spans="1:11">
      <c r="A179" s="5"/>
      <c r="C179" s="17"/>
      <c r="D179" s="17"/>
      <c r="E179" s="17"/>
      <c r="F179" s="5"/>
      <c r="H179" s="11"/>
      <c r="I179" s="5"/>
      <c r="K179" s="17"/>
    </row>
    <row r="180" spans="1:11">
      <c r="A180" s="5"/>
      <c r="C180" s="17"/>
      <c r="D180" s="17"/>
      <c r="E180" s="17"/>
      <c r="F180" s="5"/>
      <c r="H180" s="11"/>
      <c r="I180" s="5"/>
      <c r="K180" s="17"/>
    </row>
    <row r="181" spans="1:11">
      <c r="A181" s="5"/>
      <c r="C181" s="17"/>
      <c r="D181" s="17"/>
      <c r="E181" s="17"/>
      <c r="F181" s="5"/>
      <c r="H181" s="11"/>
      <c r="I181" s="5"/>
      <c r="K181" s="17"/>
    </row>
    <row r="182" spans="1:11">
      <c r="A182" s="5"/>
      <c r="C182" s="17"/>
      <c r="D182" s="17"/>
      <c r="E182" s="17"/>
      <c r="F182" s="5"/>
      <c r="H182" s="11"/>
      <c r="I182" s="5"/>
      <c r="K182" s="17"/>
    </row>
    <row r="183" spans="1:11">
      <c r="A183" s="5"/>
      <c r="C183" s="17"/>
      <c r="D183" s="17"/>
      <c r="E183" s="17"/>
      <c r="F183" s="5"/>
      <c r="H183" s="11"/>
      <c r="I183" s="5"/>
      <c r="K183" s="17"/>
    </row>
    <row r="184" spans="1:11">
      <c r="A184" s="5"/>
      <c r="C184" s="17"/>
      <c r="D184" s="17"/>
      <c r="E184" s="17"/>
      <c r="F184" s="5"/>
      <c r="H184" s="11"/>
      <c r="I184" s="5"/>
      <c r="K184" s="17"/>
    </row>
    <row r="185" spans="1:11">
      <c r="A185" s="5"/>
      <c r="C185" s="17"/>
      <c r="D185" s="17"/>
      <c r="E185" s="17"/>
      <c r="F185" s="5"/>
      <c r="H185" s="11"/>
      <c r="I185" s="5"/>
      <c r="K185" s="17"/>
    </row>
    <row r="186" spans="1:11">
      <c r="A186" s="5"/>
      <c r="C186" s="17"/>
      <c r="D186" s="17"/>
      <c r="E186" s="17"/>
      <c r="F186" s="5"/>
      <c r="H186" s="11"/>
      <c r="I186" s="5"/>
      <c r="K186" s="17"/>
    </row>
    <row r="187" spans="1:11">
      <c r="A187" s="5"/>
      <c r="C187" s="17"/>
      <c r="D187" s="17"/>
      <c r="E187" s="17"/>
      <c r="F187" s="5"/>
      <c r="H187" s="11"/>
      <c r="I187" s="5"/>
      <c r="K187" s="17"/>
    </row>
    <row r="188" spans="1:11">
      <c r="A188" s="5"/>
      <c r="C188" s="17"/>
      <c r="D188" s="17"/>
      <c r="E188" s="17"/>
      <c r="F188" s="5"/>
      <c r="H188" s="11"/>
      <c r="I188" s="5"/>
      <c r="K188" s="17"/>
    </row>
    <row r="189" spans="1:11">
      <c r="A189" s="5"/>
      <c r="C189" s="17"/>
      <c r="D189" s="17"/>
      <c r="E189" s="17"/>
      <c r="F189" s="5"/>
      <c r="H189" s="11"/>
      <c r="I189" s="5"/>
      <c r="K189" s="17"/>
    </row>
    <row r="190" spans="1:11">
      <c r="A190" s="5"/>
      <c r="C190" s="17"/>
      <c r="D190" s="17"/>
      <c r="E190" s="17"/>
      <c r="F190" s="5"/>
      <c r="H190" s="11"/>
      <c r="I190" s="5"/>
      <c r="K190" s="17"/>
    </row>
    <row r="191" spans="1:11">
      <c r="A191" s="5"/>
      <c r="C191" s="17"/>
      <c r="D191" s="17"/>
      <c r="E191" s="17"/>
      <c r="F191" s="5"/>
      <c r="H191" s="11"/>
      <c r="I191" s="5"/>
      <c r="K191" s="17"/>
    </row>
    <row r="192" spans="1:11">
      <c r="A192" s="5"/>
      <c r="C192" s="17"/>
      <c r="D192" s="17"/>
      <c r="E192" s="17"/>
      <c r="F192" s="5"/>
      <c r="H192" s="11"/>
      <c r="I192" s="5"/>
      <c r="K192" s="17"/>
    </row>
    <row r="193" spans="1:11">
      <c r="A193" s="5"/>
      <c r="C193" s="17"/>
      <c r="D193" s="17"/>
      <c r="E193" s="17"/>
      <c r="F193" s="5"/>
      <c r="H193" s="11"/>
      <c r="I193" s="5"/>
      <c r="K193" s="17"/>
    </row>
    <row r="194" spans="1:11">
      <c r="A194" s="5"/>
      <c r="C194" s="17"/>
      <c r="D194" s="17"/>
      <c r="E194" s="17"/>
      <c r="F194" s="5"/>
      <c r="H194" s="11"/>
      <c r="I194" s="5"/>
      <c r="K194" s="17"/>
    </row>
    <row r="195" spans="1:11">
      <c r="A195" s="5"/>
      <c r="C195" s="17"/>
      <c r="D195" s="17"/>
      <c r="E195" s="17"/>
      <c r="F195" s="5"/>
      <c r="H195" s="11"/>
      <c r="I195" s="5"/>
      <c r="K195" s="17"/>
    </row>
    <row r="196" spans="1:11">
      <c r="A196" s="5"/>
      <c r="C196" s="17"/>
      <c r="D196" s="17"/>
      <c r="E196" s="17"/>
      <c r="F196" s="5"/>
      <c r="H196" s="11"/>
      <c r="I196" s="5"/>
      <c r="K196" s="17"/>
    </row>
    <row r="197" spans="1:11">
      <c r="A197" s="5"/>
      <c r="C197" s="17"/>
      <c r="D197" s="17"/>
      <c r="E197" s="17"/>
      <c r="F197" s="5"/>
      <c r="H197" s="11"/>
      <c r="I197" s="5"/>
      <c r="K197" s="17"/>
    </row>
    <row r="198" spans="1:11">
      <c r="A198" s="5"/>
      <c r="C198" s="17"/>
      <c r="D198" s="17"/>
      <c r="E198" s="17"/>
      <c r="F198" s="5"/>
      <c r="H198" s="11"/>
      <c r="I198" s="5"/>
      <c r="K198" s="17"/>
    </row>
    <row r="199" spans="1:11">
      <c r="A199" s="5"/>
      <c r="C199" s="17"/>
      <c r="D199" s="17"/>
      <c r="E199" s="17"/>
      <c r="F199" s="5"/>
      <c r="H199" s="11"/>
      <c r="I199" s="5"/>
      <c r="K199" s="17"/>
    </row>
    <row r="200" spans="1:11">
      <c r="A200" s="5"/>
      <c r="C200" s="17"/>
      <c r="D200" s="17"/>
      <c r="E200" s="17"/>
      <c r="F200" s="5"/>
      <c r="H200" s="11"/>
      <c r="I200" s="5"/>
      <c r="K200" s="17"/>
    </row>
    <row r="201" spans="1:11">
      <c r="A201" s="5"/>
      <c r="C201" s="17"/>
      <c r="D201" s="17"/>
      <c r="E201" s="17"/>
      <c r="F201" s="5"/>
      <c r="H201" s="11"/>
      <c r="I201" s="5"/>
      <c r="K201" s="17"/>
    </row>
    <row r="202" spans="1:11">
      <c r="A202" s="5"/>
      <c r="C202" s="17"/>
      <c r="D202" s="17"/>
      <c r="E202" s="17"/>
      <c r="F202" s="5"/>
      <c r="H202" s="11"/>
      <c r="I202" s="5"/>
      <c r="K202" s="17"/>
    </row>
    <row r="203" spans="1:11">
      <c r="A203" s="5"/>
      <c r="C203" s="17"/>
      <c r="D203" s="17"/>
      <c r="E203" s="17"/>
      <c r="F203" s="5"/>
      <c r="H203" s="11"/>
      <c r="I203" s="5"/>
      <c r="K203" s="17"/>
    </row>
    <row r="204" spans="1:11">
      <c r="A204" s="5"/>
      <c r="C204" s="17"/>
      <c r="D204" s="17"/>
      <c r="E204" s="17"/>
      <c r="F204" s="5"/>
      <c r="H204" s="11"/>
      <c r="I204" s="5"/>
      <c r="K204" s="17"/>
    </row>
    <row r="205" spans="1:11">
      <c r="A205" s="5"/>
      <c r="C205" s="17"/>
      <c r="D205" s="17"/>
      <c r="E205" s="17"/>
      <c r="F205" s="5"/>
      <c r="H205" s="11"/>
      <c r="I205" s="5"/>
      <c r="K205" s="17"/>
    </row>
    <row r="206" spans="1:11">
      <c r="A206" s="5"/>
      <c r="C206" s="17"/>
      <c r="D206" s="17"/>
      <c r="E206" s="17"/>
      <c r="F206" s="5"/>
      <c r="H206" s="11"/>
      <c r="I206" s="5"/>
      <c r="K206" s="17"/>
    </row>
    <row r="207" spans="1:11">
      <c r="A207" s="5"/>
      <c r="C207" s="17"/>
      <c r="D207" s="17"/>
      <c r="E207" s="17"/>
      <c r="F207" s="5"/>
      <c r="H207" s="11"/>
      <c r="I207" s="5"/>
      <c r="K207" s="17"/>
    </row>
    <row r="208" spans="1:11">
      <c r="A208" s="5"/>
      <c r="C208" s="17"/>
      <c r="D208" s="17"/>
      <c r="E208" s="17"/>
      <c r="F208" s="5"/>
    </row>
    <row r="209" spans="1:14">
      <c r="A209" s="5"/>
      <c r="C209" s="17"/>
      <c r="D209" s="17"/>
      <c r="E209" s="17"/>
      <c r="F209" s="5"/>
    </row>
    <row r="210" ht="24" customHeight="1" spans="1:14">
      <c r="A210" s="27" t="s">
        <v>711</v>
      </c>
      <c r="B210" s="28"/>
      <c r="C210" s="29"/>
      <c r="D210" s="29"/>
      <c r="E210" s="29"/>
      <c r="F210" s="27"/>
      <c r="G210" s="28"/>
      <c r="H210" s="28"/>
      <c r="I210" s="28"/>
      <c r="J210" s="28"/>
      <c r="K210" s="28"/>
      <c r="L210" s="28"/>
      <c r="M210" s="28"/>
      <c r="N210" s="28"/>
    </row>
    <row r="211" ht="28" customHeight="1" spans="1:14">
      <c r="A211" s="30" t="str">
        <f>"经核对，截至 "&amp;TEXT($H$2,"yyyy-mm-dd")&amp;"，本对账单显示期末应收余额为 "&amp;TEXT($K$3,"#,##0.00")&amp;" 元。若无异议，请签字/盖章确认。"</f>
        <v>经核对，截至 2026-06-30，本对账单显示期末应收余额为 7,000.00 元。若无异议，请签字/盖章确认。</v>
      </c>
      <c r="B211" s="31"/>
      <c r="C211" s="32"/>
      <c r="D211" s="32"/>
      <c r="E211" s="32"/>
      <c r="F211" s="30"/>
      <c r="G211" s="31"/>
      <c r="H211" s="31"/>
      <c r="I211" s="31"/>
      <c r="J211" s="31"/>
      <c r="K211" s="31"/>
      <c r="L211" s="31"/>
      <c r="M211" s="31"/>
      <c r="N211" s="31"/>
    </row>
    <row r="212" ht="28" customHeight="1" spans="1:14">
      <c r="A212" s="33" t="s">
        <v>712</v>
      </c>
      <c r="B212" s="34"/>
      <c r="C212" s="35"/>
      <c r="D212" s="35"/>
      <c r="E212" s="35"/>
      <c r="F212" s="33"/>
      <c r="G212" s="34"/>
      <c r="I212" s="34" t="s">
        <v>713</v>
      </c>
      <c r="J212" s="34"/>
      <c r="K212" s="34"/>
      <c r="L212" s="34"/>
      <c r="M212" s="34"/>
      <c r="N212" s="34"/>
    </row>
    <row r="213" ht="28" customHeight="1" spans="1:14">
      <c r="A213" s="33" t="s">
        <v>714</v>
      </c>
      <c r="B213" s="34"/>
      <c r="C213" s="35"/>
      <c r="D213" s="35"/>
      <c r="E213" s="35"/>
      <c r="F213" s="33"/>
      <c r="G213" s="34"/>
      <c r="I213" s="34" t="s">
        <v>715</v>
      </c>
      <c r="J213" s="34"/>
      <c r="K213" s="34"/>
      <c r="L213" s="34"/>
      <c r="M213" s="34"/>
      <c r="N213" s="34"/>
    </row>
    <row r="214" ht="24" customHeight="1" spans="1:14">
      <c r="A214" s="36" t="s">
        <v>716</v>
      </c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</row>
  </sheetData>
  <mergeCells count="14">
    <mergeCell ref="A1:N1"/>
    <mergeCell ref="K4:N4"/>
    <mergeCell ref="A5:N5"/>
    <mergeCell ref="A6:F6"/>
    <mergeCell ref="A6:G6"/>
    <mergeCell ref="I6:N6"/>
    <mergeCell ref="A112:G112"/>
    <mergeCell ref="A210:N210"/>
    <mergeCell ref="A211:N211"/>
    <mergeCell ref="A212:G212"/>
    <mergeCell ref="I212:N212"/>
    <mergeCell ref="A213:G213"/>
    <mergeCell ref="I213:N213"/>
    <mergeCell ref="A214:N214"/>
  </mergeCells>
  <dataValidations count="2">
    <dataValidation type="list" sqref="B2">
      <formula1>基础资料!$Y$5:$Y$204</formula1>
    </dataValidation>
    <dataValidation type="list" sqref="K2">
      <formula1>"待确认,已确认,有差异"</formula1>
    </dataValidation>
  </dataValidation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4"/>
  <sheetViews>
    <sheetView workbookViewId="0">
      <selection activeCell="A1" sqref="A1:N1"/>
    </sheetView>
  </sheetViews>
  <sheetFormatPr defaultColWidth="9" defaultRowHeight="14.25"/>
  <cols>
    <col min="1" max="1" width="12" customWidth="1"/>
    <col min="2" max="2" width="18" customWidth="1"/>
    <col min="3" max="3" width="10" customWidth="1"/>
    <col min="4" max="4" width="12" customWidth="1"/>
    <col min="5" max="5" width="14" customWidth="1"/>
    <col min="6" max="6" width="12" customWidth="1"/>
    <col min="7" max="7" width="22" customWidth="1"/>
    <col min="8" max="8" width="10.75" customWidth="1"/>
    <col min="9" max="9" width="12" customWidth="1"/>
    <col min="10" max="10" width="15" customWidth="1"/>
    <col min="11" max="11" width="14" customWidth="1"/>
    <col min="12" max="12" width="26" customWidth="1"/>
    <col min="13" max="14" width="12" customWidth="1"/>
  </cols>
  <sheetData>
    <row r="1" ht="30" customHeight="1" spans="1:14">
      <c r="A1" s="1" t="s">
        <v>717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172</v>
      </c>
      <c r="B2" s="3" t="str">
        <f>基础资料!$AE$5</f>
        <v>供应商A</v>
      </c>
      <c r="D2" s="2" t="s">
        <v>693</v>
      </c>
      <c r="E2" s="4">
        <f>EOMONTH(首页!$B$4,-1)+1</f>
        <v>46174</v>
      </c>
      <c r="F2" s="5"/>
      <c r="G2" s="6" t="s">
        <v>694</v>
      </c>
      <c r="H2" s="4">
        <f>EOMONTH(首页!$B$4,0)</f>
        <v>46203</v>
      </c>
      <c r="J2" s="2" t="s">
        <v>695</v>
      </c>
      <c r="K2" s="3" t="s">
        <v>696</v>
      </c>
    </row>
    <row r="3" ht="15.75" spans="1:14">
      <c r="A3" s="2" t="s">
        <v>397</v>
      </c>
      <c r="B3" s="7">
        <f>SUMIFS(期初数据!$M$5:$M$14,期初数据!$K$5:$K$14,$B$2,期初数据!$L$5:$L$14,"&lt;"&amp;$E$2)+SUMIFS(采购录入!$I$4:$I$203,采购录入!$C$4:$C$203,$B$2,采购录入!$A$4:$A$203,"&lt;"&amp;$E$2)-SUMIFS(资金流水!$K$4:$K$203,资金流水!$F$4:$F$203,$B$2,资金流水!$D$4:$D$203,"供应商付款",资金流水!$A$4:$A$203,"&lt;"&amp;$E$2)</f>
        <v>25000</v>
      </c>
      <c r="D3" s="2" t="s">
        <v>718</v>
      </c>
      <c r="E3" s="7">
        <f>SUMIFS(采购录入!$I$4:$I$203,采购录入!$C$4:$C$203,$B$2,采购录入!$A$4:$A$203,"&gt;="&amp;$E$2,采购录入!$A$4:$A$203,"&lt;="&amp;$H$2)</f>
        <v>3000</v>
      </c>
      <c r="G3" s="2" t="s">
        <v>719</v>
      </c>
      <c r="H3" s="7">
        <f>SUMIFS(资金流水!$K$4:$K$203,资金流水!$F$4:$F$203,$B$2,资金流水!$D$4:$D$203,"供应商付款",资金流水!$A$4:$A$203,"&gt;="&amp;$E$2,资金流水!$A$4:$A$203,"&lt;="&amp;$H$2)</f>
        <v>10000</v>
      </c>
      <c r="J3" s="2" t="s">
        <v>611</v>
      </c>
      <c r="K3" s="7">
        <f>B3+E3-H3</f>
        <v>18000</v>
      </c>
    </row>
    <row r="4" ht="15" spans="1:14">
      <c r="A4" s="2" t="s">
        <v>47</v>
      </c>
      <c r="B4" t="str">
        <f>IFERROR(VLOOKUP($B$2,基础资料!$AE$5:$AF$204,2,FALSE),"")</f>
        <v>王强</v>
      </c>
      <c r="D4" s="2" t="s">
        <v>699</v>
      </c>
      <c r="E4" t="str">
        <f>TEXT(E2,"yyyy-mm-dd")&amp;" 至 "&amp;TEXT(H2,"yyyy-mm-dd")</f>
        <v>2026-06-01 至 2026-06-30</v>
      </c>
      <c r="J4" s="2" t="s">
        <v>700</v>
      </c>
      <c r="K4" s="8" t="s">
        <v>701</v>
      </c>
      <c r="L4" s="8"/>
      <c r="M4" s="8"/>
      <c r="N4" s="8"/>
    </row>
    <row r="5" ht="30" customHeight="1" spans="1:14">
      <c r="A5" s="9" t="s">
        <v>702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24" customHeight="1" spans="1:14">
      <c r="A6" s="10" t="s">
        <v>720</v>
      </c>
      <c r="B6" s="10"/>
      <c r="C6" s="10"/>
      <c r="D6" s="10"/>
      <c r="E6" s="10"/>
      <c r="F6" s="10"/>
      <c r="G6" s="10"/>
      <c r="H6" s="11"/>
      <c r="I6" s="12" t="s">
        <v>721</v>
      </c>
      <c r="J6" s="12"/>
      <c r="K6" s="12"/>
      <c r="L6" s="12"/>
      <c r="M6" s="12"/>
      <c r="N6" s="12"/>
    </row>
    <row r="7" spans="1:14">
      <c r="A7" s="13" t="s">
        <v>722</v>
      </c>
      <c r="B7" s="14" t="s">
        <v>398</v>
      </c>
      <c r="C7" s="14" t="s">
        <v>431</v>
      </c>
      <c r="D7" s="15" t="s">
        <v>723</v>
      </c>
      <c r="E7" s="15" t="s">
        <v>442</v>
      </c>
      <c r="F7" s="13" t="s">
        <v>436</v>
      </c>
      <c r="G7" s="14" t="s">
        <v>31</v>
      </c>
      <c r="H7" s="11"/>
      <c r="I7" s="16" t="s">
        <v>724</v>
      </c>
      <c r="J7" s="16" t="s">
        <v>725</v>
      </c>
      <c r="K7" s="16" t="s">
        <v>726</v>
      </c>
      <c r="L7" s="16" t="s">
        <v>412</v>
      </c>
      <c r="M7" s="16" t="s">
        <v>710</v>
      </c>
      <c r="N7" s="16" t="s">
        <v>19</v>
      </c>
    </row>
    <row r="8" spans="1:14">
      <c r="A8" s="5">
        <f>IFERROR(_xlfn._xlws.FILTER(采购录入!$A$4:$A$203,(采购录入!$C$4:$C$203=$B$2)*(采购录入!$A$4:$A$203&gt;=$E$2)*(采购录入!$A$4:$A$203&lt;=$H$2)),"")</f>
        <v>46174</v>
      </c>
      <c r="B8" t="str">
        <f>IFERROR(_xlfn._xlws.FILTER(采购录入!$D$4:$D$203,(采购录入!$C$4:$C$203=$B$2)*(采购录入!$A$4:$A$203&gt;=$E$2)*(采购录入!$A$4:$A$203&lt;=$H$2)),"")</f>
        <v>A配件</v>
      </c>
      <c r="C8" s="17">
        <f>IFERROR(_xlfn._xlws.FILTER(采购录入!$G$4:$G$203,(采购录入!$C$4:$C$203=$B$2)*(采购录入!$A$4:$A$203&gt;=$E$2)*(采购录入!$A$4:$A$203&lt;=$H$2)),"")</f>
        <v>30</v>
      </c>
      <c r="D8" s="17">
        <f>IFERROR(_xlfn._xlws.FILTER(采购录入!$H$4:$H$203,(采购录入!$C$4:$C$203=$B$2)*(采购录入!$A$4:$A$203&gt;=$E$2)*(采购录入!$A$4:$A$203&lt;=$H$2)),"")</f>
        <v>100</v>
      </c>
      <c r="E8" s="17">
        <f>IFERROR(_xlfn._xlws.FILTER(采购录入!$I$4:$I$203,(采购录入!$C$4:$C$203=$B$2)*(采购录入!$A$4:$A$203&gt;=$E$2)*(采购录入!$A$4:$A$203&lt;=$H$2)),"")</f>
        <v>3000</v>
      </c>
      <c r="F8" s="5">
        <f>IFERROR(_xlfn._xlws.FILTER(采购录入!$J$4:$J$203,(采购录入!$C$4:$C$203=$B$2)*(采购录入!$A$4:$A$203&gt;=$E$2)*(采购录入!$A$4:$A$203&lt;=$H$2)),"")</f>
        <v>46204</v>
      </c>
      <c r="G8" t="str">
        <f>IFERROR(_xlfn._xlws.FILTER(采购录入!$M$4:$M$203,(采购录入!$C$4:$C$203=$B$2)*(采购录入!$A$4:$A$203&gt;=$E$2)*(采购录入!$A$4:$A$203&lt;=$H$2)),"")</f>
        <v>演示采购</v>
      </c>
      <c r="H8" s="11"/>
      <c r="I8" s="5">
        <f>IFERROR(_xlfn._xlws.FILTER(资金流水!$A$4:$A$203,(资金流水!$F$4:$F$203=$B$2)*(资金流水!$D$4:$D$203="供应商付款")*(资金流水!$A$4:$A$203&gt;=$E$2)*(资金流水!$A$4:$A$203&lt;=$H$2)),"")</f>
        <v>46176</v>
      </c>
      <c r="J8" t="str">
        <f>IFERROR(_xlfn._xlws.FILTER(资金流水!$E$4:$E$203,(资金流水!$F$4:$F$203=$B$2)*(资金流水!$D$4:$D$203="供应商付款")*(资金流水!$A$4:$A$203&gt;=$E$2)*(资金流水!$A$4:$A$203&lt;=$H$2)),"")</f>
        <v>工商银行</v>
      </c>
      <c r="K8" s="17">
        <f>IFERROR(_xlfn._xlws.FILTER(资金流水!$K$4:$K$203,(资金流水!$F$4:$F$203=$B$2)*(资金流水!$D$4:$D$203="供应商付款")*(资金流水!$A$4:$A$203&gt;=$E$2)*(资金流水!$A$4:$A$203&lt;=$H$2)),"")</f>
        <v>10000</v>
      </c>
      <c r="L8" t="str">
        <f>IFERROR(_xlfn._xlws.FILTER(资金流水!$I$4:$I$203,(资金流水!$F$4:$F$203=$B$2)*(资金流水!$D$4:$D$203="供应商付款")*(资金流水!$A$4:$A$203&gt;=$E$2)*(资金流水!$A$4:$A$203&lt;=$H$2)),"")</f>
        <v>支付供应商A货款</v>
      </c>
      <c r="M8" t="str">
        <f>IFERROR(_xlfn._xlws.FILTER(资金流水!$H$4:$H$203,(资金流水!$F$4:$F$203=$B$2)*(资金流水!$D$4:$D$203="供应商付款")*(资金流水!$A$4:$A$203&gt;=$E$2)*(资金流水!$A$4:$A$203&lt;=$H$2)),"")</f>
        <v>王强</v>
      </c>
      <c r="N8" t="str">
        <f>IFERROR(_xlfn._xlws.FILTER(资金流水!$G$4:$G$203,(资金流水!$F$4:$F$203=$B$2)*(资金流水!$D$4:$D$203="供应商付款")*(资金流水!$A$4:$A$203&gt;=$E$2)*(资金流水!$A$4:$A$203&lt;=$H$2)),"")</f>
        <v>采购部</v>
      </c>
    </row>
    <row r="9" spans="1:14">
      <c r="A9" s="5"/>
      <c r="C9" s="17"/>
      <c r="D9" s="17"/>
      <c r="E9" s="17"/>
      <c r="F9" s="5"/>
      <c r="H9" s="11"/>
      <c r="I9" s="5"/>
      <c r="K9" s="17"/>
    </row>
    <row r="10" spans="1:14">
      <c r="A10" s="5"/>
      <c r="C10" s="17"/>
      <c r="D10" s="17"/>
      <c r="E10" s="17"/>
      <c r="F10" s="5"/>
      <c r="H10" s="11"/>
      <c r="I10" s="5"/>
      <c r="K10" s="17"/>
    </row>
    <row r="11" spans="1:14">
      <c r="A11" s="5"/>
      <c r="C11" s="17"/>
      <c r="D11" s="17"/>
      <c r="E11" s="17"/>
      <c r="F11" s="5"/>
      <c r="H11" s="11"/>
      <c r="I11" s="5"/>
      <c r="K11" s="17"/>
    </row>
    <row r="12" spans="1:14">
      <c r="A12" s="5"/>
      <c r="C12" s="17"/>
      <c r="D12" s="17"/>
      <c r="E12" s="17"/>
      <c r="F12" s="5"/>
      <c r="H12" s="11"/>
      <c r="I12" s="5"/>
      <c r="K12" s="17"/>
    </row>
    <row r="13" spans="1:14">
      <c r="A13" s="5"/>
      <c r="C13" s="17"/>
      <c r="D13" s="17"/>
      <c r="E13" s="17"/>
      <c r="F13" s="5"/>
      <c r="H13" s="11"/>
      <c r="I13" s="5"/>
      <c r="K13" s="17"/>
    </row>
    <row r="14" spans="1:14">
      <c r="A14" s="5"/>
      <c r="C14" s="17"/>
      <c r="D14" s="17"/>
      <c r="E14" s="17"/>
      <c r="F14" s="5"/>
      <c r="H14" s="11"/>
      <c r="I14" s="5"/>
      <c r="K14" s="17"/>
    </row>
    <row r="15" spans="1:14">
      <c r="A15" s="5"/>
      <c r="C15" s="17"/>
      <c r="D15" s="17"/>
      <c r="E15" s="17"/>
      <c r="F15" s="5"/>
      <c r="H15" s="11"/>
      <c r="I15" s="5"/>
      <c r="K15" s="17"/>
    </row>
    <row r="16" spans="1:14">
      <c r="A16" s="5"/>
      <c r="C16" s="17"/>
      <c r="D16" s="17"/>
      <c r="E16" s="17"/>
      <c r="F16" s="5"/>
      <c r="H16" s="11"/>
      <c r="I16" s="5"/>
      <c r="K16" s="17"/>
    </row>
    <row r="17" spans="1:11">
      <c r="A17" s="5"/>
      <c r="C17" s="17"/>
      <c r="D17" s="17"/>
      <c r="E17" s="17"/>
      <c r="F17" s="5"/>
      <c r="H17" s="11"/>
      <c r="I17" s="5"/>
      <c r="K17" s="17"/>
    </row>
    <row r="18" spans="1:11">
      <c r="A18" s="5"/>
      <c r="C18" s="17"/>
      <c r="D18" s="17"/>
      <c r="E18" s="17"/>
      <c r="F18" s="5"/>
      <c r="H18" s="11"/>
      <c r="I18" s="5"/>
      <c r="K18" s="17"/>
    </row>
    <row r="19" spans="1:11">
      <c r="A19" s="5"/>
      <c r="C19" s="17"/>
      <c r="D19" s="17"/>
      <c r="E19" s="17"/>
      <c r="F19" s="5"/>
      <c r="H19" s="11"/>
      <c r="I19" s="5"/>
      <c r="K19" s="17"/>
    </row>
    <row r="20" spans="1:11">
      <c r="A20" s="5"/>
      <c r="C20" s="17"/>
      <c r="D20" s="17"/>
      <c r="E20" s="17"/>
      <c r="F20" s="5"/>
      <c r="H20" s="11"/>
      <c r="I20" s="5"/>
      <c r="K20" s="17"/>
    </row>
    <row r="21" spans="1:11">
      <c r="A21" s="5"/>
      <c r="C21" s="17"/>
      <c r="D21" s="17"/>
      <c r="E21" s="17"/>
      <c r="F21" s="5"/>
      <c r="H21" s="11"/>
      <c r="I21" s="5"/>
      <c r="K21" s="17"/>
    </row>
    <row r="22" spans="1:11">
      <c r="A22" s="5"/>
      <c r="C22" s="17"/>
      <c r="D22" s="17"/>
      <c r="E22" s="17"/>
      <c r="F22" s="5"/>
      <c r="H22" s="11"/>
      <c r="I22" s="5"/>
      <c r="K22" s="17"/>
    </row>
    <row r="23" spans="1:11">
      <c r="A23" s="5"/>
      <c r="C23" s="17"/>
      <c r="D23" s="17"/>
      <c r="E23" s="17"/>
      <c r="F23" s="5"/>
      <c r="H23" s="11"/>
      <c r="I23" s="5"/>
      <c r="K23" s="17"/>
    </row>
    <row r="24" spans="1:11">
      <c r="A24" s="5"/>
      <c r="C24" s="17"/>
      <c r="D24" s="17"/>
      <c r="E24" s="17"/>
      <c r="F24" s="5"/>
      <c r="H24" s="11"/>
      <c r="I24" s="5"/>
      <c r="K24" s="17"/>
    </row>
    <row r="25" spans="1:11">
      <c r="A25" s="5"/>
      <c r="C25" s="17"/>
      <c r="D25" s="17"/>
      <c r="E25" s="17"/>
      <c r="F25" s="5"/>
      <c r="H25" s="11"/>
      <c r="I25" s="5"/>
      <c r="K25" s="17"/>
    </row>
    <row r="26" spans="1:11">
      <c r="A26" s="5"/>
      <c r="C26" s="17"/>
      <c r="D26" s="17"/>
      <c r="E26" s="17"/>
      <c r="F26" s="5"/>
      <c r="H26" s="11"/>
      <c r="I26" s="5"/>
      <c r="K26" s="17"/>
    </row>
    <row r="27" spans="1:11">
      <c r="A27" s="5"/>
      <c r="C27" s="17"/>
      <c r="D27" s="17"/>
      <c r="E27" s="17"/>
      <c r="F27" s="5"/>
      <c r="H27" s="11"/>
      <c r="I27" s="5"/>
      <c r="K27" s="17"/>
    </row>
    <row r="28" spans="1:11">
      <c r="A28" s="5"/>
      <c r="C28" s="17"/>
      <c r="D28" s="17"/>
      <c r="E28" s="17"/>
      <c r="F28" s="5"/>
      <c r="H28" s="11"/>
      <c r="I28" s="5"/>
      <c r="K28" s="17"/>
    </row>
    <row r="29" spans="1:11">
      <c r="A29" s="5"/>
      <c r="C29" s="17"/>
      <c r="D29" s="17"/>
      <c r="E29" s="17"/>
      <c r="F29" s="5"/>
      <c r="H29" s="11"/>
      <c r="I29" s="5"/>
      <c r="K29" s="17"/>
    </row>
    <row r="30" spans="1:11">
      <c r="A30" s="5"/>
      <c r="C30" s="17"/>
      <c r="D30" s="17"/>
      <c r="E30" s="17"/>
      <c r="F30" s="5"/>
      <c r="H30" s="11"/>
      <c r="I30" s="5"/>
      <c r="K30" s="17"/>
    </row>
    <row r="31" spans="1:11">
      <c r="A31" s="5"/>
      <c r="C31" s="17"/>
      <c r="D31" s="17"/>
      <c r="E31" s="17"/>
      <c r="F31" s="5"/>
      <c r="H31" s="11"/>
      <c r="I31" s="5"/>
      <c r="K31" s="17"/>
    </row>
    <row r="32" spans="1:11">
      <c r="A32" s="5"/>
      <c r="C32" s="17"/>
      <c r="D32" s="17"/>
      <c r="E32" s="17"/>
      <c r="F32" s="5"/>
      <c r="H32" s="11"/>
      <c r="I32" s="5"/>
      <c r="K32" s="17"/>
    </row>
    <row r="33" spans="1:11">
      <c r="A33" s="5"/>
      <c r="C33" s="17"/>
      <c r="D33" s="17"/>
      <c r="E33" s="17"/>
      <c r="F33" s="5"/>
      <c r="H33" s="11"/>
      <c r="I33" s="5"/>
      <c r="K33" s="17"/>
    </row>
    <row r="34" spans="1:11">
      <c r="A34" s="5"/>
      <c r="C34" s="17"/>
      <c r="D34" s="17"/>
      <c r="E34" s="17"/>
      <c r="F34" s="5"/>
      <c r="H34" s="11"/>
      <c r="I34" s="5"/>
      <c r="K34" s="17"/>
    </row>
    <row r="35" spans="1:11">
      <c r="A35" s="5"/>
      <c r="C35" s="17"/>
      <c r="D35" s="17"/>
      <c r="E35" s="17"/>
      <c r="F35" s="5"/>
      <c r="H35" s="11"/>
      <c r="I35" s="5"/>
      <c r="K35" s="17"/>
    </row>
    <row r="36" spans="1:11">
      <c r="A36" s="5"/>
      <c r="C36" s="17"/>
      <c r="D36" s="17"/>
      <c r="E36" s="17"/>
      <c r="F36" s="5"/>
      <c r="H36" s="11"/>
      <c r="I36" s="5"/>
      <c r="K36" s="17"/>
    </row>
    <row r="37" spans="1:11">
      <c r="A37" s="5"/>
      <c r="C37" s="17"/>
      <c r="D37" s="17"/>
      <c r="E37" s="17"/>
      <c r="F37" s="5"/>
      <c r="H37" s="11"/>
      <c r="I37" s="5"/>
      <c r="K37" s="17"/>
    </row>
    <row r="38" spans="1:11">
      <c r="A38" s="5"/>
      <c r="C38" s="17"/>
      <c r="D38" s="17"/>
      <c r="E38" s="17"/>
      <c r="F38" s="5"/>
      <c r="H38" s="11"/>
      <c r="I38" s="5"/>
      <c r="K38" s="17"/>
    </row>
    <row r="39" spans="1:11">
      <c r="A39" s="5"/>
      <c r="C39" s="17"/>
      <c r="D39" s="17"/>
      <c r="E39" s="17"/>
      <c r="F39" s="5"/>
      <c r="H39" s="11"/>
      <c r="I39" s="5"/>
      <c r="K39" s="17"/>
    </row>
    <row r="40" spans="1:11">
      <c r="A40" s="5"/>
      <c r="C40" s="17"/>
      <c r="D40" s="17"/>
      <c r="E40" s="17"/>
      <c r="F40" s="5"/>
      <c r="H40" s="11"/>
      <c r="I40" s="5"/>
      <c r="K40" s="17"/>
    </row>
    <row r="41" spans="1:11">
      <c r="A41" s="5"/>
      <c r="C41" s="17"/>
      <c r="D41" s="17"/>
      <c r="E41" s="17"/>
      <c r="F41" s="5"/>
      <c r="H41" s="11"/>
      <c r="I41" s="5"/>
      <c r="K41" s="17"/>
    </row>
    <row r="42" spans="1:11">
      <c r="A42" s="5"/>
      <c r="C42" s="17"/>
      <c r="D42" s="17"/>
      <c r="E42" s="17"/>
      <c r="F42" s="5"/>
      <c r="H42" s="11"/>
      <c r="I42" s="5"/>
      <c r="K42" s="17"/>
    </row>
    <row r="43" spans="1:11">
      <c r="A43" s="5"/>
      <c r="C43" s="17"/>
      <c r="D43" s="17"/>
      <c r="E43" s="17"/>
      <c r="F43" s="5"/>
      <c r="H43" s="11"/>
      <c r="I43" s="5"/>
      <c r="K43" s="17"/>
    </row>
    <row r="44" spans="1:11">
      <c r="A44" s="5"/>
      <c r="C44" s="17"/>
      <c r="D44" s="17"/>
      <c r="E44" s="17"/>
      <c r="F44" s="5"/>
      <c r="H44" s="11"/>
      <c r="I44" s="5"/>
      <c r="K44" s="17"/>
    </row>
    <row r="45" spans="1:11">
      <c r="A45" s="5"/>
      <c r="C45" s="17"/>
      <c r="D45" s="17"/>
      <c r="E45" s="17"/>
      <c r="F45" s="5"/>
      <c r="H45" s="11"/>
      <c r="I45" s="5"/>
      <c r="K45" s="17"/>
    </row>
    <row r="46" spans="1:11">
      <c r="A46" s="5"/>
      <c r="C46" s="17"/>
      <c r="D46" s="17"/>
      <c r="E46" s="17"/>
      <c r="F46" s="5"/>
      <c r="H46" s="11"/>
      <c r="I46" s="5"/>
      <c r="K46" s="17"/>
    </row>
    <row r="47" spans="1:11">
      <c r="A47" s="5"/>
      <c r="C47" s="17"/>
      <c r="D47" s="17"/>
      <c r="E47" s="17"/>
      <c r="F47" s="5"/>
      <c r="H47" s="11"/>
      <c r="I47" s="5"/>
      <c r="K47" s="17"/>
    </row>
    <row r="48" spans="1:11">
      <c r="A48" s="5"/>
      <c r="C48" s="17"/>
      <c r="D48" s="17"/>
      <c r="E48" s="17"/>
      <c r="F48" s="5"/>
      <c r="H48" s="11"/>
      <c r="I48" s="5"/>
      <c r="K48" s="17"/>
    </row>
    <row r="49" spans="1:11">
      <c r="A49" s="5"/>
      <c r="C49" s="17"/>
      <c r="D49" s="17"/>
      <c r="E49" s="17"/>
      <c r="F49" s="5"/>
      <c r="H49" s="11"/>
      <c r="I49" s="5"/>
      <c r="K49" s="17"/>
    </row>
    <row r="50" spans="1:11">
      <c r="A50" s="5"/>
      <c r="C50" s="17"/>
      <c r="D50" s="17"/>
      <c r="E50" s="17"/>
      <c r="F50" s="5"/>
      <c r="H50" s="11"/>
      <c r="I50" s="5"/>
      <c r="K50" s="17"/>
    </row>
    <row r="51" spans="1:11">
      <c r="A51" s="5"/>
      <c r="C51" s="17"/>
      <c r="D51" s="17"/>
      <c r="E51" s="17"/>
      <c r="F51" s="5"/>
      <c r="H51" s="11"/>
      <c r="I51" s="5"/>
      <c r="K51" s="17"/>
    </row>
    <row r="52" spans="1:11">
      <c r="A52" s="5"/>
      <c r="C52" s="17"/>
      <c r="D52" s="17"/>
      <c r="E52" s="17"/>
      <c r="F52" s="5"/>
      <c r="H52" s="11"/>
      <c r="I52" s="5"/>
      <c r="K52" s="17"/>
    </row>
    <row r="53" spans="1:11">
      <c r="A53" s="5"/>
      <c r="C53" s="17"/>
      <c r="D53" s="17"/>
      <c r="E53" s="17"/>
      <c r="F53" s="5"/>
      <c r="H53" s="11"/>
      <c r="I53" s="5"/>
      <c r="K53" s="17"/>
    </row>
    <row r="54" spans="1:11">
      <c r="A54" s="5"/>
      <c r="C54" s="17"/>
      <c r="D54" s="17"/>
      <c r="E54" s="17"/>
      <c r="F54" s="5"/>
      <c r="H54" s="11"/>
      <c r="I54" s="5"/>
      <c r="K54" s="17"/>
    </row>
    <row r="55" spans="1:11">
      <c r="A55" s="5"/>
      <c r="C55" s="17"/>
      <c r="D55" s="17"/>
      <c r="E55" s="17"/>
      <c r="F55" s="5"/>
      <c r="H55" s="11"/>
      <c r="I55" s="5"/>
      <c r="K55" s="17"/>
    </row>
    <row r="56" spans="1:11">
      <c r="A56" s="5"/>
      <c r="C56" s="17"/>
      <c r="D56" s="17"/>
      <c r="E56" s="17"/>
      <c r="F56" s="5"/>
      <c r="H56" s="11"/>
      <c r="I56" s="5"/>
      <c r="K56" s="17"/>
    </row>
    <row r="57" spans="1:11">
      <c r="A57" s="5"/>
      <c r="C57" s="17"/>
      <c r="D57" s="17"/>
      <c r="E57" s="17"/>
      <c r="F57" s="5"/>
      <c r="H57" s="11"/>
      <c r="I57" s="5"/>
      <c r="K57" s="17"/>
    </row>
    <row r="58" spans="1:11">
      <c r="A58" s="5"/>
      <c r="C58" s="17"/>
      <c r="D58" s="17"/>
      <c r="E58" s="17"/>
      <c r="F58" s="5"/>
      <c r="H58" s="11"/>
      <c r="I58" s="5"/>
      <c r="K58" s="17"/>
    </row>
    <row r="59" spans="1:11">
      <c r="A59" s="5"/>
      <c r="C59" s="17"/>
      <c r="D59" s="17"/>
      <c r="E59" s="17"/>
      <c r="F59" s="5"/>
      <c r="H59" s="11"/>
      <c r="I59" s="5"/>
      <c r="K59" s="17"/>
    </row>
    <row r="60" spans="1:11">
      <c r="A60" s="5"/>
      <c r="C60" s="17"/>
      <c r="D60" s="17"/>
      <c r="E60" s="17"/>
      <c r="F60" s="5"/>
      <c r="H60" s="11"/>
      <c r="I60" s="5"/>
      <c r="K60" s="17"/>
    </row>
    <row r="61" spans="1:11">
      <c r="A61" s="5"/>
      <c r="C61" s="17"/>
      <c r="D61" s="17"/>
      <c r="E61" s="17"/>
      <c r="F61" s="5"/>
      <c r="H61" s="11"/>
      <c r="I61" s="5"/>
      <c r="K61" s="17"/>
    </row>
    <row r="62" spans="1:11">
      <c r="A62" s="5"/>
      <c r="C62" s="17"/>
      <c r="D62" s="17"/>
      <c r="E62" s="17"/>
      <c r="F62" s="5"/>
      <c r="H62" s="11"/>
      <c r="I62" s="5"/>
      <c r="K62" s="17"/>
    </row>
    <row r="63" spans="1:11">
      <c r="A63" s="5"/>
      <c r="C63" s="17"/>
      <c r="D63" s="17"/>
      <c r="E63" s="17"/>
      <c r="F63" s="5"/>
      <c r="H63" s="11"/>
      <c r="I63" s="5"/>
      <c r="K63" s="17"/>
    </row>
    <row r="64" spans="1:11">
      <c r="A64" s="5"/>
      <c r="C64" s="17"/>
      <c r="D64" s="17"/>
      <c r="E64" s="17"/>
      <c r="F64" s="5"/>
      <c r="H64" s="11"/>
      <c r="I64" s="5"/>
      <c r="K64" s="17"/>
    </row>
    <row r="65" spans="1:11">
      <c r="A65" s="5"/>
      <c r="C65" s="17"/>
      <c r="D65" s="17"/>
      <c r="E65" s="17"/>
      <c r="F65" s="5"/>
      <c r="H65" s="11"/>
      <c r="I65" s="5"/>
      <c r="K65" s="17"/>
    </row>
    <row r="66" spans="1:11">
      <c r="A66" s="5"/>
      <c r="C66" s="17"/>
      <c r="D66" s="17"/>
      <c r="E66" s="17"/>
      <c r="F66" s="5"/>
      <c r="H66" s="11"/>
      <c r="I66" s="5"/>
      <c r="K66" s="17"/>
    </row>
    <row r="67" spans="1:11">
      <c r="A67" s="5"/>
      <c r="C67" s="17"/>
      <c r="D67" s="17"/>
      <c r="E67" s="17"/>
      <c r="F67" s="5"/>
      <c r="H67" s="11"/>
      <c r="I67" s="5"/>
      <c r="K67" s="17"/>
    </row>
    <row r="68" spans="1:11">
      <c r="A68" s="5"/>
      <c r="C68" s="17"/>
      <c r="D68" s="17"/>
      <c r="E68" s="17"/>
      <c r="F68" s="5"/>
      <c r="H68" s="11"/>
      <c r="I68" s="5"/>
      <c r="K68" s="17"/>
    </row>
    <row r="69" spans="1:11">
      <c r="A69" s="5"/>
      <c r="C69" s="17"/>
      <c r="D69" s="17"/>
      <c r="E69" s="17"/>
      <c r="F69" s="5"/>
      <c r="H69" s="11"/>
      <c r="I69" s="5"/>
      <c r="K69" s="17"/>
    </row>
    <row r="70" spans="1:11">
      <c r="A70" s="5"/>
      <c r="C70" s="17"/>
      <c r="D70" s="17"/>
      <c r="E70" s="17"/>
      <c r="F70" s="5"/>
      <c r="H70" s="11"/>
      <c r="I70" s="5"/>
      <c r="K70" s="17"/>
    </row>
    <row r="71" spans="1:11">
      <c r="A71" s="5"/>
      <c r="C71" s="17"/>
      <c r="D71" s="17"/>
      <c r="E71" s="17"/>
      <c r="F71" s="5"/>
      <c r="H71" s="11"/>
      <c r="I71" s="5"/>
      <c r="K71" s="17"/>
    </row>
    <row r="72" spans="1:11">
      <c r="A72" s="5"/>
      <c r="C72" s="17"/>
      <c r="D72" s="17"/>
      <c r="E72" s="17"/>
      <c r="F72" s="5"/>
      <c r="H72" s="11"/>
      <c r="I72" s="5"/>
      <c r="K72" s="17"/>
    </row>
    <row r="73" spans="1:11">
      <c r="A73" s="5"/>
      <c r="C73" s="17"/>
      <c r="D73" s="17"/>
      <c r="E73" s="17"/>
      <c r="F73" s="5"/>
      <c r="H73" s="11"/>
      <c r="I73" s="5"/>
      <c r="K73" s="17"/>
    </row>
    <row r="74" spans="1:11">
      <c r="A74" s="5"/>
      <c r="C74" s="17"/>
      <c r="D74" s="17"/>
      <c r="E74" s="17"/>
      <c r="F74" s="5"/>
      <c r="H74" s="11"/>
      <c r="I74" s="5"/>
      <c r="K74" s="17"/>
    </row>
    <row r="75" spans="1:11">
      <c r="A75" s="5"/>
      <c r="C75" s="17"/>
      <c r="D75" s="17"/>
      <c r="E75" s="17"/>
      <c r="F75" s="5"/>
      <c r="H75" s="11"/>
      <c r="I75" s="5"/>
      <c r="K75" s="17"/>
    </row>
    <row r="76" spans="1:11">
      <c r="A76" s="5"/>
      <c r="C76" s="17"/>
      <c r="D76" s="17"/>
      <c r="E76" s="17"/>
      <c r="F76" s="5"/>
      <c r="H76" s="11"/>
      <c r="I76" s="5"/>
      <c r="K76" s="17"/>
    </row>
    <row r="77" spans="1:11">
      <c r="A77" s="5"/>
      <c r="C77" s="17"/>
      <c r="D77" s="17"/>
      <c r="E77" s="17"/>
      <c r="F77" s="5"/>
      <c r="H77" s="11"/>
      <c r="I77" s="5"/>
      <c r="K77" s="17"/>
    </row>
    <row r="78" spans="1:11">
      <c r="A78" s="5"/>
      <c r="C78" s="17"/>
      <c r="D78" s="17"/>
      <c r="E78" s="17"/>
      <c r="F78" s="5"/>
      <c r="H78" s="11"/>
      <c r="I78" s="5"/>
      <c r="K78" s="17"/>
    </row>
    <row r="79" spans="1:11">
      <c r="A79" s="5"/>
      <c r="C79" s="17"/>
      <c r="D79" s="17"/>
      <c r="E79" s="17"/>
      <c r="F79" s="5"/>
      <c r="H79" s="11"/>
      <c r="I79" s="5"/>
      <c r="K79" s="17"/>
    </row>
    <row r="80" spans="1:11">
      <c r="A80" s="5"/>
      <c r="C80" s="17"/>
      <c r="D80" s="17"/>
      <c r="E80" s="17"/>
      <c r="F80" s="5"/>
      <c r="H80" s="11"/>
      <c r="I80" s="5"/>
      <c r="K80" s="17"/>
    </row>
    <row r="81" spans="1:11">
      <c r="A81" s="5"/>
      <c r="C81" s="17"/>
      <c r="D81" s="17"/>
      <c r="E81" s="17"/>
      <c r="F81" s="5"/>
      <c r="H81" s="11"/>
      <c r="I81" s="5"/>
      <c r="K81" s="17"/>
    </row>
    <row r="82" spans="1:11">
      <c r="A82" s="5"/>
      <c r="C82" s="17"/>
      <c r="D82" s="17"/>
      <c r="E82" s="17"/>
      <c r="F82" s="5"/>
      <c r="H82" s="11"/>
      <c r="I82" s="5"/>
      <c r="K82" s="17"/>
    </row>
    <row r="83" spans="1:11">
      <c r="A83" s="5"/>
      <c r="C83" s="17"/>
      <c r="D83" s="17"/>
      <c r="E83" s="17"/>
      <c r="F83" s="5"/>
      <c r="H83" s="11"/>
      <c r="I83" s="5"/>
      <c r="K83" s="17"/>
    </row>
    <row r="84" spans="1:11">
      <c r="A84" s="5"/>
      <c r="C84" s="17"/>
      <c r="D84" s="17"/>
      <c r="E84" s="17"/>
      <c r="F84" s="5"/>
      <c r="H84" s="11"/>
      <c r="I84" s="5"/>
      <c r="K84" s="17"/>
    </row>
    <row r="85" spans="1:11">
      <c r="A85" s="5"/>
      <c r="C85" s="17"/>
      <c r="D85" s="17"/>
      <c r="E85" s="17"/>
      <c r="F85" s="5"/>
      <c r="H85" s="11"/>
      <c r="I85" s="5"/>
      <c r="K85" s="17"/>
    </row>
    <row r="86" spans="1:11">
      <c r="A86" s="5"/>
      <c r="C86" s="17"/>
      <c r="D86" s="17"/>
      <c r="E86" s="17"/>
      <c r="F86" s="5"/>
      <c r="H86" s="11"/>
      <c r="I86" s="5"/>
      <c r="K86" s="17"/>
    </row>
    <row r="87" spans="1:11">
      <c r="A87" s="5"/>
      <c r="C87" s="17"/>
      <c r="D87" s="17"/>
      <c r="E87" s="17"/>
      <c r="F87" s="5"/>
      <c r="H87" s="11"/>
      <c r="I87" s="5"/>
      <c r="K87" s="17"/>
    </row>
    <row r="88" spans="1:11">
      <c r="A88" s="5"/>
      <c r="C88" s="17"/>
      <c r="D88" s="17"/>
      <c r="E88" s="17"/>
      <c r="F88" s="5"/>
      <c r="H88" s="11"/>
      <c r="I88" s="5"/>
      <c r="K88" s="17"/>
    </row>
    <row r="89" spans="1:11">
      <c r="A89" s="5"/>
      <c r="C89" s="17"/>
      <c r="D89" s="17"/>
      <c r="E89" s="17"/>
      <c r="F89" s="5"/>
      <c r="H89" s="11"/>
      <c r="I89" s="5"/>
      <c r="K89" s="17"/>
    </row>
    <row r="90" spans="1:11">
      <c r="A90" s="5"/>
      <c r="C90" s="17"/>
      <c r="D90" s="17"/>
      <c r="E90" s="17"/>
      <c r="F90" s="5"/>
      <c r="H90" s="11"/>
      <c r="I90" s="5"/>
      <c r="K90" s="17"/>
    </row>
    <row r="91" spans="1:11">
      <c r="A91" s="5"/>
      <c r="C91" s="17"/>
      <c r="D91" s="17"/>
      <c r="E91" s="17"/>
      <c r="F91" s="5"/>
      <c r="H91" s="11"/>
      <c r="I91" s="5"/>
      <c r="K91" s="17"/>
    </row>
    <row r="92" spans="1:11">
      <c r="A92" s="5"/>
      <c r="C92" s="17"/>
      <c r="D92" s="17"/>
      <c r="E92" s="17"/>
      <c r="F92" s="5"/>
      <c r="H92" s="11"/>
      <c r="I92" s="5"/>
      <c r="K92" s="17"/>
    </row>
    <row r="93" spans="1:11">
      <c r="A93" s="5"/>
      <c r="C93" s="17"/>
      <c r="D93" s="17"/>
      <c r="E93" s="17"/>
      <c r="F93" s="5"/>
      <c r="H93" s="11"/>
      <c r="I93" s="5"/>
      <c r="K93" s="17"/>
    </row>
    <row r="94" spans="1:11">
      <c r="A94" s="5"/>
      <c r="C94" s="17"/>
      <c r="D94" s="17"/>
      <c r="E94" s="17"/>
      <c r="F94" s="5"/>
      <c r="H94" s="11"/>
      <c r="I94" s="5"/>
      <c r="K94" s="17"/>
    </row>
    <row r="95" spans="1:11">
      <c r="A95" s="5"/>
      <c r="C95" s="17"/>
      <c r="D95" s="17"/>
      <c r="E95" s="17"/>
      <c r="F95" s="5"/>
      <c r="H95" s="11"/>
      <c r="I95" s="5"/>
      <c r="K95" s="17"/>
    </row>
    <row r="96" spans="1:11">
      <c r="A96" s="5"/>
      <c r="C96" s="17"/>
      <c r="D96" s="17"/>
      <c r="E96" s="17"/>
      <c r="F96" s="5"/>
      <c r="H96" s="11"/>
      <c r="I96" s="5"/>
      <c r="K96" s="17"/>
    </row>
    <row r="97" spans="1:11">
      <c r="A97" s="5"/>
      <c r="C97" s="17"/>
      <c r="D97" s="17"/>
      <c r="E97" s="17"/>
      <c r="F97" s="5"/>
      <c r="H97" s="11"/>
      <c r="I97" s="5"/>
      <c r="K97" s="17"/>
    </row>
    <row r="98" spans="1:11">
      <c r="A98" s="5"/>
      <c r="C98" s="17"/>
      <c r="D98" s="17"/>
      <c r="E98" s="17"/>
      <c r="F98" s="5"/>
      <c r="H98" s="11"/>
      <c r="I98" s="5"/>
      <c r="K98" s="17"/>
    </row>
    <row r="99" spans="1:11">
      <c r="A99" s="5"/>
      <c r="C99" s="17"/>
      <c r="D99" s="17"/>
      <c r="E99" s="17"/>
      <c r="F99" s="5"/>
      <c r="H99" s="11"/>
      <c r="I99" s="5"/>
      <c r="K99" s="17"/>
    </row>
    <row r="100" spans="1:11">
      <c r="A100" s="5"/>
      <c r="C100" s="17"/>
      <c r="D100" s="17"/>
      <c r="E100" s="17"/>
      <c r="F100" s="5"/>
      <c r="H100" s="11"/>
      <c r="I100" s="5"/>
      <c r="K100" s="17"/>
    </row>
    <row r="101" spans="1:11">
      <c r="A101" s="5"/>
      <c r="C101" s="17"/>
      <c r="D101" s="17"/>
      <c r="E101" s="17"/>
      <c r="F101" s="5"/>
      <c r="H101" s="11"/>
      <c r="I101" s="5"/>
      <c r="K101" s="17"/>
    </row>
    <row r="102" spans="1:11">
      <c r="A102" s="5"/>
      <c r="C102" s="17"/>
      <c r="D102" s="17"/>
      <c r="E102" s="17"/>
      <c r="F102" s="5"/>
      <c r="H102" s="11"/>
      <c r="I102" s="5"/>
      <c r="K102" s="17"/>
    </row>
    <row r="103" spans="1:11">
      <c r="A103" s="5"/>
      <c r="C103" s="17"/>
      <c r="D103" s="17"/>
      <c r="E103" s="17"/>
      <c r="F103" s="5"/>
      <c r="H103" s="11"/>
      <c r="I103" s="5"/>
      <c r="K103" s="17"/>
    </row>
    <row r="104" spans="1:11">
      <c r="A104" s="5"/>
      <c r="C104" s="17"/>
      <c r="D104" s="17"/>
      <c r="E104" s="17"/>
      <c r="F104" s="5"/>
      <c r="H104" s="11"/>
      <c r="I104" s="5"/>
      <c r="K104" s="17"/>
    </row>
    <row r="105" spans="1:11">
      <c r="A105" s="5"/>
      <c r="C105" s="17"/>
      <c r="D105" s="17"/>
      <c r="E105" s="17"/>
      <c r="F105" s="5"/>
      <c r="H105" s="11"/>
      <c r="I105" s="5"/>
      <c r="K105" s="17"/>
    </row>
    <row r="106" spans="1:11">
      <c r="A106" s="5"/>
      <c r="C106" s="17"/>
      <c r="D106" s="17"/>
      <c r="E106" s="17"/>
      <c r="F106" s="5"/>
      <c r="H106" s="11"/>
      <c r="I106" s="5"/>
      <c r="K106" s="17"/>
    </row>
    <row r="107" spans="1:11">
      <c r="A107" s="5"/>
      <c r="C107" s="17"/>
      <c r="D107" s="17"/>
      <c r="E107" s="17"/>
      <c r="F107" s="5"/>
      <c r="H107" s="11"/>
      <c r="I107" s="5"/>
      <c r="K107" s="17"/>
    </row>
    <row r="108" spans="1:11">
      <c r="A108" s="5"/>
      <c r="C108" s="17"/>
      <c r="D108" s="17"/>
      <c r="E108" s="17"/>
      <c r="F108" s="5"/>
      <c r="H108" s="11"/>
      <c r="I108" s="5"/>
      <c r="K108" s="17"/>
    </row>
    <row r="109" spans="1:11">
      <c r="A109" s="5"/>
      <c r="C109" s="17"/>
      <c r="D109" s="17"/>
      <c r="E109" s="17"/>
      <c r="F109" s="5"/>
      <c r="H109" s="11"/>
      <c r="I109" s="5"/>
      <c r="K109" s="17"/>
    </row>
    <row r="110" spans="1:11">
      <c r="A110" s="5"/>
      <c r="C110" s="17"/>
      <c r="D110" s="17"/>
      <c r="E110" s="17"/>
      <c r="F110" s="5"/>
      <c r="H110" s="11"/>
      <c r="I110" s="5"/>
      <c r="K110" s="17"/>
    </row>
    <row r="111" ht="15" spans="1:11">
      <c r="A111" s="18"/>
      <c r="B111" s="19"/>
      <c r="C111" s="20"/>
      <c r="D111" s="20"/>
      <c r="E111" s="20"/>
      <c r="F111" s="18"/>
      <c r="H111" s="11"/>
      <c r="I111" s="5"/>
      <c r="K111" s="17"/>
    </row>
    <row r="112" ht="15" spans="1:11">
      <c r="A112" s="21"/>
      <c r="B112" s="22"/>
      <c r="C112" s="23"/>
      <c r="D112" s="23"/>
      <c r="E112" s="23"/>
      <c r="F112" s="21"/>
      <c r="G112" s="22"/>
      <c r="H112" s="11"/>
      <c r="I112" s="5"/>
      <c r="K112" s="17"/>
    </row>
    <row r="113" ht="15" spans="1:11">
      <c r="A113" s="24"/>
      <c r="B113" s="25"/>
      <c r="C113" s="26"/>
      <c r="D113" s="26"/>
      <c r="E113" s="26"/>
      <c r="F113" s="24"/>
      <c r="G113" s="25"/>
      <c r="H113" s="11"/>
      <c r="I113" s="5"/>
      <c r="K113" s="17"/>
    </row>
    <row r="114" spans="1:11">
      <c r="A114" s="5"/>
      <c r="C114" s="17"/>
      <c r="D114" s="17"/>
      <c r="E114" s="17"/>
      <c r="F114" s="5"/>
      <c r="H114" s="11"/>
      <c r="I114" s="5"/>
      <c r="K114" s="17"/>
    </row>
    <row r="115" spans="1:11">
      <c r="A115" s="5"/>
      <c r="C115" s="17"/>
      <c r="D115" s="17"/>
      <c r="E115" s="17"/>
      <c r="F115" s="5"/>
      <c r="H115" s="11"/>
      <c r="I115" s="5"/>
      <c r="K115" s="17"/>
    </row>
    <row r="116" spans="1:11">
      <c r="A116" s="5"/>
      <c r="C116" s="17"/>
      <c r="D116" s="17"/>
      <c r="E116" s="17"/>
      <c r="F116" s="5"/>
      <c r="H116" s="11"/>
      <c r="I116" s="5"/>
      <c r="K116" s="17"/>
    </row>
    <row r="117" spans="1:11">
      <c r="A117" s="5"/>
      <c r="C117" s="17"/>
      <c r="D117" s="17"/>
      <c r="E117" s="17"/>
      <c r="F117" s="5"/>
      <c r="H117" s="11"/>
      <c r="I117" s="5"/>
      <c r="K117" s="17"/>
    </row>
    <row r="118" spans="1:11">
      <c r="A118" s="5"/>
      <c r="C118" s="17"/>
      <c r="D118" s="17"/>
      <c r="E118" s="17"/>
      <c r="F118" s="5"/>
      <c r="H118" s="11"/>
      <c r="I118" s="5"/>
      <c r="K118" s="17"/>
    </row>
    <row r="119" spans="1:11">
      <c r="A119" s="5"/>
      <c r="C119" s="17"/>
      <c r="D119" s="17"/>
      <c r="E119" s="17"/>
      <c r="F119" s="5"/>
      <c r="H119" s="11"/>
      <c r="I119" s="5"/>
      <c r="K119" s="17"/>
    </row>
    <row r="120" spans="1:11">
      <c r="A120" s="5"/>
      <c r="C120" s="17"/>
      <c r="D120" s="17"/>
      <c r="E120" s="17"/>
      <c r="F120" s="5"/>
      <c r="H120" s="11"/>
      <c r="I120" s="5"/>
      <c r="K120" s="17"/>
    </row>
    <row r="121" spans="1:11">
      <c r="A121" s="5"/>
      <c r="C121" s="17"/>
      <c r="D121" s="17"/>
      <c r="E121" s="17"/>
      <c r="F121" s="5"/>
      <c r="H121" s="11"/>
      <c r="I121" s="5"/>
      <c r="K121" s="17"/>
    </row>
    <row r="122" spans="1:11">
      <c r="A122" s="5"/>
      <c r="C122" s="17"/>
      <c r="D122" s="17"/>
      <c r="E122" s="17"/>
      <c r="F122" s="5"/>
      <c r="H122" s="11"/>
      <c r="I122" s="5"/>
      <c r="K122" s="17"/>
    </row>
    <row r="123" spans="1:11">
      <c r="A123" s="5"/>
      <c r="C123" s="17"/>
      <c r="D123" s="17"/>
      <c r="E123" s="17"/>
      <c r="F123" s="5"/>
      <c r="H123" s="11"/>
      <c r="I123" s="5"/>
      <c r="K123" s="17"/>
    </row>
    <row r="124" spans="1:11">
      <c r="A124" s="5"/>
      <c r="C124" s="17"/>
      <c r="D124" s="17"/>
      <c r="E124" s="17"/>
      <c r="F124" s="5"/>
      <c r="H124" s="11"/>
      <c r="I124" s="5"/>
      <c r="K124" s="17"/>
    </row>
    <row r="125" spans="1:11">
      <c r="A125" s="5"/>
      <c r="C125" s="17"/>
      <c r="D125" s="17"/>
      <c r="E125" s="17"/>
      <c r="F125" s="5"/>
      <c r="H125" s="11"/>
      <c r="I125" s="5"/>
      <c r="K125" s="17"/>
    </row>
    <row r="126" spans="1:11">
      <c r="A126" s="5"/>
      <c r="C126" s="17"/>
      <c r="D126" s="17"/>
      <c r="E126" s="17"/>
      <c r="F126" s="5"/>
      <c r="H126" s="11"/>
      <c r="I126" s="5"/>
      <c r="K126" s="17"/>
    </row>
    <row r="127" spans="1:11">
      <c r="A127" s="5"/>
      <c r="C127" s="17"/>
      <c r="D127" s="17"/>
      <c r="E127" s="17"/>
      <c r="F127" s="5"/>
      <c r="H127" s="11"/>
      <c r="I127" s="5"/>
      <c r="K127" s="17"/>
    </row>
    <row r="128" spans="1:11">
      <c r="A128" s="5"/>
      <c r="C128" s="17"/>
      <c r="D128" s="17"/>
      <c r="E128" s="17"/>
      <c r="F128" s="5"/>
      <c r="H128" s="11"/>
      <c r="I128" s="5"/>
      <c r="K128" s="17"/>
    </row>
    <row r="129" spans="1:11">
      <c r="A129" s="5"/>
      <c r="C129" s="17"/>
      <c r="D129" s="17"/>
      <c r="E129" s="17"/>
      <c r="F129" s="5"/>
      <c r="H129" s="11"/>
      <c r="I129" s="5"/>
      <c r="K129" s="17"/>
    </row>
    <row r="130" spans="1:11">
      <c r="A130" s="5"/>
      <c r="C130" s="17"/>
      <c r="D130" s="17"/>
      <c r="E130" s="17"/>
      <c r="F130" s="5"/>
      <c r="H130" s="11"/>
      <c r="I130" s="5"/>
      <c r="K130" s="17"/>
    </row>
    <row r="131" spans="1:11">
      <c r="A131" s="5"/>
      <c r="C131" s="17"/>
      <c r="D131" s="17"/>
      <c r="E131" s="17"/>
      <c r="F131" s="5"/>
      <c r="H131" s="11"/>
      <c r="I131" s="5"/>
      <c r="K131" s="17"/>
    </row>
    <row r="132" spans="1:11">
      <c r="A132" s="5"/>
      <c r="C132" s="17"/>
      <c r="D132" s="17"/>
      <c r="E132" s="17"/>
      <c r="F132" s="5"/>
      <c r="H132" s="11"/>
      <c r="I132" s="5"/>
      <c r="K132" s="17"/>
    </row>
    <row r="133" spans="1:11">
      <c r="A133" s="5"/>
      <c r="C133" s="17"/>
      <c r="D133" s="17"/>
      <c r="E133" s="17"/>
      <c r="F133" s="5"/>
      <c r="H133" s="11"/>
      <c r="I133" s="5"/>
      <c r="K133" s="17"/>
    </row>
    <row r="134" spans="1:11">
      <c r="A134" s="5"/>
      <c r="C134" s="17"/>
      <c r="D134" s="17"/>
      <c r="E134" s="17"/>
      <c r="F134" s="5"/>
      <c r="H134" s="11"/>
      <c r="I134" s="5"/>
      <c r="K134" s="17"/>
    </row>
    <row r="135" spans="1:11">
      <c r="A135" s="5"/>
      <c r="C135" s="17"/>
      <c r="D135" s="17"/>
      <c r="E135" s="17"/>
      <c r="F135" s="5"/>
      <c r="H135" s="11"/>
      <c r="I135" s="5"/>
      <c r="K135" s="17"/>
    </row>
    <row r="136" spans="1:11">
      <c r="A136" s="5"/>
      <c r="C136" s="17"/>
      <c r="D136" s="17"/>
      <c r="E136" s="17"/>
      <c r="F136" s="5"/>
      <c r="H136" s="11"/>
      <c r="I136" s="5"/>
      <c r="K136" s="17"/>
    </row>
    <row r="137" spans="1:11">
      <c r="A137" s="5"/>
      <c r="C137" s="17"/>
      <c r="D137" s="17"/>
      <c r="E137" s="17"/>
      <c r="F137" s="5"/>
      <c r="H137" s="11"/>
      <c r="I137" s="5"/>
      <c r="K137" s="17"/>
    </row>
    <row r="138" spans="1:11">
      <c r="A138" s="5"/>
      <c r="C138" s="17"/>
      <c r="D138" s="17"/>
      <c r="E138" s="17"/>
      <c r="F138" s="5"/>
      <c r="H138" s="11"/>
      <c r="I138" s="5"/>
      <c r="K138" s="17"/>
    </row>
    <row r="139" spans="1:11">
      <c r="A139" s="5"/>
      <c r="C139" s="17"/>
      <c r="D139" s="17"/>
      <c r="E139" s="17"/>
      <c r="F139" s="5"/>
      <c r="H139" s="11"/>
      <c r="I139" s="5"/>
      <c r="K139" s="17"/>
    </row>
    <row r="140" spans="1:11">
      <c r="A140" s="5"/>
      <c r="C140" s="17"/>
      <c r="D140" s="17"/>
      <c r="E140" s="17"/>
      <c r="F140" s="5"/>
      <c r="H140" s="11"/>
      <c r="I140" s="5"/>
      <c r="K140" s="17"/>
    </row>
    <row r="141" spans="1:11">
      <c r="A141" s="5"/>
      <c r="C141" s="17"/>
      <c r="D141" s="17"/>
      <c r="E141" s="17"/>
      <c r="F141" s="5"/>
      <c r="H141" s="11"/>
      <c r="I141" s="5"/>
      <c r="K141" s="17"/>
    </row>
    <row r="142" spans="1:11">
      <c r="A142" s="5"/>
      <c r="C142" s="17"/>
      <c r="D142" s="17"/>
      <c r="E142" s="17"/>
      <c r="F142" s="5"/>
      <c r="H142" s="11"/>
      <c r="I142" s="5"/>
      <c r="K142" s="17"/>
    </row>
    <row r="143" spans="1:11">
      <c r="A143" s="5"/>
      <c r="C143" s="17"/>
      <c r="D143" s="17"/>
      <c r="E143" s="17"/>
      <c r="F143" s="5"/>
      <c r="H143" s="11"/>
      <c r="I143" s="5"/>
      <c r="K143" s="17"/>
    </row>
    <row r="144" spans="1:11">
      <c r="A144" s="5"/>
      <c r="C144" s="17"/>
      <c r="D144" s="17"/>
      <c r="E144" s="17"/>
      <c r="F144" s="5"/>
      <c r="H144" s="11"/>
      <c r="I144" s="5"/>
      <c r="K144" s="17"/>
    </row>
    <row r="145" spans="1:11">
      <c r="A145" s="5"/>
      <c r="C145" s="17"/>
      <c r="D145" s="17"/>
      <c r="E145" s="17"/>
      <c r="F145" s="5"/>
      <c r="H145" s="11"/>
      <c r="I145" s="5"/>
      <c r="K145" s="17"/>
    </row>
    <row r="146" spans="1:11">
      <c r="A146" s="5"/>
      <c r="C146" s="17"/>
      <c r="D146" s="17"/>
      <c r="E146" s="17"/>
      <c r="F146" s="5"/>
      <c r="H146" s="11"/>
      <c r="I146" s="5"/>
      <c r="K146" s="17"/>
    </row>
    <row r="147" spans="1:11">
      <c r="A147" s="5"/>
      <c r="C147" s="17"/>
      <c r="D147" s="17"/>
      <c r="E147" s="17"/>
      <c r="F147" s="5"/>
      <c r="H147" s="11"/>
      <c r="I147" s="5"/>
      <c r="K147" s="17"/>
    </row>
    <row r="148" spans="1:11">
      <c r="A148" s="5"/>
      <c r="C148" s="17"/>
      <c r="D148" s="17"/>
      <c r="E148" s="17"/>
      <c r="F148" s="5"/>
      <c r="H148" s="11"/>
      <c r="I148" s="5"/>
      <c r="K148" s="17"/>
    </row>
    <row r="149" spans="1:11">
      <c r="A149" s="5"/>
      <c r="C149" s="17"/>
      <c r="D149" s="17"/>
      <c r="E149" s="17"/>
      <c r="F149" s="5"/>
      <c r="H149" s="11"/>
      <c r="I149" s="5"/>
      <c r="K149" s="17"/>
    </row>
    <row r="150" spans="1:11">
      <c r="A150" s="5"/>
      <c r="C150" s="17"/>
      <c r="D150" s="17"/>
      <c r="E150" s="17"/>
      <c r="F150" s="5"/>
      <c r="H150" s="11"/>
      <c r="I150" s="5"/>
      <c r="K150" s="17"/>
    </row>
    <row r="151" spans="1:11">
      <c r="A151" s="5"/>
      <c r="C151" s="17"/>
      <c r="D151" s="17"/>
      <c r="E151" s="17"/>
      <c r="F151" s="5"/>
      <c r="H151" s="11"/>
      <c r="I151" s="5"/>
      <c r="K151" s="17"/>
    </row>
    <row r="152" spans="1:11">
      <c r="A152" s="5"/>
      <c r="C152" s="17"/>
      <c r="D152" s="17"/>
      <c r="E152" s="17"/>
      <c r="F152" s="5"/>
      <c r="H152" s="11"/>
      <c r="I152" s="5"/>
      <c r="K152" s="17"/>
    </row>
    <row r="153" spans="1:11">
      <c r="A153" s="5"/>
      <c r="C153" s="17"/>
      <c r="D153" s="17"/>
      <c r="E153" s="17"/>
      <c r="F153" s="5"/>
      <c r="H153" s="11"/>
      <c r="I153" s="5"/>
      <c r="K153" s="17"/>
    </row>
    <row r="154" spans="1:11">
      <c r="A154" s="5"/>
      <c r="C154" s="17"/>
      <c r="D154" s="17"/>
      <c r="E154" s="17"/>
      <c r="F154" s="5"/>
      <c r="H154" s="11"/>
      <c r="I154" s="5"/>
      <c r="K154" s="17"/>
    </row>
    <row r="155" spans="1:11">
      <c r="A155" s="5"/>
      <c r="C155" s="17"/>
      <c r="D155" s="17"/>
      <c r="E155" s="17"/>
      <c r="F155" s="5"/>
      <c r="H155" s="11"/>
      <c r="I155" s="5"/>
      <c r="K155" s="17"/>
    </row>
    <row r="156" spans="1:11">
      <c r="A156" s="5"/>
      <c r="C156" s="17"/>
      <c r="D156" s="17"/>
      <c r="E156" s="17"/>
      <c r="F156" s="5"/>
      <c r="H156" s="11"/>
      <c r="I156" s="5"/>
      <c r="K156" s="17"/>
    </row>
    <row r="157" spans="1:11">
      <c r="A157" s="5"/>
      <c r="C157" s="17"/>
      <c r="D157" s="17"/>
      <c r="E157" s="17"/>
      <c r="F157" s="5"/>
      <c r="H157" s="11"/>
      <c r="I157" s="5"/>
      <c r="K157" s="17"/>
    </row>
    <row r="158" spans="1:11">
      <c r="A158" s="5"/>
      <c r="C158" s="17"/>
      <c r="D158" s="17"/>
      <c r="E158" s="17"/>
      <c r="F158" s="5"/>
      <c r="H158" s="11"/>
      <c r="I158" s="5"/>
      <c r="K158" s="17"/>
    </row>
    <row r="159" spans="1:11">
      <c r="A159" s="5"/>
      <c r="C159" s="17"/>
      <c r="D159" s="17"/>
      <c r="E159" s="17"/>
      <c r="F159" s="5"/>
      <c r="H159" s="11"/>
      <c r="I159" s="5"/>
      <c r="K159" s="17"/>
    </row>
    <row r="160" spans="1:11">
      <c r="A160" s="5"/>
      <c r="C160" s="17"/>
      <c r="D160" s="17"/>
      <c r="E160" s="17"/>
      <c r="F160" s="5"/>
      <c r="H160" s="11"/>
      <c r="I160" s="5"/>
      <c r="K160" s="17"/>
    </row>
    <row r="161" spans="1:11">
      <c r="A161" s="5"/>
      <c r="C161" s="17"/>
      <c r="D161" s="17"/>
      <c r="E161" s="17"/>
      <c r="F161" s="5"/>
      <c r="H161" s="11"/>
      <c r="I161" s="5"/>
      <c r="K161" s="17"/>
    </row>
    <row r="162" spans="1:11">
      <c r="A162" s="5"/>
      <c r="C162" s="17"/>
      <c r="D162" s="17"/>
      <c r="E162" s="17"/>
      <c r="F162" s="5"/>
      <c r="H162" s="11"/>
      <c r="I162" s="5"/>
      <c r="K162" s="17"/>
    </row>
    <row r="163" spans="1:11">
      <c r="A163" s="5"/>
      <c r="C163" s="17"/>
      <c r="D163" s="17"/>
      <c r="E163" s="17"/>
      <c r="F163" s="5"/>
      <c r="H163" s="11"/>
      <c r="I163" s="5"/>
      <c r="K163" s="17"/>
    </row>
    <row r="164" spans="1:11">
      <c r="A164" s="5"/>
      <c r="C164" s="17"/>
      <c r="D164" s="17"/>
      <c r="E164" s="17"/>
      <c r="F164" s="5"/>
      <c r="H164" s="11"/>
      <c r="I164" s="5"/>
      <c r="K164" s="17"/>
    </row>
    <row r="165" spans="1:11">
      <c r="A165" s="5"/>
      <c r="C165" s="17"/>
      <c r="D165" s="17"/>
      <c r="E165" s="17"/>
      <c r="F165" s="5"/>
      <c r="H165" s="11"/>
      <c r="I165" s="5"/>
      <c r="K165" s="17"/>
    </row>
    <row r="166" spans="1:11">
      <c r="A166" s="5"/>
      <c r="C166" s="17"/>
      <c r="D166" s="17"/>
      <c r="E166" s="17"/>
      <c r="F166" s="5"/>
      <c r="H166" s="11"/>
      <c r="I166" s="5"/>
      <c r="K166" s="17"/>
    </row>
    <row r="167" spans="1:11">
      <c r="A167" s="5"/>
      <c r="C167" s="17"/>
      <c r="D167" s="17"/>
      <c r="E167" s="17"/>
      <c r="F167" s="5"/>
      <c r="H167" s="11"/>
      <c r="I167" s="5"/>
      <c r="K167" s="17"/>
    </row>
    <row r="168" spans="1:11">
      <c r="A168" s="5"/>
      <c r="C168" s="17"/>
      <c r="D168" s="17"/>
      <c r="E168" s="17"/>
      <c r="F168" s="5"/>
      <c r="H168" s="11"/>
      <c r="I168" s="5"/>
      <c r="K168" s="17"/>
    </row>
    <row r="169" spans="1:11">
      <c r="A169" s="5"/>
      <c r="C169" s="17"/>
      <c r="D169" s="17"/>
      <c r="E169" s="17"/>
      <c r="F169" s="5"/>
      <c r="H169" s="11"/>
      <c r="I169" s="5"/>
      <c r="K169" s="17"/>
    </row>
    <row r="170" spans="1:11">
      <c r="A170" s="5"/>
      <c r="C170" s="17"/>
      <c r="D170" s="17"/>
      <c r="E170" s="17"/>
      <c r="F170" s="5"/>
      <c r="H170" s="11"/>
      <c r="I170" s="5"/>
      <c r="K170" s="17"/>
    </row>
    <row r="171" spans="1:11">
      <c r="A171" s="5"/>
      <c r="C171" s="17"/>
      <c r="D171" s="17"/>
      <c r="E171" s="17"/>
      <c r="F171" s="5"/>
      <c r="H171" s="11"/>
      <c r="I171" s="5"/>
      <c r="K171" s="17"/>
    </row>
    <row r="172" spans="1:11">
      <c r="A172" s="5"/>
      <c r="C172" s="17"/>
      <c r="D172" s="17"/>
      <c r="E172" s="17"/>
      <c r="F172" s="5"/>
      <c r="H172" s="11"/>
      <c r="I172" s="5"/>
      <c r="K172" s="17"/>
    </row>
    <row r="173" spans="1:11">
      <c r="A173" s="5"/>
      <c r="C173" s="17"/>
      <c r="D173" s="17"/>
      <c r="E173" s="17"/>
      <c r="F173" s="5"/>
      <c r="H173" s="11"/>
      <c r="I173" s="5"/>
      <c r="K173" s="17"/>
    </row>
    <row r="174" spans="1:11">
      <c r="A174" s="5"/>
      <c r="C174" s="17"/>
      <c r="D174" s="17"/>
      <c r="E174" s="17"/>
      <c r="F174" s="5"/>
      <c r="H174" s="11"/>
      <c r="I174" s="5"/>
      <c r="K174" s="17"/>
    </row>
    <row r="175" spans="1:11">
      <c r="A175" s="5"/>
      <c r="C175" s="17"/>
      <c r="D175" s="17"/>
      <c r="E175" s="17"/>
      <c r="F175" s="5"/>
      <c r="H175" s="11"/>
      <c r="I175" s="5"/>
      <c r="K175" s="17"/>
    </row>
    <row r="176" spans="1:11">
      <c r="A176" s="5"/>
      <c r="C176" s="17"/>
      <c r="D176" s="17"/>
      <c r="E176" s="17"/>
      <c r="F176" s="5"/>
      <c r="H176" s="11"/>
      <c r="I176" s="5"/>
      <c r="K176" s="17"/>
    </row>
    <row r="177" spans="1:11">
      <c r="A177" s="5"/>
      <c r="C177" s="17"/>
      <c r="D177" s="17"/>
      <c r="E177" s="17"/>
      <c r="F177" s="5"/>
      <c r="H177" s="11"/>
      <c r="I177" s="5"/>
      <c r="K177" s="17"/>
    </row>
    <row r="178" spans="1:11">
      <c r="A178" s="5"/>
      <c r="C178" s="17"/>
      <c r="D178" s="17"/>
      <c r="E178" s="17"/>
      <c r="F178" s="5"/>
      <c r="H178" s="11"/>
      <c r="I178" s="5"/>
      <c r="K178" s="17"/>
    </row>
    <row r="179" spans="1:11">
      <c r="A179" s="5"/>
      <c r="C179" s="17"/>
      <c r="D179" s="17"/>
      <c r="E179" s="17"/>
      <c r="F179" s="5"/>
      <c r="H179" s="11"/>
      <c r="I179" s="5"/>
      <c r="K179" s="17"/>
    </row>
    <row r="180" spans="1:11">
      <c r="A180" s="5"/>
      <c r="C180" s="17"/>
      <c r="D180" s="17"/>
      <c r="E180" s="17"/>
      <c r="F180" s="5"/>
      <c r="H180" s="11"/>
      <c r="I180" s="5"/>
      <c r="K180" s="17"/>
    </row>
    <row r="181" spans="1:11">
      <c r="A181" s="5"/>
      <c r="C181" s="17"/>
      <c r="D181" s="17"/>
      <c r="E181" s="17"/>
      <c r="F181" s="5"/>
      <c r="H181" s="11"/>
      <c r="I181" s="5"/>
      <c r="K181" s="17"/>
    </row>
    <row r="182" spans="1:11">
      <c r="A182" s="5"/>
      <c r="C182" s="17"/>
      <c r="D182" s="17"/>
      <c r="E182" s="17"/>
      <c r="F182" s="5"/>
      <c r="H182" s="11"/>
      <c r="I182" s="5"/>
      <c r="K182" s="17"/>
    </row>
    <row r="183" spans="1:11">
      <c r="A183" s="5"/>
      <c r="C183" s="17"/>
      <c r="D183" s="17"/>
      <c r="E183" s="17"/>
      <c r="F183" s="5"/>
      <c r="H183" s="11"/>
      <c r="I183" s="5"/>
      <c r="K183" s="17"/>
    </row>
    <row r="184" spans="1:11">
      <c r="A184" s="5"/>
      <c r="C184" s="17"/>
      <c r="D184" s="17"/>
      <c r="E184" s="17"/>
      <c r="F184" s="5"/>
      <c r="H184" s="11"/>
      <c r="I184" s="5"/>
      <c r="K184" s="17"/>
    </row>
    <row r="185" spans="1:11">
      <c r="A185" s="5"/>
      <c r="C185" s="17"/>
      <c r="D185" s="17"/>
      <c r="E185" s="17"/>
      <c r="F185" s="5"/>
      <c r="H185" s="11"/>
      <c r="I185" s="5"/>
      <c r="K185" s="17"/>
    </row>
    <row r="186" spans="1:11">
      <c r="A186" s="5"/>
      <c r="C186" s="17"/>
      <c r="D186" s="17"/>
      <c r="E186" s="17"/>
      <c r="F186" s="5"/>
      <c r="H186" s="11"/>
      <c r="I186" s="5"/>
      <c r="K186" s="17"/>
    </row>
    <row r="187" spans="1:11">
      <c r="A187" s="5"/>
      <c r="C187" s="17"/>
      <c r="D187" s="17"/>
      <c r="E187" s="17"/>
      <c r="F187" s="5"/>
      <c r="H187" s="11"/>
      <c r="I187" s="5"/>
      <c r="K187" s="17"/>
    </row>
    <row r="188" spans="1:11">
      <c r="A188" s="5"/>
      <c r="C188" s="17"/>
      <c r="D188" s="17"/>
      <c r="E188" s="17"/>
      <c r="F188" s="5"/>
      <c r="H188" s="11"/>
      <c r="I188" s="5"/>
      <c r="K188" s="17"/>
    </row>
    <row r="189" spans="1:11">
      <c r="A189" s="5"/>
      <c r="C189" s="17"/>
      <c r="D189" s="17"/>
      <c r="E189" s="17"/>
      <c r="F189" s="5"/>
      <c r="H189" s="11"/>
      <c r="I189" s="5"/>
      <c r="K189" s="17"/>
    </row>
    <row r="190" spans="1:11">
      <c r="A190" s="5"/>
      <c r="C190" s="17"/>
      <c r="D190" s="17"/>
      <c r="E190" s="17"/>
      <c r="F190" s="5"/>
      <c r="H190" s="11"/>
      <c r="I190" s="5"/>
      <c r="K190" s="17"/>
    </row>
    <row r="191" spans="1:11">
      <c r="A191" s="5"/>
      <c r="C191" s="17"/>
      <c r="D191" s="17"/>
      <c r="E191" s="17"/>
      <c r="F191" s="5"/>
      <c r="H191" s="11"/>
      <c r="I191" s="5"/>
      <c r="K191" s="17"/>
    </row>
    <row r="192" spans="1:11">
      <c r="A192" s="5"/>
      <c r="C192" s="17"/>
      <c r="D192" s="17"/>
      <c r="E192" s="17"/>
      <c r="F192" s="5"/>
      <c r="H192" s="11"/>
      <c r="I192" s="5"/>
      <c r="K192" s="17"/>
    </row>
    <row r="193" spans="1:11">
      <c r="A193" s="5"/>
      <c r="C193" s="17"/>
      <c r="D193" s="17"/>
      <c r="E193" s="17"/>
      <c r="F193" s="5"/>
      <c r="H193" s="11"/>
      <c r="I193" s="5"/>
      <c r="K193" s="17"/>
    </row>
    <row r="194" spans="1:11">
      <c r="A194" s="5"/>
      <c r="C194" s="17"/>
      <c r="D194" s="17"/>
      <c r="E194" s="17"/>
      <c r="F194" s="5"/>
      <c r="H194" s="11"/>
      <c r="I194" s="5"/>
      <c r="K194" s="17"/>
    </row>
    <row r="195" spans="1:11">
      <c r="A195" s="5"/>
      <c r="C195" s="17"/>
      <c r="D195" s="17"/>
      <c r="E195" s="17"/>
      <c r="F195" s="5"/>
      <c r="H195" s="11"/>
      <c r="I195" s="5"/>
      <c r="K195" s="17"/>
    </row>
    <row r="196" spans="1:11">
      <c r="A196" s="5"/>
      <c r="C196" s="17"/>
      <c r="D196" s="17"/>
      <c r="E196" s="17"/>
      <c r="F196" s="5"/>
      <c r="H196" s="11"/>
      <c r="I196" s="5"/>
      <c r="K196" s="17"/>
    </row>
    <row r="197" spans="1:11">
      <c r="A197" s="5"/>
      <c r="C197" s="17"/>
      <c r="D197" s="17"/>
      <c r="E197" s="17"/>
      <c r="F197" s="5"/>
      <c r="H197" s="11"/>
      <c r="I197" s="5"/>
      <c r="K197" s="17"/>
    </row>
    <row r="198" spans="1:11">
      <c r="A198" s="5"/>
      <c r="C198" s="17"/>
      <c r="D198" s="17"/>
      <c r="E198" s="17"/>
      <c r="F198" s="5"/>
      <c r="H198" s="11"/>
      <c r="I198" s="5"/>
      <c r="K198" s="17"/>
    </row>
    <row r="199" spans="1:11">
      <c r="A199" s="5"/>
      <c r="C199" s="17"/>
      <c r="D199" s="17"/>
      <c r="E199" s="17"/>
      <c r="F199" s="5"/>
      <c r="H199" s="11"/>
      <c r="I199" s="5"/>
      <c r="K199" s="17"/>
    </row>
    <row r="200" spans="1:11">
      <c r="A200" s="5"/>
      <c r="C200" s="17"/>
      <c r="D200" s="17"/>
      <c r="E200" s="17"/>
      <c r="F200" s="5"/>
      <c r="H200" s="11"/>
      <c r="I200" s="5"/>
      <c r="K200" s="17"/>
    </row>
    <row r="201" spans="1:11">
      <c r="A201" s="5"/>
      <c r="C201" s="17"/>
      <c r="D201" s="17"/>
      <c r="E201" s="17"/>
      <c r="F201" s="5"/>
      <c r="H201" s="11"/>
      <c r="I201" s="5"/>
      <c r="K201" s="17"/>
    </row>
    <row r="202" spans="1:11">
      <c r="A202" s="5"/>
      <c r="C202" s="17"/>
      <c r="D202" s="17"/>
      <c r="E202" s="17"/>
      <c r="F202" s="5"/>
      <c r="H202" s="11"/>
      <c r="I202" s="5"/>
      <c r="K202" s="17"/>
    </row>
    <row r="203" spans="1:11">
      <c r="A203" s="5"/>
      <c r="C203" s="17"/>
      <c r="D203" s="17"/>
      <c r="E203" s="17"/>
      <c r="F203" s="5"/>
      <c r="H203" s="11"/>
      <c r="I203" s="5"/>
      <c r="K203" s="17"/>
    </row>
    <row r="204" spans="1:11">
      <c r="A204" s="5"/>
      <c r="C204" s="17"/>
      <c r="D204" s="17"/>
      <c r="E204" s="17"/>
      <c r="F204" s="5"/>
      <c r="H204" s="11"/>
      <c r="I204" s="5"/>
      <c r="K204" s="17"/>
    </row>
    <row r="205" spans="1:11">
      <c r="A205" s="5"/>
      <c r="C205" s="17"/>
      <c r="D205" s="17"/>
      <c r="E205" s="17"/>
      <c r="F205" s="5"/>
      <c r="H205" s="11"/>
      <c r="I205" s="5"/>
      <c r="K205" s="17"/>
    </row>
    <row r="206" spans="1:11">
      <c r="A206" s="5"/>
      <c r="C206" s="17"/>
      <c r="D206" s="17"/>
      <c r="E206" s="17"/>
      <c r="F206" s="5"/>
      <c r="H206" s="11"/>
      <c r="I206" s="5"/>
      <c r="K206" s="17"/>
    </row>
    <row r="207" spans="1:11">
      <c r="A207" s="5"/>
      <c r="C207" s="17"/>
      <c r="D207" s="17"/>
      <c r="E207" s="17"/>
      <c r="F207" s="5"/>
      <c r="H207" s="11"/>
      <c r="I207" s="5"/>
      <c r="K207" s="17"/>
    </row>
    <row r="208" spans="1:11">
      <c r="A208" s="5"/>
      <c r="C208" s="17"/>
      <c r="D208" s="17"/>
      <c r="E208" s="17"/>
      <c r="F208" s="5"/>
    </row>
    <row r="209" spans="1:14">
      <c r="A209" s="5"/>
      <c r="C209" s="17"/>
      <c r="D209" s="17"/>
      <c r="E209" s="17"/>
      <c r="F209" s="5"/>
    </row>
    <row r="210" ht="24" customHeight="1" spans="1:14">
      <c r="A210" s="27" t="s">
        <v>711</v>
      </c>
      <c r="B210" s="28"/>
      <c r="C210" s="29"/>
      <c r="D210" s="29"/>
      <c r="E210" s="29"/>
      <c r="F210" s="27"/>
      <c r="G210" s="28"/>
      <c r="H210" s="28"/>
      <c r="I210" s="28"/>
      <c r="J210" s="28"/>
      <c r="K210" s="28"/>
      <c r="L210" s="28"/>
      <c r="M210" s="28"/>
      <c r="N210" s="28"/>
    </row>
    <row r="211" ht="28" customHeight="1" spans="1:14">
      <c r="A211" s="30" t="str">
        <f>"经核对，截至 "&amp;TEXT($H$2,"yyyy-mm-dd")&amp;"，本对账单显示期末应付余额为 "&amp;TEXT($K$3,"#,##0.00")&amp;" 元。若无异议，请签字/盖章确认。"</f>
        <v>经核对，截至 2026-06-30，本对账单显示期末应付余额为 18,000.00 元。若无异议，请签字/盖章确认。</v>
      </c>
      <c r="B211" s="31"/>
      <c r="C211" s="32"/>
      <c r="D211" s="32"/>
      <c r="E211" s="32"/>
      <c r="F211" s="30"/>
      <c r="G211" s="31"/>
      <c r="H211" s="31"/>
      <c r="I211" s="31"/>
      <c r="J211" s="31"/>
      <c r="K211" s="31"/>
      <c r="L211" s="31"/>
      <c r="M211" s="31"/>
      <c r="N211" s="31"/>
    </row>
    <row r="212" ht="28" customHeight="1" spans="1:14">
      <c r="A212" s="33" t="s">
        <v>727</v>
      </c>
      <c r="B212" s="34"/>
      <c r="C212" s="35"/>
      <c r="D212" s="35"/>
      <c r="E212" s="35"/>
      <c r="F212" s="33"/>
      <c r="G212" s="34"/>
      <c r="I212" s="34" t="s">
        <v>713</v>
      </c>
      <c r="J212" s="34"/>
      <c r="K212" s="34"/>
      <c r="L212" s="34"/>
      <c r="M212" s="34"/>
      <c r="N212" s="34"/>
    </row>
    <row r="213" ht="28" customHeight="1" spans="1:14">
      <c r="A213" s="33" t="s">
        <v>728</v>
      </c>
      <c r="B213" s="34"/>
      <c r="C213" s="35"/>
      <c r="D213" s="35"/>
      <c r="E213" s="35"/>
      <c r="F213" s="33"/>
      <c r="G213" s="34"/>
      <c r="I213" s="34" t="s">
        <v>715</v>
      </c>
      <c r="J213" s="34"/>
      <c r="K213" s="34"/>
      <c r="L213" s="34"/>
      <c r="M213" s="34"/>
      <c r="N213" s="34"/>
    </row>
    <row r="214" ht="24" customHeight="1" spans="1:14">
      <c r="A214" s="36" t="s">
        <v>716</v>
      </c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</row>
  </sheetData>
  <mergeCells count="14">
    <mergeCell ref="A1:N1"/>
    <mergeCell ref="K4:N4"/>
    <mergeCell ref="A5:N5"/>
    <mergeCell ref="A6:F6"/>
    <mergeCell ref="A6:G6"/>
    <mergeCell ref="I6:N6"/>
    <mergeCell ref="A112:G112"/>
    <mergeCell ref="A210:N210"/>
    <mergeCell ref="A211:N211"/>
    <mergeCell ref="A212:G212"/>
    <mergeCell ref="I212:N212"/>
    <mergeCell ref="A213:G213"/>
    <mergeCell ref="I213:N213"/>
    <mergeCell ref="A214:N214"/>
  </mergeCells>
  <dataValidations count="2">
    <dataValidation type="list" sqref="B2">
      <formula1>基础资料!$AE$5:$AE$204</formula1>
    </dataValidation>
    <dataValidation type="list" sqref="K2">
      <formula1>"待确认,已确认,有差异"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首页</vt:lpstr>
      <vt:lpstr>基础资料</vt:lpstr>
      <vt:lpstr>期初数据</vt:lpstr>
      <vt:lpstr>资金流水</vt:lpstr>
      <vt:lpstr>销售录入</vt:lpstr>
      <vt:lpstr>采购录入</vt:lpstr>
      <vt:lpstr>库存收发存</vt:lpstr>
      <vt:lpstr>应收跟进</vt:lpstr>
      <vt:lpstr>应收明细账龄</vt:lpstr>
      <vt:lpstr>应付跟进</vt:lpstr>
      <vt:lpstr>应付明细账龄</vt:lpstr>
      <vt:lpstr>账户余额</vt:lpstr>
      <vt:lpstr>记账凭证</vt:lpstr>
      <vt:lpstr>凭证计算</vt:lpstr>
      <vt:lpstr>科目余额表</vt:lpstr>
      <vt:lpstr>利润表</vt:lpstr>
      <vt:lpstr>资产负债表</vt:lpstr>
      <vt:lpstr>经营分析</vt:lpstr>
      <vt:lpstr>辅助核算</vt:lpstr>
      <vt:lpstr>财务勾稽核查</vt:lpstr>
      <vt:lpstr>操作说明</vt:lpstr>
      <vt:lpstr>客户往来对账单</vt:lpstr>
      <vt:lpstr>供应商往来对账单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2026-08-18T15:54:38Z</dcterms:created>
  <dcterms:modified xsi:type="dcterms:W3CDTF">2026-08-18T15:55:40Z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F51D643D34164A82AEAE7D5F05E93791_13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